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2.xml" ContentType="application/vnd.openxmlformats-officedocument.drawing+xml"/>
  <Override PartName="/xl/slicers/slicer1.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166925"/>
  <mc:AlternateContent xmlns:mc="http://schemas.openxmlformats.org/markup-compatibility/2006">
    <mc:Choice Requires="x15">
      <x15ac:absPath xmlns:x15ac="http://schemas.microsoft.com/office/spreadsheetml/2010/11/ac" url="C:\Users\prudh\Downloads\"/>
    </mc:Choice>
  </mc:AlternateContent>
  <xr:revisionPtr revIDLastSave="0" documentId="13_ncr:1_{1432DAFE-98C8-489A-A4B7-E2929320E3AE}" xr6:coauthVersionLast="47" xr6:coauthVersionMax="47" xr10:uidLastSave="{00000000-0000-0000-0000-000000000000}"/>
  <bookViews>
    <workbookView xWindow="-110" yWindow="-110" windowWidth="19420" windowHeight="11500" firstSheet="1" activeTab="4" xr2:uid="{581B8538-0F31-49FC-BB42-D26911AA2080}"/>
  </bookViews>
  <sheets>
    <sheet name="retail_sales_dataset" sheetId="1" r:id="rId1"/>
    <sheet name="table" sheetId="2" r:id="rId2"/>
    <sheet name="Sheet1" sheetId="5" r:id="rId3"/>
    <sheet name="Pivot" sheetId="3" r:id="rId4"/>
    <sheet name="Dashboard" sheetId="4" r:id="rId5"/>
  </sheets>
  <definedNames>
    <definedName name="_xlnm._FilterDatabase" localSheetId="2" hidden="1">Sheet1!$N$5:$Q$1005</definedName>
    <definedName name="_xlnm._FilterDatabase" localSheetId="1" hidden="1">table!$A$1:$J$1001</definedName>
    <definedName name="Slicer_Age_Range">#N/A</definedName>
    <definedName name="Slicer_Gender">#N/A</definedName>
    <definedName name="Slicer_Months__Date">#N/A</definedName>
    <definedName name="Slicer_Price_per_Unit">#N/A</definedName>
    <definedName name="Slicer_Product_Category">#N/A</definedName>
    <definedName name="Slicer_Quantity">#N/A</definedName>
    <definedName name="Slicer_Years__Date">#N/A</definedName>
  </definedNames>
  <calcPr calcId="191029"/>
  <pivotCaches>
    <pivotCache cacheId="0" r:id="rId6"/>
    <pivotCache cacheId="7" r:id="rId7"/>
  </pivotCaches>
  <extLst>
    <ext xmlns:x14="http://schemas.microsoft.com/office/spreadsheetml/2009/9/main" uri="{BBE1A952-AA13-448e-AADC-164F8A28A991}">
      <x14:slicerCaches>
        <x14:slicerCache r:id="rId8"/>
        <x14:slicerCache r:id="rId9"/>
        <x14:slicerCache r:id="rId10"/>
        <x14:slicerCache r:id="rId11"/>
        <x14:slicerCache r:id="rId12"/>
        <x14:slicerCache r:id="rId13"/>
        <x14:slicerCache r:id="rId14"/>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P126" i="5" l="1"/>
  <c r="P305" i="5"/>
  <c r="P732" i="5"/>
  <c r="P84" i="5"/>
  <c r="P665" i="5"/>
  <c r="P733" i="5"/>
  <c r="P937" i="5"/>
  <c r="P881" i="5"/>
  <c r="P334" i="5"/>
  <c r="P854" i="5"/>
  <c r="P666" i="5"/>
  <c r="P192" i="5"/>
  <c r="P519" i="5"/>
  <c r="P641" i="5"/>
  <c r="P528" i="5"/>
  <c r="P24" i="5"/>
  <c r="P650" i="5"/>
  <c r="P216" i="5"/>
  <c r="P217" i="5"/>
  <c r="P562" i="5"/>
  <c r="P85" i="5"/>
  <c r="P894" i="5"/>
  <c r="P384" i="5"/>
  <c r="P351" i="5"/>
  <c r="P954" i="5"/>
  <c r="P45" i="5"/>
  <c r="P938" i="5"/>
  <c r="P590" i="5"/>
  <c r="P974" i="5"/>
  <c r="P798" i="5"/>
  <c r="P776" i="5"/>
  <c r="P676" i="5"/>
  <c r="P895" i="5"/>
  <c r="P864" i="5"/>
  <c r="P799" i="5"/>
  <c r="P800" i="5"/>
  <c r="P914" i="5"/>
  <c r="P616" i="5"/>
  <c r="P142" i="5"/>
  <c r="P955" i="5"/>
  <c r="P460" i="5"/>
  <c r="P563" i="5"/>
  <c r="P603" i="5"/>
  <c r="P494" i="5"/>
  <c r="P975" i="5"/>
  <c r="P536" i="5"/>
  <c r="P510" i="5"/>
  <c r="P60" i="5"/>
  <c r="P46" i="5"/>
  <c r="P915" i="5"/>
  <c r="P193" i="5"/>
  <c r="P835" i="5"/>
  <c r="P406" i="5"/>
  <c r="P774" i="5"/>
  <c r="P385" i="5"/>
  <c r="P61" i="5"/>
  <c r="P248" i="5"/>
  <c r="P537" i="5"/>
  <c r="P236" i="5"/>
  <c r="P633" i="5"/>
  <c r="P617" i="5"/>
  <c r="P171" i="5"/>
  <c r="P218" i="5"/>
  <c r="P154" i="5"/>
  <c r="P772" i="5"/>
  <c r="P976" i="5"/>
  <c r="P777" i="5"/>
  <c r="P99" i="5"/>
  <c r="P194" i="5"/>
  <c r="P836" i="5"/>
  <c r="P155" i="5"/>
  <c r="P771" i="5"/>
  <c r="P423" i="5"/>
  <c r="P524" i="5"/>
  <c r="P105" i="5"/>
  <c r="P667" i="5"/>
  <c r="P896" i="5"/>
  <c r="P27" i="5"/>
  <c r="P352" i="5"/>
  <c r="P924" i="5"/>
  <c r="P474" i="5"/>
  <c r="P855" i="5"/>
  <c r="P407" i="5"/>
  <c r="P424" i="5"/>
  <c r="P127" i="5"/>
  <c r="P905" i="5"/>
  <c r="P408" i="5"/>
  <c r="P340" i="5"/>
  <c r="P521" i="5"/>
  <c r="P977" i="5"/>
  <c r="P591" i="5"/>
  <c r="P871" i="5"/>
  <c r="P753" i="5"/>
  <c r="P47" i="5"/>
  <c r="P204" i="5"/>
  <c r="P580" i="5"/>
  <c r="P551" i="5"/>
  <c r="P668" i="5"/>
  <c r="P538" i="5"/>
  <c r="P978" i="5"/>
  <c r="P335" i="5"/>
  <c r="P939" i="5"/>
  <c r="P739" i="5"/>
  <c r="P48" i="5"/>
  <c r="P823" i="5"/>
  <c r="P718" i="5"/>
  <c r="P778" i="5"/>
  <c r="P688" i="5"/>
  <c r="P525" i="5"/>
  <c r="P62" i="5"/>
  <c r="P767" i="5"/>
  <c r="P512" i="5"/>
  <c r="P940" i="5"/>
  <c r="P651" i="5"/>
  <c r="P18" i="5"/>
  <c r="P979" i="5"/>
  <c r="P552" i="5"/>
  <c r="P516" i="5"/>
  <c r="P373" i="5"/>
  <c r="P719" i="5"/>
  <c r="P618" i="5"/>
  <c r="P386" i="5"/>
  <c r="P925" i="5"/>
  <c r="P273" i="5"/>
  <c r="P669" i="5"/>
  <c r="P425" i="5"/>
  <c r="P941" i="5"/>
  <c r="P824" i="5"/>
  <c r="P817" i="5"/>
  <c r="P592" i="5"/>
  <c r="P71" i="5"/>
  <c r="P619" i="5"/>
  <c r="P320" i="5"/>
  <c r="P720" i="5"/>
  <c r="P942" i="5"/>
  <c r="P818" i="5"/>
  <c r="P553" i="5"/>
  <c r="P620" i="5"/>
  <c r="P513" i="5"/>
  <c r="P249" i="5"/>
  <c r="P956" i="5"/>
  <c r="P779" i="5"/>
  <c r="P721" i="5"/>
  <c r="P285" i="5"/>
  <c r="P689" i="5"/>
  <c r="P106" i="5"/>
  <c r="P353" i="5"/>
  <c r="P205" i="5"/>
  <c r="P690" i="5"/>
  <c r="P387" i="5"/>
  <c r="P957" i="5"/>
  <c r="P7" i="5"/>
  <c r="P554" i="5"/>
  <c r="P321" i="5"/>
  <c r="P760" i="5"/>
  <c r="P652" i="5"/>
  <c r="P23" i="5"/>
  <c r="P72" i="5"/>
  <c r="P107" i="5"/>
  <c r="P409" i="5"/>
  <c r="P306" i="5"/>
  <c r="P206" i="5"/>
  <c r="P634" i="5"/>
  <c r="P523" i="5"/>
  <c r="P31" i="5"/>
  <c r="P758" i="5"/>
  <c r="P374" i="5"/>
  <c r="P837" i="5"/>
  <c r="P766" i="5"/>
  <c r="P943" i="5"/>
  <c r="P322" i="5"/>
  <c r="P944" i="5"/>
  <c r="P642" i="5"/>
  <c r="P838" i="5"/>
  <c r="P396" i="5"/>
  <c r="P897" i="5"/>
  <c r="P410" i="5"/>
  <c r="P926" i="5"/>
  <c r="P100" i="5"/>
  <c r="P564" i="5"/>
  <c r="P294" i="5"/>
  <c r="P388" i="5"/>
  <c r="P323" i="5"/>
  <c r="P359" i="5"/>
  <c r="P994" i="5"/>
  <c r="P856" i="5"/>
  <c r="P172" i="5"/>
  <c r="P439" i="5"/>
  <c r="P958" i="5"/>
  <c r="P906" i="5"/>
  <c r="P495" i="5"/>
  <c r="P173" i="5"/>
  <c r="P773" i="5"/>
  <c r="P360" i="5"/>
  <c r="P980" i="5"/>
  <c r="P565" i="5"/>
  <c r="P621" i="5"/>
  <c r="P63" i="5"/>
  <c r="P764" i="5"/>
  <c r="P128" i="5"/>
  <c r="P496" i="5"/>
  <c r="P32" i="5"/>
  <c r="P307" i="5"/>
  <c r="P995" i="5"/>
  <c r="P497" i="5"/>
  <c r="P260" i="5"/>
  <c r="P219" i="5"/>
  <c r="P108" i="5"/>
  <c r="P109" i="5"/>
  <c r="P361" i="5"/>
  <c r="P759" i="5"/>
  <c r="P30" i="5"/>
  <c r="P755" i="5"/>
  <c r="P698" i="5"/>
  <c r="P274" i="5"/>
  <c r="P670" i="5"/>
  <c r="P110" i="5"/>
  <c r="P907" i="5"/>
  <c r="P908" i="5"/>
  <c r="P86" i="5"/>
  <c r="P581" i="5"/>
  <c r="P143" i="5"/>
  <c r="P740" i="5"/>
  <c r="P237" i="5"/>
  <c r="P397" i="5"/>
  <c r="P722" i="5"/>
  <c r="P898" i="5"/>
  <c r="P450" i="5"/>
  <c r="P677" i="5"/>
  <c r="P741" i="5"/>
  <c r="P375" i="5"/>
  <c r="P742" i="5"/>
  <c r="P819" i="5"/>
  <c r="P461" i="5"/>
  <c r="P49" i="5"/>
  <c r="P261" i="5"/>
  <c r="P50" i="5"/>
  <c r="P825" i="5"/>
  <c r="P13" i="5"/>
  <c r="P101" i="5"/>
  <c r="P691" i="5"/>
  <c r="P743" i="5"/>
  <c r="P324" i="5"/>
  <c r="P899" i="5"/>
  <c r="P185" i="5"/>
  <c r="P945" i="5"/>
  <c r="P927" i="5"/>
  <c r="P325" i="5"/>
  <c r="P723" i="5"/>
  <c r="P475" i="5"/>
  <c r="P622" i="5"/>
  <c r="P839" i="5"/>
  <c r="P291" i="5"/>
  <c r="P826" i="5"/>
  <c r="P482" i="5"/>
  <c r="P308" i="5"/>
  <c r="P515" i="5"/>
  <c r="P238" i="5"/>
  <c r="P111" i="5"/>
  <c r="P451" i="5"/>
  <c r="P708" i="5"/>
  <c r="P643" i="5"/>
  <c r="P928" i="5"/>
  <c r="P801" i="5"/>
  <c r="P566" i="5"/>
  <c r="P452" i="5"/>
  <c r="P678" i="5"/>
  <c r="P483" i="5"/>
  <c r="P770" i="5"/>
  <c r="P840" i="5"/>
  <c r="P872" i="5"/>
  <c r="P174" i="5"/>
  <c r="P476" i="5"/>
  <c r="P790" i="5"/>
  <c r="P309" i="5"/>
  <c r="P398" i="5"/>
  <c r="P156" i="5"/>
  <c r="P399" i="5"/>
  <c r="P87" i="5"/>
  <c r="P763" i="5"/>
  <c r="P9" i="5"/>
  <c r="P362" i="5"/>
  <c r="P88" i="5"/>
  <c r="P623" i="5"/>
  <c r="P996" i="5"/>
  <c r="P220" i="5"/>
  <c r="P882" i="5"/>
  <c r="P144" i="5"/>
  <c r="P699" i="5"/>
  <c r="P582" i="5"/>
  <c r="P583" i="5"/>
  <c r="P295" i="5"/>
  <c r="P186" i="5"/>
  <c r="P187" i="5"/>
  <c r="P64" i="5"/>
  <c r="P296" i="5"/>
  <c r="P555" i="5"/>
  <c r="P297" i="5"/>
  <c r="P310" i="5"/>
  <c r="P363" i="5"/>
  <c r="P873" i="5"/>
  <c r="P73" i="5"/>
  <c r="P909" i="5"/>
  <c r="P700" i="5"/>
  <c r="P484" i="5"/>
  <c r="P239" i="5"/>
  <c r="P221" i="5"/>
  <c r="P539" i="5"/>
  <c r="P498" i="5"/>
  <c r="P262" i="5"/>
  <c r="P883" i="5"/>
  <c r="P389" i="5"/>
  <c r="P281" i="5"/>
  <c r="P145" i="5"/>
  <c r="P929" i="5"/>
  <c r="P946" i="5"/>
  <c r="P426" i="5"/>
  <c r="P744" i="5"/>
  <c r="P341" i="5"/>
  <c r="P33" i="5"/>
  <c r="P222" i="5"/>
  <c r="P89" i="5"/>
  <c r="P802" i="5"/>
  <c r="P865" i="5"/>
  <c r="P947" i="5"/>
  <c r="P195" i="5"/>
  <c r="P376" i="5"/>
  <c r="P411" i="5"/>
  <c r="P400" i="5"/>
  <c r="P112" i="5"/>
  <c r="P910" i="5"/>
  <c r="P298" i="5"/>
  <c r="P780" i="5"/>
  <c r="P803" i="5"/>
  <c r="P146" i="5"/>
  <c r="P635" i="5"/>
  <c r="P593" i="5"/>
  <c r="P671" i="5"/>
  <c r="P462" i="5"/>
  <c r="P540" i="5"/>
  <c r="P364" i="5"/>
  <c r="P534" i="5"/>
  <c r="P463" i="5"/>
  <c r="P485" i="5"/>
  <c r="P981" i="5"/>
  <c r="P556" i="5"/>
  <c r="P997" i="5"/>
  <c r="P74" i="5"/>
  <c r="P724" i="5"/>
  <c r="P916" i="5"/>
  <c r="P427" i="5"/>
  <c r="P51" i="5"/>
  <c r="P594" i="5"/>
  <c r="P365" i="5"/>
  <c r="P342" i="5"/>
  <c r="P26" i="5"/>
  <c r="P440" i="5"/>
  <c r="P841" i="5"/>
  <c r="P959" i="5"/>
  <c r="P884" i="5"/>
  <c r="P34" i="5"/>
  <c r="P499" i="5"/>
  <c r="P500" i="5"/>
  <c r="P827" i="5"/>
  <c r="P842" i="5"/>
  <c r="P412" i="5"/>
  <c r="P960" i="5"/>
  <c r="P299" i="5"/>
  <c r="P754" i="5"/>
  <c r="P207" i="5"/>
  <c r="P263" i="5"/>
  <c r="P520" i="5"/>
  <c r="P75" i="5"/>
  <c r="P692" i="5"/>
  <c r="P961" i="5"/>
  <c r="P486" i="5"/>
  <c r="P857" i="5"/>
  <c r="P604" i="5"/>
  <c r="P264" i="5"/>
  <c r="P820" i="5"/>
  <c r="P157" i="5"/>
  <c r="P791" i="5"/>
  <c r="P188" i="5"/>
  <c r="P828" i="5"/>
  <c r="P535" i="5"/>
  <c r="P336" i="5"/>
  <c r="P982" i="5"/>
  <c r="P265" i="5"/>
  <c r="P223" i="5"/>
  <c r="P413" i="5"/>
  <c r="P224" i="5"/>
  <c r="P76" i="5"/>
  <c r="P52" i="5"/>
  <c r="P90" i="5"/>
  <c r="P557" i="5"/>
  <c r="P250" i="5"/>
  <c r="P998" i="5"/>
  <c r="P77" i="5"/>
  <c r="P453" i="5"/>
  <c r="P113" i="5"/>
  <c r="P843" i="5"/>
  <c r="P821" i="5"/>
  <c r="P78" i="5"/>
  <c r="P558" i="5"/>
  <c r="P781" i="5"/>
  <c r="P885" i="5"/>
  <c r="P65" i="5"/>
  <c r="P595" i="5"/>
  <c r="P804" i="5"/>
  <c r="P414" i="5"/>
  <c r="P114" i="5"/>
  <c r="P756" i="5"/>
  <c r="P441" i="5"/>
  <c r="P158" i="5"/>
  <c r="P208" i="5"/>
  <c r="P530" i="5"/>
  <c r="P567" i="5"/>
  <c r="P559" i="5"/>
  <c r="P911" i="5"/>
  <c r="P287" i="5"/>
  <c r="P762" i="5"/>
  <c r="P428" i="5"/>
  <c r="P999" i="5"/>
  <c r="P35" i="5"/>
  <c r="P874" i="5"/>
  <c r="P377" i="5"/>
  <c r="P266" i="5"/>
  <c r="P366" i="5"/>
  <c r="P709" i="5"/>
  <c r="P568" i="5"/>
  <c r="P36" i="5"/>
  <c r="P792" i="5"/>
  <c r="P858" i="5"/>
  <c r="P225" i="5"/>
  <c r="P326" i="5"/>
  <c r="P147" i="5"/>
  <c r="P541" i="5"/>
  <c r="P487" i="5"/>
  <c r="P442" i="5"/>
  <c r="P822" i="5"/>
  <c r="P37" i="5"/>
  <c r="P653" i="5"/>
  <c r="P584" i="5"/>
  <c r="P679" i="5"/>
  <c r="P102" i="5"/>
  <c r="P962" i="5"/>
  <c r="P8" i="5"/>
  <c r="P209" i="5"/>
  <c r="P115" i="5"/>
  <c r="P710" i="5"/>
  <c r="P734" i="5"/>
  <c r="P522" i="5"/>
  <c r="P311" i="5"/>
  <c r="P745" i="5"/>
  <c r="P654" i="5"/>
  <c r="P210" i="5"/>
  <c r="P805" i="5"/>
  <c r="P655" i="5"/>
  <c r="P542" i="5"/>
  <c r="P963" i="5"/>
  <c r="P53" i="5"/>
  <c r="P300" i="5"/>
  <c r="P289" i="5"/>
  <c r="P79" i="5"/>
  <c r="P378" i="5"/>
  <c r="P656" i="5"/>
  <c r="P866" i="5"/>
  <c r="P501" i="5"/>
  <c r="P693" i="5"/>
  <c r="P54" i="5"/>
  <c r="P379" i="5"/>
  <c r="P327" i="5"/>
  <c r="P477" i="5"/>
  <c r="P270" i="5"/>
  <c r="P443" i="5"/>
  <c r="P532" i="5"/>
  <c r="P148" i="5"/>
  <c r="P701" i="5"/>
  <c r="P543" i="5"/>
  <c r="P286" i="5"/>
  <c r="P782" i="5"/>
  <c r="P544" i="5"/>
  <c r="P488" i="5"/>
  <c r="P783" i="5"/>
  <c r="P489" i="5"/>
  <c r="P502" i="5"/>
  <c r="P271" i="5"/>
  <c r="P806" i="5"/>
  <c r="P983" i="5"/>
  <c r="P380" i="5"/>
  <c r="P569" i="5"/>
  <c r="P886" i="5"/>
  <c r="P464" i="5"/>
  <c r="P624" i="5"/>
  <c r="P930" i="5"/>
  <c r="P80" i="5"/>
  <c r="P149" i="5"/>
  <c r="P401" i="5"/>
  <c r="P931" i="5"/>
  <c r="P887" i="5"/>
  <c r="P702" i="5"/>
  <c r="P129" i="5"/>
  <c r="P280" i="5"/>
  <c r="P130" i="5"/>
  <c r="P240" i="5"/>
  <c r="P293" i="5"/>
  <c r="P17" i="5"/>
  <c r="P585" i="5"/>
  <c r="P570" i="5"/>
  <c r="P367" i="5"/>
  <c r="P900" i="5"/>
  <c r="P1000" i="5"/>
  <c r="P159" i="5"/>
  <c r="P354" i="5"/>
  <c r="P571" i="5"/>
  <c r="P888" i="5"/>
  <c r="P889" i="5"/>
  <c r="P490" i="5"/>
  <c r="P390" i="5"/>
  <c r="P160" i="5"/>
  <c r="P875" i="5"/>
  <c r="P288" i="5"/>
  <c r="P605" i="5"/>
  <c r="P545" i="5"/>
  <c r="P465" i="5"/>
  <c r="P175" i="5"/>
  <c r="P948" i="5"/>
  <c r="P703" i="5"/>
  <c r="P636" i="5"/>
  <c r="P150" i="5"/>
  <c r="P829" i="5"/>
  <c r="P644" i="5"/>
  <c r="P765" i="5"/>
  <c r="P312" i="5"/>
  <c r="P429" i="5"/>
  <c r="P645" i="5"/>
  <c r="P343" i="5"/>
  <c r="P131" i="5"/>
  <c r="P344" i="5"/>
  <c r="P807" i="5"/>
  <c r="P596" i="5"/>
  <c r="P725" i="5"/>
  <c r="P586" i="5"/>
  <c r="P503" i="5"/>
  <c r="P466" i="5"/>
  <c r="P116" i="5"/>
  <c r="P531" i="5"/>
  <c r="P932" i="5"/>
  <c r="P901" i="5"/>
  <c r="P572" i="5"/>
  <c r="P808" i="5"/>
  <c r="P917" i="5"/>
  <c r="P38" i="5"/>
  <c r="P132" i="5"/>
  <c r="P844" i="5"/>
  <c r="P478" i="5"/>
  <c r="P912" i="5"/>
  <c r="P746" i="5"/>
  <c r="P301" i="5"/>
  <c r="P241" i="5"/>
  <c r="P28" i="5"/>
  <c r="P711" i="5"/>
  <c r="P211" i="5"/>
  <c r="P176" i="5"/>
  <c r="P454" i="5"/>
  <c r="P735" i="5"/>
  <c r="P328" i="5"/>
  <c r="P355" i="5"/>
  <c r="P625" i="5"/>
  <c r="P345" i="5"/>
  <c r="P964" i="5"/>
  <c r="P282" i="5"/>
  <c r="P455" i="5"/>
  <c r="P226" i="5"/>
  <c r="P672" i="5"/>
  <c r="P133" i="5"/>
  <c r="P15" i="5"/>
  <c r="P646" i="5"/>
  <c r="P984" i="5"/>
  <c r="P533" i="5"/>
  <c r="P456" i="5"/>
  <c r="P809" i="5"/>
  <c r="P657" i="5"/>
  <c r="P117" i="5"/>
  <c r="P504" i="5"/>
  <c r="P242" i="5"/>
  <c r="P784" i="5"/>
  <c r="P212" i="5"/>
  <c r="P55" i="5"/>
  <c r="P329" i="5"/>
  <c r="P658" i="5"/>
  <c r="P526" i="5"/>
  <c r="P933" i="5"/>
  <c r="P587" i="5"/>
  <c r="P517" i="5"/>
  <c r="P606" i="5"/>
  <c r="P546" i="5"/>
  <c r="P647" i="5"/>
  <c r="P673" i="5"/>
  <c r="P793" i="5"/>
  <c r="P985" i="5"/>
  <c r="P356" i="5"/>
  <c r="P680" i="5"/>
  <c r="P626" i="5"/>
  <c r="P56" i="5"/>
  <c r="P243" i="5"/>
  <c r="P196" i="5"/>
  <c r="P29" i="5"/>
  <c r="P415" i="5"/>
  <c r="P81" i="5"/>
  <c r="P290" i="5"/>
  <c r="P346" i="5"/>
  <c r="P430" i="5"/>
  <c r="P547" i="5"/>
  <c r="P659" i="5"/>
  <c r="P177" i="5"/>
  <c r="P251" i="5"/>
  <c r="P965" i="5"/>
  <c r="P402" i="5"/>
  <c r="P197" i="5"/>
  <c r="P560" i="5"/>
  <c r="P918" i="5"/>
  <c r="P134" i="5"/>
  <c r="P810" i="5"/>
  <c r="P845" i="5"/>
  <c r="P283" i="5"/>
  <c r="P966" i="5"/>
  <c r="P368" i="5"/>
  <c r="P949" i="5"/>
  <c r="P178" i="5"/>
  <c r="P431" i="5"/>
  <c r="P161" i="5"/>
  <c r="P391" i="5"/>
  <c r="P511" i="5"/>
  <c r="P330" i="5"/>
  <c r="P11" i="5"/>
  <c r="P337" i="5"/>
  <c r="P597" i="5"/>
  <c r="P118" i="5"/>
  <c r="P151" i="5"/>
  <c r="P846" i="5"/>
  <c r="P162" i="5"/>
  <c r="P432" i="5"/>
  <c r="P444" i="5"/>
  <c r="P876" i="5"/>
  <c r="P433" i="5"/>
  <c r="P276" i="5"/>
  <c r="P548" i="5"/>
  <c r="P338" i="5"/>
  <c r="P252" i="5"/>
  <c r="P867" i="5"/>
  <c r="P179" i="5"/>
  <c r="P694" i="5"/>
  <c r="P445" i="5"/>
  <c r="P91" i="5"/>
  <c r="P434" i="5"/>
  <c r="P1001" i="5"/>
  <c r="P1002" i="5"/>
  <c r="P491" i="5"/>
  <c r="P313" i="5"/>
  <c r="P890" i="5"/>
  <c r="P794" i="5"/>
  <c r="P39" i="5"/>
  <c r="P6" i="5"/>
  <c r="P967" i="5"/>
  <c r="P135" i="5"/>
  <c r="P92" i="5"/>
  <c r="P868" i="5"/>
  <c r="P40" i="5"/>
  <c r="P253" i="5"/>
  <c r="P869" i="5"/>
  <c r="P416" i="5"/>
  <c r="P761" i="5"/>
  <c r="P103" i="5"/>
  <c r="P704" i="5"/>
  <c r="P277" i="5"/>
  <c r="P269" i="5"/>
  <c r="P573" i="5"/>
  <c r="P681" i="5"/>
  <c r="P331" i="5"/>
  <c r="P934" i="5"/>
  <c r="P785" i="5"/>
  <c r="P314" i="5"/>
  <c r="P795" i="5"/>
  <c r="P712" i="5"/>
  <c r="P119" i="5"/>
  <c r="P847" i="5"/>
  <c r="P403" i="5"/>
  <c r="P417" i="5"/>
  <c r="P574" i="5"/>
  <c r="P189" i="5"/>
  <c r="P674" i="5"/>
  <c r="P272" i="5"/>
  <c r="P227" i="5"/>
  <c r="P136" i="5"/>
  <c r="P859" i="5"/>
  <c r="P347" i="5"/>
  <c r="P848" i="5"/>
  <c r="P152" i="5"/>
  <c r="P25" i="5"/>
  <c r="P213" i="5"/>
  <c r="P339" i="5"/>
  <c r="P902" i="5"/>
  <c r="P682" i="5"/>
  <c r="P950" i="5"/>
  <c r="P660" i="5"/>
  <c r="P93" i="5"/>
  <c r="P575" i="5"/>
  <c r="P561" i="5"/>
  <c r="P775" i="5"/>
  <c r="P19" i="5"/>
  <c r="P467" i="5"/>
  <c r="P919" i="5"/>
  <c r="P94" i="5"/>
  <c r="P404" i="5"/>
  <c r="P786" i="5"/>
  <c r="P348" i="5"/>
  <c r="P446" i="5"/>
  <c r="P705" i="5"/>
  <c r="P757" i="5"/>
  <c r="P95" i="5"/>
  <c r="P332" i="5"/>
  <c r="P369" i="5"/>
  <c r="P381" i="5"/>
  <c r="P607" i="5"/>
  <c r="P41" i="5"/>
  <c r="P811" i="5"/>
  <c r="P870" i="5"/>
  <c r="P787" i="5"/>
  <c r="P713" i="5"/>
  <c r="P16" i="5"/>
  <c r="P315" i="5"/>
  <c r="P254" i="5"/>
  <c r="P255" i="5"/>
  <c r="P20" i="5"/>
  <c r="P163" i="5"/>
  <c r="P726" i="5"/>
  <c r="P180" i="5"/>
  <c r="P747" i="5"/>
  <c r="P627" i="5"/>
  <c r="P104" i="5"/>
  <c r="P275" i="5"/>
  <c r="P284" i="5"/>
  <c r="P748" i="5"/>
  <c r="P181" i="5"/>
  <c r="P683" i="5"/>
  <c r="P986" i="5"/>
  <c r="P382" i="5"/>
  <c r="P987" i="5"/>
  <c r="P198" i="5"/>
  <c r="P228" i="5"/>
  <c r="P903" i="5"/>
  <c r="P988" i="5"/>
  <c r="P164" i="5"/>
  <c r="P447" i="5"/>
  <c r="P302" i="5"/>
  <c r="P303" i="5"/>
  <c r="P891" i="5"/>
  <c r="P182" i="5"/>
  <c r="P349" i="5"/>
  <c r="P830" i="5"/>
  <c r="P951" i="5"/>
  <c r="P952" i="5"/>
  <c r="P505" i="5"/>
  <c r="P120" i="5"/>
  <c r="P812" i="5"/>
  <c r="P920" i="5"/>
  <c r="P199" i="5"/>
  <c r="P392" i="5"/>
  <c r="P968" i="5"/>
  <c r="P468" i="5"/>
  <c r="P256" i="5"/>
  <c r="P769" i="5"/>
  <c r="P229" i="5"/>
  <c r="P892" i="5"/>
  <c r="P684" i="5"/>
  <c r="P383" i="5"/>
  <c r="P165" i="5"/>
  <c r="P57" i="5"/>
  <c r="P469" i="5"/>
  <c r="P598" i="5"/>
  <c r="P66" i="5"/>
  <c r="P608" i="5"/>
  <c r="P599" i="5"/>
  <c r="P121" i="5"/>
  <c r="P661" i="5"/>
  <c r="P506" i="5"/>
  <c r="P813" i="5"/>
  <c r="P518" i="5"/>
  <c r="P1003" i="5"/>
  <c r="P749" i="5"/>
  <c r="P727" i="5"/>
  <c r="P989" i="5"/>
  <c r="P357" i="5"/>
  <c r="P849" i="5"/>
  <c r="P648" i="5"/>
  <c r="P448" i="5"/>
  <c r="P969" i="5"/>
  <c r="P418" i="5"/>
  <c r="P42" i="5"/>
  <c r="P628" i="5"/>
  <c r="P257" i="5"/>
  <c r="P662" i="5"/>
  <c r="P990" i="5"/>
  <c r="P527" i="5"/>
  <c r="P67" i="5"/>
  <c r="P370" i="5"/>
  <c r="P14" i="5"/>
  <c r="P419" i="5"/>
  <c r="P405" i="5"/>
  <c r="P470" i="5"/>
  <c r="P449" i="5"/>
  <c r="P137" i="5"/>
  <c r="P96" i="5"/>
  <c r="P200" i="5"/>
  <c r="P796" i="5"/>
  <c r="P860" i="5"/>
  <c r="P97" i="5"/>
  <c r="P183" i="5"/>
  <c r="P861" i="5"/>
  <c r="P358" i="5"/>
  <c r="P637" i="5"/>
  <c r="P420" i="5"/>
  <c r="P393" i="5"/>
  <c r="P750" i="5"/>
  <c r="P609" i="5"/>
  <c r="P814" i="5"/>
  <c r="P788" i="5"/>
  <c r="P190" i="5"/>
  <c r="P138" i="5"/>
  <c r="P166" i="5"/>
  <c r="P21" i="5"/>
  <c r="P122" i="5"/>
  <c r="P214" i="5"/>
  <c r="P629" i="5"/>
  <c r="P728" i="5"/>
  <c r="P913" i="5"/>
  <c r="P82" i="5"/>
  <c r="P549" i="5"/>
  <c r="P230" i="5"/>
  <c r="P167" i="5"/>
  <c r="P588" i="5"/>
  <c r="P529" i="5"/>
  <c r="P638" i="5"/>
  <c r="P98" i="5"/>
  <c r="P244" i="5"/>
  <c r="P304" i="5"/>
  <c r="P695" i="5"/>
  <c r="P231" i="5"/>
  <c r="P316" i="5"/>
  <c r="P232" i="5"/>
  <c r="P850" i="5"/>
  <c r="P58" i="5"/>
  <c r="P479" i="5"/>
  <c r="P751" i="5"/>
  <c r="P153" i="5"/>
  <c r="P714" i="5"/>
  <c r="P421" i="5"/>
  <c r="P278" i="5"/>
  <c r="P123" i="5"/>
  <c r="P191" i="5"/>
  <c r="P43" i="5"/>
  <c r="P233" i="5"/>
  <c r="P600" i="5"/>
  <c r="P851" i="5"/>
  <c r="P245" i="5"/>
  <c r="P831" i="5"/>
  <c r="P610" i="5"/>
  <c r="P768" i="5"/>
  <c r="P877" i="5"/>
  <c r="P457" i="5"/>
  <c r="P201" i="5"/>
  <c r="P663" i="5"/>
  <c r="P991" i="5"/>
  <c r="P10" i="5"/>
  <c r="P394" i="5"/>
  <c r="P507" i="5"/>
  <c r="P736" i="5"/>
  <c r="P492" i="5"/>
  <c r="P317" i="5"/>
  <c r="P611" i="5"/>
  <c r="P953" i="5"/>
  <c r="P832" i="5"/>
  <c r="P458" i="5"/>
  <c r="P878" i="5"/>
  <c r="P815" i="5"/>
  <c r="P664" i="5"/>
  <c r="P168" i="5"/>
  <c r="P246" i="5"/>
  <c r="P471" i="5"/>
  <c r="P576" i="5"/>
  <c r="P970" i="5"/>
  <c r="P729" i="5"/>
  <c r="P258" i="5"/>
  <c r="P395" i="5"/>
  <c r="P715" i="5"/>
  <c r="P184" i="5"/>
  <c r="P685" i="5"/>
  <c r="P83" i="5"/>
  <c r="P215" i="5"/>
  <c r="P737" i="5"/>
  <c r="P480" i="5"/>
  <c r="P630" i="5"/>
  <c r="P601" i="5"/>
  <c r="P612" i="5"/>
  <c r="P971" i="5"/>
  <c r="P752" i="5"/>
  <c r="P789" i="5"/>
  <c r="P613" i="5"/>
  <c r="P639" i="5"/>
  <c r="P68" i="5"/>
  <c r="P139" i="5"/>
  <c r="P435" i="5"/>
  <c r="P833" i="5"/>
  <c r="P436" i="5"/>
  <c r="P972" i="5"/>
  <c r="P862" i="5"/>
  <c r="P686" i="5"/>
  <c r="P234" i="5"/>
  <c r="P696" i="5"/>
  <c r="P921" i="5"/>
  <c r="P973" i="5"/>
  <c r="P816" i="5"/>
  <c r="P675" i="5"/>
  <c r="P614" i="5"/>
  <c r="P992" i="5"/>
  <c r="P292" i="5"/>
  <c r="P44" i="5"/>
  <c r="P922" i="5"/>
  <c r="P371" i="5"/>
  <c r="P879" i="5"/>
  <c r="P893" i="5"/>
  <c r="P259" i="5"/>
  <c r="P602" i="5"/>
  <c r="P247" i="5"/>
  <c r="P631" i="5"/>
  <c r="P834" i="5"/>
  <c r="P863" i="5"/>
  <c r="P852" i="5"/>
  <c r="P993" i="5"/>
  <c r="P716" i="5"/>
  <c r="P12" i="5"/>
  <c r="P550" i="5"/>
  <c r="P235" i="5"/>
  <c r="P1004" i="5"/>
  <c r="P22" i="5"/>
  <c r="P615" i="5"/>
  <c r="P202" i="5"/>
  <c r="P717" i="5"/>
  <c r="P69" i="5"/>
  <c r="P904" i="5"/>
  <c r="P1005" i="5"/>
  <c r="P437" i="5"/>
  <c r="P577" i="5"/>
  <c r="P508" i="5"/>
  <c r="P514" i="5"/>
  <c r="P880" i="5"/>
  <c r="P472" i="5"/>
  <c r="P706" i="5"/>
  <c r="P707" i="5"/>
  <c r="P124" i="5"/>
  <c r="P935" i="5"/>
  <c r="P730" i="5"/>
  <c r="P578" i="5"/>
  <c r="P632" i="5"/>
  <c r="P318" i="5"/>
  <c r="P267" i="5"/>
  <c r="P70" i="5"/>
  <c r="P579" i="5"/>
  <c r="P279" i="5"/>
  <c r="P372" i="5"/>
  <c r="P169" i="5"/>
  <c r="P731" i="5"/>
  <c r="P493" i="5"/>
  <c r="P125" i="5"/>
  <c r="P589" i="5"/>
  <c r="P203" i="5"/>
  <c r="P140" i="5"/>
  <c r="P509" i="5"/>
  <c r="P923" i="5"/>
  <c r="P459" i="5"/>
  <c r="P687" i="5"/>
  <c r="P853" i="5"/>
  <c r="P350" i="5"/>
  <c r="P473" i="5"/>
  <c r="P319" i="5"/>
  <c r="P333" i="5"/>
  <c r="P697" i="5"/>
  <c r="P268" i="5"/>
  <c r="P797" i="5"/>
  <c r="P422" i="5"/>
  <c r="P936" i="5"/>
  <c r="P640" i="5"/>
  <c r="P59" i="5"/>
  <c r="P738" i="5"/>
  <c r="P481" i="5"/>
  <c r="P438" i="5"/>
  <c r="P170" i="5"/>
  <c r="P141" i="5"/>
  <c r="P649" i="5"/>
  <c r="G1003" i="5"/>
  <c r="G1002" i="5"/>
  <c r="G1001" i="5"/>
  <c r="G1000" i="5"/>
  <c r="G999" i="5"/>
  <c r="G998" i="5"/>
  <c r="G997" i="5"/>
  <c r="G996" i="5"/>
  <c r="G995" i="5"/>
  <c r="G994" i="5"/>
  <c r="G993" i="5"/>
  <c r="G992" i="5"/>
  <c r="G991" i="5"/>
  <c r="G990" i="5"/>
  <c r="G989" i="5"/>
  <c r="G988" i="5"/>
  <c r="G987" i="5"/>
  <c r="G986" i="5"/>
  <c r="G985" i="5"/>
  <c r="G984" i="5"/>
  <c r="G983" i="5"/>
  <c r="G982" i="5"/>
  <c r="G981" i="5"/>
  <c r="G980" i="5"/>
  <c r="G979" i="5"/>
  <c r="G978" i="5"/>
  <c r="G977" i="5"/>
  <c r="G976" i="5"/>
  <c r="G975" i="5"/>
  <c r="G974" i="5"/>
  <c r="G973" i="5"/>
  <c r="G972" i="5"/>
  <c r="G971" i="5"/>
  <c r="G970" i="5"/>
  <c r="G969" i="5"/>
  <c r="G968" i="5"/>
  <c r="G967" i="5"/>
  <c r="G966" i="5"/>
  <c r="G965" i="5"/>
  <c r="G964" i="5"/>
  <c r="G963" i="5"/>
  <c r="G962" i="5"/>
  <c r="G961" i="5"/>
  <c r="G960" i="5"/>
  <c r="G959" i="5"/>
  <c r="G958" i="5"/>
  <c r="G957" i="5"/>
  <c r="G956" i="5"/>
  <c r="G955" i="5"/>
  <c r="G954" i="5"/>
  <c r="G953" i="5"/>
  <c r="G952" i="5"/>
  <c r="G951" i="5"/>
  <c r="G950" i="5"/>
  <c r="G949" i="5"/>
  <c r="G948" i="5"/>
  <c r="G947" i="5"/>
  <c r="G946" i="5"/>
  <c r="G945" i="5"/>
  <c r="G944" i="5"/>
  <c r="G943" i="5"/>
  <c r="G942" i="5"/>
  <c r="G941" i="5"/>
  <c r="G940" i="5"/>
  <c r="G939" i="5"/>
  <c r="G938" i="5"/>
  <c r="G937" i="5"/>
  <c r="G936" i="5"/>
  <c r="G935" i="5"/>
  <c r="G934" i="5"/>
  <c r="G933" i="5"/>
  <c r="G932" i="5"/>
  <c r="G931" i="5"/>
  <c r="G930" i="5"/>
  <c r="G929" i="5"/>
  <c r="G928" i="5"/>
  <c r="G927" i="5"/>
  <c r="G926" i="5"/>
  <c r="G925" i="5"/>
  <c r="G924" i="5"/>
  <c r="G923" i="5"/>
  <c r="G922" i="5"/>
  <c r="G921" i="5"/>
  <c r="G920" i="5"/>
  <c r="G919" i="5"/>
  <c r="G918" i="5"/>
  <c r="G917" i="5"/>
  <c r="G916" i="5"/>
  <c r="G915" i="5"/>
  <c r="G914" i="5"/>
  <c r="G913" i="5"/>
  <c r="G912" i="5"/>
  <c r="G911" i="5"/>
  <c r="G910" i="5"/>
  <c r="G909" i="5"/>
  <c r="G908" i="5"/>
  <c r="G907" i="5"/>
  <c r="G906" i="5"/>
  <c r="G905" i="5"/>
  <c r="G904" i="5"/>
  <c r="G903" i="5"/>
  <c r="G902" i="5"/>
  <c r="G901" i="5"/>
  <c r="G900" i="5"/>
  <c r="G899" i="5"/>
  <c r="G898" i="5"/>
  <c r="G897" i="5"/>
  <c r="G896" i="5"/>
  <c r="G895" i="5"/>
  <c r="G894" i="5"/>
  <c r="G893" i="5"/>
  <c r="G892" i="5"/>
  <c r="G891" i="5"/>
  <c r="G890" i="5"/>
  <c r="G889" i="5"/>
  <c r="G888" i="5"/>
  <c r="G887" i="5"/>
  <c r="G886" i="5"/>
  <c r="G885" i="5"/>
  <c r="G884" i="5"/>
  <c r="G883" i="5"/>
  <c r="G882" i="5"/>
  <c r="G881" i="5"/>
  <c r="G880" i="5"/>
  <c r="G879" i="5"/>
  <c r="G878" i="5"/>
  <c r="G877" i="5"/>
  <c r="G876" i="5"/>
  <c r="G875" i="5"/>
  <c r="G874" i="5"/>
  <c r="G873" i="5"/>
  <c r="G872" i="5"/>
  <c r="G871" i="5"/>
  <c r="G870" i="5"/>
  <c r="G869" i="5"/>
  <c r="G868" i="5"/>
  <c r="G867" i="5"/>
  <c r="G866" i="5"/>
  <c r="G865" i="5"/>
  <c r="G864" i="5"/>
  <c r="G863" i="5"/>
  <c r="G862" i="5"/>
  <c r="G861" i="5"/>
  <c r="G860" i="5"/>
  <c r="G859" i="5"/>
  <c r="G858" i="5"/>
  <c r="G857" i="5"/>
  <c r="G856" i="5"/>
  <c r="G855" i="5"/>
  <c r="G854" i="5"/>
  <c r="G853" i="5"/>
  <c r="G852" i="5"/>
  <c r="G851" i="5"/>
  <c r="G850" i="5"/>
  <c r="G849" i="5"/>
  <c r="G848" i="5"/>
  <c r="G847" i="5"/>
  <c r="G846" i="5"/>
  <c r="G845" i="5"/>
  <c r="G844" i="5"/>
  <c r="G843" i="5"/>
  <c r="G842" i="5"/>
  <c r="G841" i="5"/>
  <c r="G840" i="5"/>
  <c r="G839" i="5"/>
  <c r="G838" i="5"/>
  <c r="G837" i="5"/>
  <c r="G836" i="5"/>
  <c r="G835" i="5"/>
  <c r="G834" i="5"/>
  <c r="G833" i="5"/>
  <c r="G832" i="5"/>
  <c r="G831" i="5"/>
  <c r="G830" i="5"/>
  <c r="G829" i="5"/>
  <c r="G828" i="5"/>
  <c r="G827" i="5"/>
  <c r="G826" i="5"/>
  <c r="G825" i="5"/>
  <c r="G824" i="5"/>
  <c r="G823" i="5"/>
  <c r="G822" i="5"/>
  <c r="G821" i="5"/>
  <c r="G820" i="5"/>
  <c r="G819" i="5"/>
  <c r="G818" i="5"/>
  <c r="G817" i="5"/>
  <c r="G816" i="5"/>
  <c r="G815" i="5"/>
  <c r="G814" i="5"/>
  <c r="G813" i="5"/>
  <c r="G812" i="5"/>
  <c r="G811" i="5"/>
  <c r="G810" i="5"/>
  <c r="G809" i="5"/>
  <c r="G808" i="5"/>
  <c r="G807" i="5"/>
  <c r="G806" i="5"/>
  <c r="G805" i="5"/>
  <c r="G804" i="5"/>
  <c r="G803" i="5"/>
  <c r="G802" i="5"/>
  <c r="G801" i="5"/>
  <c r="G800" i="5"/>
  <c r="G799" i="5"/>
  <c r="G798" i="5"/>
  <c r="G797" i="5"/>
  <c r="G796" i="5"/>
  <c r="G795" i="5"/>
  <c r="G794" i="5"/>
  <c r="G793" i="5"/>
  <c r="G792" i="5"/>
  <c r="G791" i="5"/>
  <c r="G790" i="5"/>
  <c r="G789" i="5"/>
  <c r="G788" i="5"/>
  <c r="G787" i="5"/>
  <c r="G786" i="5"/>
  <c r="G785" i="5"/>
  <c r="G784" i="5"/>
  <c r="G783" i="5"/>
  <c r="G782" i="5"/>
  <c r="G781" i="5"/>
  <c r="G780" i="5"/>
  <c r="G779" i="5"/>
  <c r="G778" i="5"/>
  <c r="G777" i="5"/>
  <c r="G776" i="5"/>
  <c r="G775" i="5"/>
  <c r="G774" i="5"/>
  <c r="G773" i="5"/>
  <c r="G772" i="5"/>
  <c r="G771" i="5"/>
  <c r="G770" i="5"/>
  <c r="G769" i="5"/>
  <c r="G768" i="5"/>
  <c r="G767" i="5"/>
  <c r="G766" i="5"/>
  <c r="G765" i="5"/>
  <c r="G764" i="5"/>
  <c r="G763" i="5"/>
  <c r="G762" i="5"/>
  <c r="G761" i="5"/>
  <c r="G760" i="5"/>
  <c r="G759" i="5"/>
  <c r="G758" i="5"/>
  <c r="G757" i="5"/>
  <c r="G756" i="5"/>
  <c r="G755" i="5"/>
  <c r="G754" i="5"/>
  <c r="G753" i="5"/>
  <c r="G752" i="5"/>
  <c r="G751" i="5"/>
  <c r="G750" i="5"/>
  <c r="G749" i="5"/>
  <c r="G748" i="5"/>
  <c r="G747" i="5"/>
  <c r="G746" i="5"/>
  <c r="G745" i="5"/>
  <c r="G744" i="5"/>
  <c r="G743" i="5"/>
  <c r="G742" i="5"/>
  <c r="G741" i="5"/>
  <c r="G740" i="5"/>
  <c r="G739" i="5"/>
  <c r="G738" i="5"/>
  <c r="G737" i="5"/>
  <c r="G736" i="5"/>
  <c r="G735" i="5"/>
  <c r="G734" i="5"/>
  <c r="G733" i="5"/>
  <c r="G732" i="5"/>
  <c r="G731" i="5"/>
  <c r="G730" i="5"/>
  <c r="G729" i="5"/>
  <c r="G728" i="5"/>
  <c r="G727" i="5"/>
  <c r="G726" i="5"/>
  <c r="G725" i="5"/>
  <c r="G724" i="5"/>
  <c r="G723" i="5"/>
  <c r="G722" i="5"/>
  <c r="G721" i="5"/>
  <c r="G720" i="5"/>
  <c r="G719" i="5"/>
  <c r="G718" i="5"/>
  <c r="G717" i="5"/>
  <c r="G716" i="5"/>
  <c r="G715" i="5"/>
  <c r="G714" i="5"/>
  <c r="G713" i="5"/>
  <c r="G712" i="5"/>
  <c r="G711" i="5"/>
  <c r="G710" i="5"/>
  <c r="G709" i="5"/>
  <c r="G708" i="5"/>
  <c r="G707" i="5"/>
  <c r="G706" i="5"/>
  <c r="G705" i="5"/>
  <c r="G704" i="5"/>
  <c r="G703" i="5"/>
  <c r="G702" i="5"/>
  <c r="G701" i="5"/>
  <c r="G700" i="5"/>
  <c r="G699" i="5"/>
  <c r="G698" i="5"/>
  <c r="G697" i="5"/>
  <c r="G696" i="5"/>
  <c r="G695" i="5"/>
  <c r="G694" i="5"/>
  <c r="G693" i="5"/>
  <c r="G692" i="5"/>
  <c r="G691" i="5"/>
  <c r="G690" i="5"/>
  <c r="G689" i="5"/>
  <c r="G688" i="5"/>
  <c r="G687" i="5"/>
  <c r="G686" i="5"/>
  <c r="G685" i="5"/>
  <c r="G684" i="5"/>
  <c r="G683" i="5"/>
  <c r="G682" i="5"/>
  <c r="G681" i="5"/>
  <c r="G680" i="5"/>
  <c r="G679" i="5"/>
  <c r="G678" i="5"/>
  <c r="G677" i="5"/>
  <c r="G676" i="5"/>
  <c r="G675" i="5"/>
  <c r="G674" i="5"/>
  <c r="G673" i="5"/>
  <c r="G672" i="5"/>
  <c r="G671" i="5"/>
  <c r="G670" i="5"/>
  <c r="G669" i="5"/>
  <c r="G668" i="5"/>
  <c r="G667" i="5"/>
  <c r="G666" i="5"/>
  <c r="G665" i="5"/>
  <c r="G664" i="5"/>
  <c r="G663" i="5"/>
  <c r="G662" i="5"/>
  <c r="G661" i="5"/>
  <c r="G660" i="5"/>
  <c r="G659" i="5"/>
  <c r="G658" i="5"/>
  <c r="G657" i="5"/>
  <c r="G656" i="5"/>
  <c r="G655" i="5"/>
  <c r="G654" i="5"/>
  <c r="G653" i="5"/>
  <c r="G652" i="5"/>
  <c r="G651" i="5"/>
  <c r="G650" i="5"/>
  <c r="G649" i="5"/>
  <c r="G648" i="5"/>
  <c r="G647" i="5"/>
  <c r="G646" i="5"/>
  <c r="G645" i="5"/>
  <c r="G644" i="5"/>
  <c r="G643" i="5"/>
  <c r="G642" i="5"/>
  <c r="G641" i="5"/>
  <c r="G640" i="5"/>
  <c r="G639" i="5"/>
  <c r="G638" i="5"/>
  <c r="G637" i="5"/>
  <c r="G636" i="5"/>
  <c r="G635" i="5"/>
  <c r="G634" i="5"/>
  <c r="G633" i="5"/>
  <c r="G632" i="5"/>
  <c r="G631" i="5"/>
  <c r="G630" i="5"/>
  <c r="G629" i="5"/>
  <c r="G628" i="5"/>
  <c r="G627" i="5"/>
  <c r="G626" i="5"/>
  <c r="G625" i="5"/>
  <c r="G624" i="5"/>
  <c r="G623" i="5"/>
  <c r="G622" i="5"/>
  <c r="G621" i="5"/>
  <c r="G620" i="5"/>
  <c r="G619" i="5"/>
  <c r="G618" i="5"/>
  <c r="G617" i="5"/>
  <c r="G616" i="5"/>
  <c r="G615" i="5"/>
  <c r="G614" i="5"/>
  <c r="G613" i="5"/>
  <c r="G612" i="5"/>
  <c r="G611" i="5"/>
  <c r="G610" i="5"/>
  <c r="G609" i="5"/>
  <c r="G608" i="5"/>
  <c r="G607" i="5"/>
  <c r="G606" i="5"/>
  <c r="G605" i="5"/>
  <c r="G604" i="5"/>
  <c r="G603" i="5"/>
  <c r="G602" i="5"/>
  <c r="G601" i="5"/>
  <c r="G600" i="5"/>
  <c r="G599" i="5"/>
  <c r="G598" i="5"/>
  <c r="G597" i="5"/>
  <c r="G596" i="5"/>
  <c r="G595" i="5"/>
  <c r="G594" i="5"/>
  <c r="G593" i="5"/>
  <c r="G592" i="5"/>
  <c r="G591" i="5"/>
  <c r="G590" i="5"/>
  <c r="G589" i="5"/>
  <c r="G588" i="5"/>
  <c r="G587" i="5"/>
  <c r="G586" i="5"/>
  <c r="G585" i="5"/>
  <c r="G584" i="5"/>
  <c r="G583" i="5"/>
  <c r="G582" i="5"/>
  <c r="G581" i="5"/>
  <c r="G580" i="5"/>
  <c r="G579" i="5"/>
  <c r="G578" i="5"/>
  <c r="G577" i="5"/>
  <c r="G576" i="5"/>
  <c r="G575" i="5"/>
  <c r="G574" i="5"/>
  <c r="G573" i="5"/>
  <c r="G572" i="5"/>
  <c r="G571" i="5"/>
  <c r="G570" i="5"/>
  <c r="G569" i="5"/>
  <c r="G568" i="5"/>
  <c r="G567" i="5"/>
  <c r="G566" i="5"/>
  <c r="G565" i="5"/>
  <c r="G564" i="5"/>
  <c r="G563" i="5"/>
  <c r="G562" i="5"/>
  <c r="G561" i="5"/>
  <c r="G560" i="5"/>
  <c r="G559" i="5"/>
  <c r="G558" i="5"/>
  <c r="G557" i="5"/>
  <c r="G556" i="5"/>
  <c r="G555" i="5"/>
  <c r="G554" i="5"/>
  <c r="G553" i="5"/>
  <c r="G552" i="5"/>
  <c r="G551" i="5"/>
  <c r="G550" i="5"/>
  <c r="G549" i="5"/>
  <c r="G548" i="5"/>
  <c r="G547" i="5"/>
  <c r="G546" i="5"/>
  <c r="G545" i="5"/>
  <c r="G544" i="5"/>
  <c r="G543" i="5"/>
  <c r="G542" i="5"/>
  <c r="G541" i="5"/>
  <c r="G540" i="5"/>
  <c r="G539" i="5"/>
  <c r="G538" i="5"/>
  <c r="G537" i="5"/>
  <c r="G536" i="5"/>
  <c r="G535" i="5"/>
  <c r="G534" i="5"/>
  <c r="G533" i="5"/>
  <c r="G532" i="5"/>
  <c r="G531" i="5"/>
  <c r="G530" i="5"/>
  <c r="G529" i="5"/>
  <c r="G528" i="5"/>
  <c r="G527" i="5"/>
  <c r="G526" i="5"/>
  <c r="G525" i="5"/>
  <c r="G524" i="5"/>
  <c r="G523" i="5"/>
  <c r="G522" i="5"/>
  <c r="G521" i="5"/>
  <c r="G520" i="5"/>
  <c r="G519" i="5"/>
  <c r="G518" i="5"/>
  <c r="G517" i="5"/>
  <c r="G516" i="5"/>
  <c r="G515" i="5"/>
  <c r="G514" i="5"/>
  <c r="G513" i="5"/>
  <c r="G512" i="5"/>
  <c r="G511" i="5"/>
  <c r="G510" i="5"/>
  <c r="G509" i="5"/>
  <c r="G508" i="5"/>
  <c r="G507" i="5"/>
  <c r="G506" i="5"/>
  <c r="G505" i="5"/>
  <c r="G504" i="5"/>
  <c r="G503" i="5"/>
  <c r="G502" i="5"/>
  <c r="G501" i="5"/>
  <c r="G500" i="5"/>
  <c r="G499" i="5"/>
  <c r="G498" i="5"/>
  <c r="G497" i="5"/>
  <c r="G496" i="5"/>
  <c r="G495" i="5"/>
  <c r="G494" i="5"/>
  <c r="G493" i="5"/>
  <c r="G492" i="5"/>
  <c r="G491" i="5"/>
  <c r="G490" i="5"/>
  <c r="G489" i="5"/>
  <c r="G488" i="5"/>
  <c r="G487" i="5"/>
  <c r="G486" i="5"/>
  <c r="G485" i="5"/>
  <c r="G484" i="5"/>
  <c r="G483" i="5"/>
  <c r="G482" i="5"/>
  <c r="G481" i="5"/>
  <c r="G480" i="5"/>
  <c r="G479" i="5"/>
  <c r="G478" i="5"/>
  <c r="G477" i="5"/>
  <c r="G476" i="5"/>
  <c r="G475" i="5"/>
  <c r="G474" i="5"/>
  <c r="G473" i="5"/>
  <c r="G472" i="5"/>
  <c r="G471" i="5"/>
  <c r="G470" i="5"/>
  <c r="G469" i="5"/>
  <c r="G468" i="5"/>
  <c r="G467" i="5"/>
  <c r="G466" i="5"/>
  <c r="G465" i="5"/>
  <c r="G464" i="5"/>
  <c r="G463" i="5"/>
  <c r="G462" i="5"/>
  <c r="G461" i="5"/>
  <c r="G460" i="5"/>
  <c r="G459" i="5"/>
  <c r="G458" i="5"/>
  <c r="G457" i="5"/>
  <c r="G456" i="5"/>
  <c r="G455" i="5"/>
  <c r="G454" i="5"/>
  <c r="G453" i="5"/>
  <c r="G452" i="5"/>
  <c r="G451" i="5"/>
  <c r="G450" i="5"/>
  <c r="G449" i="5"/>
  <c r="G448" i="5"/>
  <c r="G447" i="5"/>
  <c r="G446" i="5"/>
  <c r="G445" i="5"/>
  <c r="G444" i="5"/>
  <c r="G443" i="5"/>
  <c r="G442" i="5"/>
  <c r="G441" i="5"/>
  <c r="G440" i="5"/>
  <c r="G439" i="5"/>
  <c r="G438" i="5"/>
  <c r="G437" i="5"/>
  <c r="G436" i="5"/>
  <c r="G435" i="5"/>
  <c r="G434" i="5"/>
  <c r="G433" i="5"/>
  <c r="G432" i="5"/>
  <c r="G431" i="5"/>
  <c r="G430" i="5"/>
  <c r="G429" i="5"/>
  <c r="G428" i="5"/>
  <c r="G427" i="5"/>
  <c r="G426" i="5"/>
  <c r="G425" i="5"/>
  <c r="G424" i="5"/>
  <c r="G423" i="5"/>
  <c r="G422" i="5"/>
  <c r="G421" i="5"/>
  <c r="G420" i="5"/>
  <c r="G419" i="5"/>
  <c r="G418" i="5"/>
  <c r="G417" i="5"/>
  <c r="G416" i="5"/>
  <c r="G415" i="5"/>
  <c r="G414" i="5"/>
  <c r="G413" i="5"/>
  <c r="G412" i="5"/>
  <c r="G411" i="5"/>
  <c r="G410" i="5"/>
  <c r="G409" i="5"/>
  <c r="G408" i="5"/>
  <c r="G407" i="5"/>
  <c r="G406" i="5"/>
  <c r="G405" i="5"/>
  <c r="G404" i="5"/>
  <c r="G403" i="5"/>
  <c r="G402" i="5"/>
  <c r="G401" i="5"/>
  <c r="G400" i="5"/>
  <c r="G399" i="5"/>
  <c r="G398" i="5"/>
  <c r="G397" i="5"/>
  <c r="G396" i="5"/>
  <c r="G395" i="5"/>
  <c r="G394" i="5"/>
  <c r="G393" i="5"/>
  <c r="G392" i="5"/>
  <c r="G391" i="5"/>
  <c r="G390" i="5"/>
  <c r="G389" i="5"/>
  <c r="G388" i="5"/>
  <c r="G387" i="5"/>
  <c r="G386" i="5"/>
  <c r="G385" i="5"/>
  <c r="G384" i="5"/>
  <c r="G383" i="5"/>
  <c r="G382" i="5"/>
  <c r="G381" i="5"/>
  <c r="G380" i="5"/>
  <c r="G379" i="5"/>
  <c r="G378" i="5"/>
  <c r="G377" i="5"/>
  <c r="G376" i="5"/>
  <c r="G375" i="5"/>
  <c r="G374" i="5"/>
  <c r="G373" i="5"/>
  <c r="G372" i="5"/>
  <c r="G371" i="5"/>
  <c r="G370" i="5"/>
  <c r="G369" i="5"/>
  <c r="G368" i="5"/>
  <c r="G367" i="5"/>
  <c r="G366" i="5"/>
  <c r="G365" i="5"/>
  <c r="G364" i="5"/>
  <c r="G363" i="5"/>
  <c r="G362" i="5"/>
  <c r="G361" i="5"/>
  <c r="G360" i="5"/>
  <c r="G359" i="5"/>
  <c r="G358" i="5"/>
  <c r="G357" i="5"/>
  <c r="G356" i="5"/>
  <c r="G355" i="5"/>
  <c r="G354" i="5"/>
  <c r="G353" i="5"/>
  <c r="G352" i="5"/>
  <c r="G351" i="5"/>
  <c r="G350" i="5"/>
  <c r="G349" i="5"/>
  <c r="G348" i="5"/>
  <c r="G347" i="5"/>
  <c r="G346" i="5"/>
  <c r="G345" i="5"/>
  <c r="G344" i="5"/>
  <c r="G343" i="5"/>
  <c r="G342" i="5"/>
  <c r="G341" i="5"/>
  <c r="G340" i="5"/>
  <c r="G339" i="5"/>
  <c r="G338" i="5"/>
  <c r="G337" i="5"/>
  <c r="G336" i="5"/>
  <c r="G335" i="5"/>
  <c r="G334" i="5"/>
  <c r="G333" i="5"/>
  <c r="G332" i="5"/>
  <c r="G331" i="5"/>
  <c r="G330" i="5"/>
  <c r="G329" i="5"/>
  <c r="G328" i="5"/>
  <c r="G327" i="5"/>
  <c r="G326" i="5"/>
  <c r="G325" i="5"/>
  <c r="G324" i="5"/>
  <c r="G323" i="5"/>
  <c r="G322" i="5"/>
  <c r="G321" i="5"/>
  <c r="G320" i="5"/>
  <c r="G319" i="5"/>
  <c r="G318" i="5"/>
  <c r="G317" i="5"/>
  <c r="G316" i="5"/>
  <c r="G315" i="5"/>
  <c r="G314" i="5"/>
  <c r="G313" i="5"/>
  <c r="G312" i="5"/>
  <c r="G311" i="5"/>
  <c r="G310" i="5"/>
  <c r="G309" i="5"/>
  <c r="G308" i="5"/>
  <c r="G307" i="5"/>
  <c r="G306" i="5"/>
  <c r="G305" i="5"/>
  <c r="G304" i="5"/>
  <c r="G303" i="5"/>
  <c r="G302" i="5"/>
  <c r="G301" i="5"/>
  <c r="G300" i="5"/>
  <c r="G299" i="5"/>
  <c r="G298" i="5"/>
  <c r="G297" i="5"/>
  <c r="G296" i="5"/>
  <c r="G295" i="5"/>
  <c r="G294" i="5"/>
  <c r="G293" i="5"/>
  <c r="G292" i="5"/>
  <c r="G291" i="5"/>
  <c r="G290" i="5"/>
  <c r="G289" i="5"/>
  <c r="G288" i="5"/>
  <c r="G287" i="5"/>
  <c r="G286" i="5"/>
  <c r="G285" i="5"/>
  <c r="G284" i="5"/>
  <c r="G283" i="5"/>
  <c r="G282" i="5"/>
  <c r="G281" i="5"/>
  <c r="G280" i="5"/>
  <c r="G279" i="5"/>
  <c r="G278" i="5"/>
  <c r="G277" i="5"/>
  <c r="G276" i="5"/>
  <c r="G275" i="5"/>
  <c r="G274" i="5"/>
  <c r="G273" i="5"/>
  <c r="G272" i="5"/>
  <c r="G271" i="5"/>
  <c r="G270" i="5"/>
  <c r="G269" i="5"/>
  <c r="G268" i="5"/>
  <c r="G267" i="5"/>
  <c r="G266" i="5"/>
  <c r="G265" i="5"/>
  <c r="G264" i="5"/>
  <c r="G263" i="5"/>
  <c r="G262" i="5"/>
  <c r="G261" i="5"/>
  <c r="G260" i="5"/>
  <c r="G259" i="5"/>
  <c r="G258" i="5"/>
  <c r="G257" i="5"/>
  <c r="G256" i="5"/>
  <c r="G255" i="5"/>
  <c r="G254" i="5"/>
  <c r="G253" i="5"/>
  <c r="G252" i="5"/>
  <c r="G251" i="5"/>
  <c r="G250" i="5"/>
  <c r="G249" i="5"/>
  <c r="G248" i="5"/>
  <c r="G247" i="5"/>
  <c r="G246" i="5"/>
  <c r="G245" i="5"/>
  <c r="G244" i="5"/>
  <c r="G243" i="5"/>
  <c r="G242" i="5"/>
  <c r="G241" i="5"/>
  <c r="G240" i="5"/>
  <c r="G239" i="5"/>
  <c r="G238" i="5"/>
  <c r="G237" i="5"/>
  <c r="G236" i="5"/>
  <c r="G235" i="5"/>
  <c r="G234" i="5"/>
  <c r="G233" i="5"/>
  <c r="G232" i="5"/>
  <c r="G231" i="5"/>
  <c r="G230" i="5"/>
  <c r="G229" i="5"/>
  <c r="G228" i="5"/>
  <c r="G227" i="5"/>
  <c r="G226" i="5"/>
  <c r="G225" i="5"/>
  <c r="G224" i="5"/>
  <c r="G223" i="5"/>
  <c r="G222" i="5"/>
  <c r="G221" i="5"/>
  <c r="G220" i="5"/>
  <c r="G219" i="5"/>
  <c r="G218" i="5"/>
  <c r="G217" i="5"/>
  <c r="G216" i="5"/>
  <c r="G215" i="5"/>
  <c r="G214" i="5"/>
  <c r="G213" i="5"/>
  <c r="G212" i="5"/>
  <c r="G211" i="5"/>
  <c r="G210" i="5"/>
  <c r="G209" i="5"/>
  <c r="G208" i="5"/>
  <c r="G207" i="5"/>
  <c r="G206" i="5"/>
  <c r="G205" i="5"/>
  <c r="G204" i="5"/>
  <c r="G203" i="5"/>
  <c r="G202" i="5"/>
  <c r="G201" i="5"/>
  <c r="G200" i="5"/>
  <c r="G199" i="5"/>
  <c r="G198" i="5"/>
  <c r="G197" i="5"/>
  <c r="G196" i="5"/>
  <c r="G195" i="5"/>
  <c r="G194" i="5"/>
  <c r="G193" i="5"/>
  <c r="G192" i="5"/>
  <c r="G191" i="5"/>
  <c r="G190" i="5"/>
  <c r="G189" i="5"/>
  <c r="G188" i="5"/>
  <c r="G187" i="5"/>
  <c r="G186" i="5"/>
  <c r="G185" i="5"/>
  <c r="G184" i="5"/>
  <c r="G183" i="5"/>
  <c r="G182" i="5"/>
  <c r="G181" i="5"/>
  <c r="G180" i="5"/>
  <c r="G179" i="5"/>
  <c r="G178" i="5"/>
  <c r="G177" i="5"/>
  <c r="G176" i="5"/>
  <c r="G175" i="5"/>
  <c r="G174" i="5"/>
  <c r="G173" i="5"/>
  <c r="G172" i="5"/>
  <c r="G171" i="5"/>
  <c r="G170" i="5"/>
  <c r="G169" i="5"/>
  <c r="G168" i="5"/>
  <c r="G167" i="5"/>
  <c r="G166" i="5"/>
  <c r="G165" i="5"/>
  <c r="G164" i="5"/>
  <c r="G163" i="5"/>
  <c r="G162" i="5"/>
  <c r="G161" i="5"/>
  <c r="G160" i="5"/>
  <c r="G159" i="5"/>
  <c r="G158" i="5"/>
  <c r="G157" i="5"/>
  <c r="G156" i="5"/>
  <c r="G155" i="5"/>
  <c r="G154" i="5"/>
  <c r="G153" i="5"/>
  <c r="G152" i="5"/>
  <c r="G151" i="5"/>
  <c r="G150" i="5"/>
  <c r="G149" i="5"/>
  <c r="G148" i="5"/>
  <c r="G147" i="5"/>
  <c r="G146" i="5"/>
  <c r="G145" i="5"/>
  <c r="G144" i="5"/>
  <c r="G143" i="5"/>
  <c r="G142" i="5"/>
  <c r="G141" i="5"/>
  <c r="G140" i="5"/>
  <c r="G139" i="5"/>
  <c r="G138" i="5"/>
  <c r="G137" i="5"/>
  <c r="G136" i="5"/>
  <c r="G135" i="5"/>
  <c r="G134" i="5"/>
  <c r="G133" i="5"/>
  <c r="G132" i="5"/>
  <c r="G131" i="5"/>
  <c r="G130" i="5"/>
  <c r="G129" i="5"/>
  <c r="G128" i="5"/>
  <c r="G127" i="5"/>
  <c r="G126" i="5"/>
  <c r="G125" i="5"/>
  <c r="G124" i="5"/>
  <c r="G123" i="5"/>
  <c r="G122" i="5"/>
  <c r="G121" i="5"/>
  <c r="G120" i="5"/>
  <c r="G119" i="5"/>
  <c r="G118" i="5"/>
  <c r="G117" i="5"/>
  <c r="G116" i="5"/>
  <c r="G115" i="5"/>
  <c r="G114" i="5"/>
  <c r="G113" i="5"/>
  <c r="G112" i="5"/>
  <c r="G111" i="5"/>
  <c r="G110" i="5"/>
  <c r="G109" i="5"/>
  <c r="G108" i="5"/>
  <c r="G107" i="5"/>
  <c r="G106" i="5"/>
  <c r="G105" i="5"/>
  <c r="G104" i="5"/>
  <c r="G103" i="5"/>
  <c r="G102" i="5"/>
  <c r="G101" i="5"/>
  <c r="G100" i="5"/>
  <c r="G99" i="5"/>
  <c r="G98" i="5"/>
  <c r="G97" i="5"/>
  <c r="G96" i="5"/>
  <c r="G95" i="5"/>
  <c r="G94" i="5"/>
  <c r="G93" i="5"/>
  <c r="G92" i="5"/>
  <c r="G91" i="5"/>
  <c r="G90" i="5"/>
  <c r="G89" i="5"/>
  <c r="G88" i="5"/>
  <c r="G87" i="5"/>
  <c r="G86" i="5"/>
  <c r="G85" i="5"/>
  <c r="G84" i="5"/>
  <c r="G83" i="5"/>
  <c r="G82" i="5"/>
  <c r="G81" i="5"/>
  <c r="G80" i="5"/>
  <c r="G79" i="5"/>
  <c r="G78" i="5"/>
  <c r="G77" i="5"/>
  <c r="G76" i="5"/>
  <c r="G75" i="5"/>
  <c r="G74" i="5"/>
  <c r="G73" i="5"/>
  <c r="G72" i="5"/>
  <c r="G71" i="5"/>
  <c r="G70" i="5"/>
  <c r="G69" i="5"/>
  <c r="G68" i="5"/>
  <c r="G67" i="5"/>
  <c r="G66" i="5"/>
  <c r="G65" i="5"/>
  <c r="G64" i="5"/>
  <c r="G63" i="5"/>
  <c r="G62" i="5"/>
  <c r="G61" i="5"/>
  <c r="G60" i="5"/>
  <c r="G59" i="5"/>
  <c r="G58" i="5"/>
  <c r="G57" i="5"/>
  <c r="G56" i="5"/>
  <c r="G55" i="5"/>
  <c r="G54" i="5"/>
  <c r="G53" i="5"/>
  <c r="G52" i="5"/>
  <c r="G51" i="5"/>
  <c r="G50" i="5"/>
  <c r="G49" i="5"/>
  <c r="G48" i="5"/>
  <c r="G47" i="5"/>
  <c r="G46" i="5"/>
  <c r="G45" i="5"/>
  <c r="G44" i="5"/>
  <c r="G43" i="5"/>
  <c r="G42" i="5"/>
  <c r="G41" i="5"/>
  <c r="G40" i="5"/>
  <c r="G39" i="5"/>
  <c r="G38" i="5"/>
  <c r="G37" i="5"/>
  <c r="G36" i="5"/>
  <c r="G35" i="5"/>
  <c r="G34" i="5"/>
  <c r="G33" i="5"/>
  <c r="G32" i="5"/>
  <c r="G31" i="5"/>
  <c r="G30" i="5"/>
  <c r="G29" i="5"/>
  <c r="G28" i="5"/>
  <c r="G27" i="5"/>
  <c r="G26" i="5"/>
  <c r="G25" i="5"/>
  <c r="G24" i="5"/>
  <c r="G23" i="5"/>
  <c r="G22" i="5"/>
  <c r="G21" i="5"/>
  <c r="G20" i="5"/>
  <c r="G19" i="5"/>
  <c r="G18" i="5"/>
  <c r="G17" i="5"/>
  <c r="G16" i="5"/>
  <c r="G15" i="5"/>
  <c r="G14" i="5"/>
  <c r="G13" i="5"/>
  <c r="G12" i="5"/>
  <c r="G11" i="5"/>
  <c r="G10" i="5"/>
  <c r="G9" i="5"/>
  <c r="G8" i="5"/>
  <c r="G7" i="5"/>
  <c r="G6" i="5"/>
  <c r="G5" i="5"/>
  <c r="G4" i="5"/>
  <c r="F2" i="2"/>
  <c r="F3" i="2"/>
  <c r="F4" i="2"/>
  <c r="F5" i="2"/>
  <c r="F6" i="2"/>
  <c r="F7" i="2"/>
  <c r="F8" i="2"/>
  <c r="F9" i="2"/>
  <c r="F10" i="2"/>
  <c r="F11" i="2"/>
  <c r="F12" i="2"/>
  <c r="F13" i="2"/>
  <c r="F14" i="2"/>
  <c r="F15" i="2"/>
  <c r="F16" i="2"/>
  <c r="F17" i="2"/>
  <c r="F18" i="2"/>
  <c r="F19" i="2"/>
  <c r="F20" i="2"/>
  <c r="F21" i="2"/>
  <c r="F22" i="2"/>
  <c r="F23" i="2"/>
  <c r="F24" i="2"/>
  <c r="F25" i="2"/>
  <c r="F26" i="2"/>
  <c r="F27" i="2"/>
  <c r="F28" i="2"/>
  <c r="F29" i="2"/>
  <c r="F30" i="2"/>
  <c r="F31" i="2"/>
  <c r="F32" i="2"/>
  <c r="F33" i="2"/>
  <c r="F34" i="2"/>
  <c r="F35" i="2"/>
  <c r="F36" i="2"/>
  <c r="F37" i="2"/>
  <c r="F38" i="2"/>
  <c r="F39" i="2"/>
  <c r="F40" i="2"/>
  <c r="F41" i="2"/>
  <c r="F42" i="2"/>
  <c r="F43" i="2"/>
  <c r="F44" i="2"/>
  <c r="F45" i="2"/>
  <c r="F46" i="2"/>
  <c r="F47" i="2"/>
  <c r="F48" i="2"/>
  <c r="F49" i="2"/>
  <c r="F50" i="2"/>
  <c r="F51" i="2"/>
  <c r="F52" i="2"/>
  <c r="F53" i="2"/>
  <c r="F54" i="2"/>
  <c r="F55" i="2"/>
  <c r="F56" i="2"/>
  <c r="F57" i="2"/>
  <c r="F58" i="2"/>
  <c r="F59" i="2"/>
  <c r="F60" i="2"/>
  <c r="F61" i="2"/>
  <c r="F62" i="2"/>
  <c r="F63" i="2"/>
  <c r="F64" i="2"/>
  <c r="F65" i="2"/>
  <c r="F66" i="2"/>
  <c r="F67" i="2"/>
  <c r="F68" i="2"/>
  <c r="F69" i="2"/>
  <c r="F70" i="2"/>
  <c r="F71" i="2"/>
  <c r="F72" i="2"/>
  <c r="F73" i="2"/>
  <c r="F74" i="2"/>
  <c r="F75" i="2"/>
  <c r="F76" i="2"/>
  <c r="F77" i="2"/>
  <c r="F78" i="2"/>
  <c r="F79" i="2"/>
  <c r="F80" i="2"/>
  <c r="F81" i="2"/>
  <c r="F82" i="2"/>
  <c r="F83" i="2"/>
  <c r="F84" i="2"/>
  <c r="F85" i="2"/>
  <c r="F86" i="2"/>
  <c r="F87" i="2"/>
  <c r="F88" i="2"/>
  <c r="F89" i="2"/>
  <c r="F90" i="2"/>
  <c r="F91" i="2"/>
  <c r="F92" i="2"/>
  <c r="F93" i="2"/>
  <c r="F94" i="2"/>
  <c r="F95" i="2"/>
  <c r="F96" i="2"/>
  <c r="F97" i="2"/>
  <c r="F98" i="2"/>
  <c r="F99" i="2"/>
  <c r="F100" i="2"/>
  <c r="F101" i="2"/>
  <c r="F102" i="2"/>
  <c r="F103" i="2"/>
  <c r="F104" i="2"/>
  <c r="F105" i="2"/>
  <c r="F106" i="2"/>
  <c r="F107" i="2"/>
  <c r="F108" i="2"/>
  <c r="F109" i="2"/>
  <c r="F110" i="2"/>
  <c r="F111" i="2"/>
  <c r="F112" i="2"/>
  <c r="F113" i="2"/>
  <c r="F114" i="2"/>
  <c r="F115" i="2"/>
  <c r="F116" i="2"/>
  <c r="F117" i="2"/>
  <c r="F118" i="2"/>
  <c r="F119" i="2"/>
  <c r="F120" i="2"/>
  <c r="F121" i="2"/>
  <c r="F122" i="2"/>
  <c r="F123" i="2"/>
  <c r="F124" i="2"/>
  <c r="F125" i="2"/>
  <c r="F126" i="2"/>
  <c r="F127" i="2"/>
  <c r="F128" i="2"/>
  <c r="F129" i="2"/>
  <c r="F130" i="2"/>
  <c r="F131" i="2"/>
  <c r="F132" i="2"/>
  <c r="F133" i="2"/>
  <c r="F134" i="2"/>
  <c r="F135" i="2"/>
  <c r="F136" i="2"/>
  <c r="F137" i="2"/>
  <c r="F138" i="2"/>
  <c r="F139" i="2"/>
  <c r="F140" i="2"/>
  <c r="F141" i="2"/>
  <c r="F142" i="2"/>
  <c r="F143" i="2"/>
  <c r="F144" i="2"/>
  <c r="F145" i="2"/>
  <c r="F146" i="2"/>
  <c r="F147" i="2"/>
  <c r="F148" i="2"/>
  <c r="F149" i="2"/>
  <c r="F150" i="2"/>
  <c r="F151" i="2"/>
  <c r="F152" i="2"/>
  <c r="F153" i="2"/>
  <c r="F154" i="2"/>
  <c r="F155" i="2"/>
  <c r="F156" i="2"/>
  <c r="F157" i="2"/>
  <c r="F158" i="2"/>
  <c r="F159" i="2"/>
  <c r="F160" i="2"/>
  <c r="F161" i="2"/>
  <c r="F162" i="2"/>
  <c r="F163" i="2"/>
  <c r="F164" i="2"/>
  <c r="F165" i="2"/>
  <c r="F166" i="2"/>
  <c r="F167" i="2"/>
  <c r="F168" i="2"/>
  <c r="F169" i="2"/>
  <c r="F170" i="2"/>
  <c r="F171" i="2"/>
  <c r="F172" i="2"/>
  <c r="F173" i="2"/>
  <c r="F174" i="2"/>
  <c r="F175" i="2"/>
  <c r="F176" i="2"/>
  <c r="F177" i="2"/>
  <c r="F178" i="2"/>
  <c r="F179" i="2"/>
  <c r="F180" i="2"/>
  <c r="F181" i="2"/>
  <c r="F182" i="2"/>
  <c r="F183" i="2"/>
  <c r="F184" i="2"/>
  <c r="F185" i="2"/>
  <c r="F186" i="2"/>
  <c r="F187" i="2"/>
  <c r="F188" i="2"/>
  <c r="F189" i="2"/>
  <c r="F190" i="2"/>
  <c r="F191" i="2"/>
  <c r="F192" i="2"/>
  <c r="F193" i="2"/>
  <c r="F194" i="2"/>
  <c r="F195" i="2"/>
  <c r="F196" i="2"/>
  <c r="F197" i="2"/>
  <c r="F198" i="2"/>
  <c r="F199" i="2"/>
  <c r="F200" i="2"/>
  <c r="F201" i="2"/>
  <c r="F202" i="2"/>
  <c r="F203" i="2"/>
  <c r="F204" i="2"/>
  <c r="F205" i="2"/>
  <c r="F206" i="2"/>
  <c r="F207" i="2"/>
  <c r="F208" i="2"/>
  <c r="F209" i="2"/>
  <c r="F210" i="2"/>
  <c r="F211" i="2"/>
  <c r="F212" i="2"/>
  <c r="F213" i="2"/>
  <c r="F214" i="2"/>
  <c r="F215" i="2"/>
  <c r="F216" i="2"/>
  <c r="F217" i="2"/>
  <c r="F218" i="2"/>
  <c r="F219" i="2"/>
  <c r="F220" i="2"/>
  <c r="F221" i="2"/>
  <c r="F222" i="2"/>
  <c r="F223" i="2"/>
  <c r="F224" i="2"/>
  <c r="F225" i="2"/>
  <c r="F226" i="2"/>
  <c r="F227" i="2"/>
  <c r="F228" i="2"/>
  <c r="F229" i="2"/>
  <c r="F230" i="2"/>
  <c r="F231" i="2"/>
  <c r="F232" i="2"/>
  <c r="F233" i="2"/>
  <c r="F234" i="2"/>
  <c r="F235" i="2"/>
  <c r="F236" i="2"/>
  <c r="F237" i="2"/>
  <c r="F238" i="2"/>
  <c r="F239" i="2"/>
  <c r="F240" i="2"/>
  <c r="F241" i="2"/>
  <c r="F242" i="2"/>
  <c r="F243" i="2"/>
  <c r="F244" i="2"/>
  <c r="F245" i="2"/>
  <c r="F246" i="2"/>
  <c r="F247" i="2"/>
  <c r="F248" i="2"/>
  <c r="F249" i="2"/>
  <c r="F250" i="2"/>
  <c r="F251" i="2"/>
  <c r="F252" i="2"/>
  <c r="F253" i="2"/>
  <c r="F254" i="2"/>
  <c r="F255" i="2"/>
  <c r="F256" i="2"/>
  <c r="F257" i="2"/>
  <c r="F258" i="2"/>
  <c r="F259" i="2"/>
  <c r="F260" i="2"/>
  <c r="F261" i="2"/>
  <c r="F262" i="2"/>
  <c r="F263" i="2"/>
  <c r="F264" i="2"/>
  <c r="F265" i="2"/>
  <c r="F266" i="2"/>
  <c r="F267" i="2"/>
  <c r="F268" i="2"/>
  <c r="F269" i="2"/>
  <c r="F270" i="2"/>
  <c r="F271" i="2"/>
  <c r="F272" i="2"/>
  <c r="F273" i="2"/>
  <c r="F274" i="2"/>
  <c r="F275" i="2"/>
  <c r="F276" i="2"/>
  <c r="F277" i="2"/>
  <c r="F278" i="2"/>
  <c r="F279" i="2"/>
  <c r="F280" i="2"/>
  <c r="F281" i="2"/>
  <c r="F282" i="2"/>
  <c r="F283" i="2"/>
  <c r="F284" i="2"/>
  <c r="F285" i="2"/>
  <c r="F286" i="2"/>
  <c r="F287" i="2"/>
  <c r="F288" i="2"/>
  <c r="F289" i="2"/>
  <c r="F290" i="2"/>
  <c r="F291" i="2"/>
  <c r="F292" i="2"/>
  <c r="F293" i="2"/>
  <c r="F294" i="2"/>
  <c r="F295" i="2"/>
  <c r="F296" i="2"/>
  <c r="F297" i="2"/>
  <c r="F298" i="2"/>
  <c r="F299" i="2"/>
  <c r="F300" i="2"/>
  <c r="F301" i="2"/>
  <c r="F302" i="2"/>
  <c r="F303" i="2"/>
  <c r="F304" i="2"/>
  <c r="F305" i="2"/>
  <c r="F306" i="2"/>
  <c r="F307" i="2"/>
  <c r="F308" i="2"/>
  <c r="F309" i="2"/>
  <c r="F310" i="2"/>
  <c r="F311" i="2"/>
  <c r="F312" i="2"/>
  <c r="F313" i="2"/>
  <c r="F314" i="2"/>
  <c r="F315" i="2"/>
  <c r="F316" i="2"/>
  <c r="F317" i="2"/>
  <c r="F318" i="2"/>
  <c r="F319" i="2"/>
  <c r="F320" i="2"/>
  <c r="F321" i="2"/>
  <c r="F322" i="2"/>
  <c r="F323" i="2"/>
  <c r="F324" i="2"/>
  <c r="F325" i="2"/>
  <c r="F326" i="2"/>
  <c r="F327" i="2"/>
  <c r="F328" i="2"/>
  <c r="F329" i="2"/>
  <c r="F330" i="2"/>
  <c r="F331" i="2"/>
  <c r="F332" i="2"/>
  <c r="F333" i="2"/>
  <c r="F334" i="2"/>
  <c r="F335" i="2"/>
  <c r="F336" i="2"/>
  <c r="F337" i="2"/>
  <c r="F338" i="2"/>
  <c r="F339" i="2"/>
  <c r="F340" i="2"/>
  <c r="F341" i="2"/>
  <c r="F342" i="2"/>
  <c r="F343" i="2"/>
  <c r="F344" i="2"/>
  <c r="F345" i="2"/>
  <c r="F346" i="2"/>
  <c r="F347" i="2"/>
  <c r="F348" i="2"/>
  <c r="F349" i="2"/>
  <c r="F350" i="2"/>
  <c r="F351" i="2"/>
  <c r="F352" i="2"/>
  <c r="F353" i="2"/>
  <c r="F354" i="2"/>
  <c r="F355" i="2"/>
  <c r="F356" i="2"/>
  <c r="F357" i="2"/>
  <c r="F358" i="2"/>
  <c r="F359" i="2"/>
  <c r="F360" i="2"/>
  <c r="F361" i="2"/>
  <c r="F362" i="2"/>
  <c r="F363" i="2"/>
  <c r="F364" i="2"/>
  <c r="F365" i="2"/>
  <c r="F366" i="2"/>
  <c r="F367" i="2"/>
  <c r="F368" i="2"/>
  <c r="F369" i="2"/>
  <c r="F370" i="2"/>
  <c r="F371" i="2"/>
  <c r="F372" i="2"/>
  <c r="F373" i="2"/>
  <c r="F374" i="2"/>
  <c r="F375" i="2"/>
  <c r="F376" i="2"/>
  <c r="F377" i="2"/>
  <c r="F378" i="2"/>
  <c r="F379" i="2"/>
  <c r="F380" i="2"/>
  <c r="F381" i="2"/>
  <c r="F382" i="2"/>
  <c r="F383" i="2"/>
  <c r="F384" i="2"/>
  <c r="F385" i="2"/>
  <c r="F386" i="2"/>
  <c r="F387" i="2"/>
  <c r="F388" i="2"/>
  <c r="F389" i="2"/>
  <c r="F390" i="2"/>
  <c r="F391" i="2"/>
  <c r="F392" i="2"/>
  <c r="F393" i="2"/>
  <c r="F394" i="2"/>
  <c r="F395" i="2"/>
  <c r="F396" i="2"/>
  <c r="F397" i="2"/>
  <c r="F398" i="2"/>
  <c r="F399" i="2"/>
  <c r="F400" i="2"/>
  <c r="F401" i="2"/>
  <c r="F402" i="2"/>
  <c r="F403" i="2"/>
  <c r="F404" i="2"/>
  <c r="F405" i="2"/>
  <c r="F406" i="2"/>
  <c r="F407" i="2"/>
  <c r="F408" i="2"/>
  <c r="F409" i="2"/>
  <c r="F410" i="2"/>
  <c r="F411" i="2"/>
  <c r="F412" i="2"/>
  <c r="F413" i="2"/>
  <c r="F414" i="2"/>
  <c r="F415" i="2"/>
  <c r="F416" i="2"/>
  <c r="F417" i="2"/>
  <c r="F418" i="2"/>
  <c r="F419" i="2"/>
  <c r="F420" i="2"/>
  <c r="F421" i="2"/>
  <c r="F422" i="2"/>
  <c r="F423" i="2"/>
  <c r="F424" i="2"/>
  <c r="F425" i="2"/>
  <c r="F426" i="2"/>
  <c r="F427" i="2"/>
  <c r="F428" i="2"/>
  <c r="F429" i="2"/>
  <c r="F430" i="2"/>
  <c r="F431" i="2"/>
  <c r="F432" i="2"/>
  <c r="F433" i="2"/>
  <c r="F434" i="2"/>
  <c r="F435" i="2"/>
  <c r="F436" i="2"/>
  <c r="F437" i="2"/>
  <c r="F438" i="2"/>
  <c r="F439" i="2"/>
  <c r="F440" i="2"/>
  <c r="F441" i="2"/>
  <c r="F442" i="2"/>
  <c r="F443" i="2"/>
  <c r="F444" i="2"/>
  <c r="F445" i="2"/>
  <c r="F446" i="2"/>
  <c r="F447" i="2"/>
  <c r="F448" i="2"/>
  <c r="F449" i="2"/>
  <c r="F450" i="2"/>
  <c r="F451" i="2"/>
  <c r="F452" i="2"/>
  <c r="F453" i="2"/>
  <c r="F454" i="2"/>
  <c r="F455" i="2"/>
  <c r="F456" i="2"/>
  <c r="F457" i="2"/>
  <c r="F458" i="2"/>
  <c r="F459" i="2"/>
  <c r="F460" i="2"/>
  <c r="F461" i="2"/>
  <c r="F462" i="2"/>
  <c r="F463" i="2"/>
  <c r="F464" i="2"/>
  <c r="F465" i="2"/>
  <c r="F466" i="2"/>
  <c r="F467" i="2"/>
  <c r="F468" i="2"/>
  <c r="F469" i="2"/>
  <c r="F470" i="2"/>
  <c r="F471" i="2"/>
  <c r="F472" i="2"/>
  <c r="F473" i="2"/>
  <c r="F474" i="2"/>
  <c r="F475" i="2"/>
  <c r="F476" i="2"/>
  <c r="F477" i="2"/>
  <c r="F478" i="2"/>
  <c r="F479" i="2"/>
  <c r="F480" i="2"/>
  <c r="F481" i="2"/>
  <c r="F482" i="2"/>
  <c r="F483" i="2"/>
  <c r="F484" i="2"/>
  <c r="F485" i="2"/>
  <c r="F486" i="2"/>
  <c r="F487" i="2"/>
  <c r="F488" i="2"/>
  <c r="F489" i="2"/>
  <c r="F490" i="2"/>
  <c r="F491" i="2"/>
  <c r="F492" i="2"/>
  <c r="F493" i="2"/>
  <c r="F494" i="2"/>
  <c r="F495" i="2"/>
  <c r="F496" i="2"/>
  <c r="F497" i="2"/>
  <c r="F498" i="2"/>
  <c r="F499" i="2"/>
  <c r="F500" i="2"/>
  <c r="F501" i="2"/>
  <c r="F502" i="2"/>
  <c r="F503" i="2"/>
  <c r="F504" i="2"/>
  <c r="F505" i="2"/>
  <c r="F506" i="2"/>
  <c r="F507" i="2"/>
  <c r="F508" i="2"/>
  <c r="F509" i="2"/>
  <c r="F510" i="2"/>
  <c r="F511" i="2"/>
  <c r="F512" i="2"/>
  <c r="F513" i="2"/>
  <c r="F514" i="2"/>
  <c r="F515" i="2"/>
  <c r="F516" i="2"/>
  <c r="F517" i="2"/>
  <c r="F518" i="2"/>
  <c r="F519" i="2"/>
  <c r="F520" i="2"/>
  <c r="F521" i="2"/>
  <c r="F522" i="2"/>
  <c r="F523" i="2"/>
  <c r="F524" i="2"/>
  <c r="F525" i="2"/>
  <c r="F526" i="2"/>
  <c r="F527" i="2"/>
  <c r="F528" i="2"/>
  <c r="F529" i="2"/>
  <c r="F530" i="2"/>
  <c r="F531" i="2"/>
  <c r="F532" i="2"/>
  <c r="F533" i="2"/>
  <c r="F534" i="2"/>
  <c r="F535" i="2"/>
  <c r="F536" i="2"/>
  <c r="F537" i="2"/>
  <c r="F538" i="2"/>
  <c r="F539" i="2"/>
  <c r="F540" i="2"/>
  <c r="F541" i="2"/>
  <c r="F542" i="2"/>
  <c r="F543" i="2"/>
  <c r="F544" i="2"/>
  <c r="F545" i="2"/>
  <c r="F546" i="2"/>
  <c r="F547" i="2"/>
  <c r="F548" i="2"/>
  <c r="F549" i="2"/>
  <c r="F550" i="2"/>
  <c r="F551" i="2"/>
  <c r="F552" i="2"/>
  <c r="F553" i="2"/>
  <c r="F554" i="2"/>
  <c r="F555" i="2"/>
  <c r="F556" i="2"/>
  <c r="F557" i="2"/>
  <c r="F558" i="2"/>
  <c r="F559" i="2"/>
  <c r="F560" i="2"/>
  <c r="F561" i="2"/>
  <c r="F562" i="2"/>
  <c r="F563" i="2"/>
  <c r="F564" i="2"/>
  <c r="F565" i="2"/>
  <c r="F566" i="2"/>
  <c r="F567" i="2"/>
  <c r="F568" i="2"/>
  <c r="F569" i="2"/>
  <c r="F570" i="2"/>
  <c r="F571" i="2"/>
  <c r="F572" i="2"/>
  <c r="F573" i="2"/>
  <c r="F574" i="2"/>
  <c r="F575" i="2"/>
  <c r="F576" i="2"/>
  <c r="F577" i="2"/>
  <c r="F578" i="2"/>
  <c r="F579" i="2"/>
  <c r="F580" i="2"/>
  <c r="F581" i="2"/>
  <c r="F582" i="2"/>
  <c r="F583" i="2"/>
  <c r="F584" i="2"/>
  <c r="F585" i="2"/>
  <c r="F586" i="2"/>
  <c r="F587" i="2"/>
  <c r="F588" i="2"/>
  <c r="F589" i="2"/>
  <c r="F590" i="2"/>
  <c r="F591" i="2"/>
  <c r="F592" i="2"/>
  <c r="F593" i="2"/>
  <c r="F594" i="2"/>
  <c r="F595" i="2"/>
  <c r="F596" i="2"/>
  <c r="F597" i="2"/>
  <c r="F598" i="2"/>
  <c r="F599" i="2"/>
  <c r="F600" i="2"/>
  <c r="F601" i="2"/>
  <c r="F602" i="2"/>
  <c r="F603" i="2"/>
  <c r="F604" i="2"/>
  <c r="F605" i="2"/>
  <c r="F606" i="2"/>
  <c r="F607" i="2"/>
  <c r="F608" i="2"/>
  <c r="F609" i="2"/>
  <c r="F610" i="2"/>
  <c r="F611" i="2"/>
  <c r="F612" i="2"/>
  <c r="F613" i="2"/>
  <c r="F614" i="2"/>
  <c r="F615" i="2"/>
  <c r="F616" i="2"/>
  <c r="F617" i="2"/>
  <c r="F618" i="2"/>
  <c r="F619" i="2"/>
  <c r="F620" i="2"/>
  <c r="F621" i="2"/>
  <c r="F622" i="2"/>
  <c r="F623" i="2"/>
  <c r="F624" i="2"/>
  <c r="F625" i="2"/>
  <c r="F626" i="2"/>
  <c r="F627" i="2"/>
  <c r="F628" i="2"/>
  <c r="F629" i="2"/>
  <c r="F630" i="2"/>
  <c r="F631" i="2"/>
  <c r="F632" i="2"/>
  <c r="F633" i="2"/>
  <c r="F634" i="2"/>
  <c r="F635" i="2"/>
  <c r="F636" i="2"/>
  <c r="F637" i="2"/>
  <c r="F638" i="2"/>
  <c r="F639" i="2"/>
  <c r="F640" i="2"/>
  <c r="F641" i="2"/>
  <c r="F642" i="2"/>
  <c r="F643" i="2"/>
  <c r="F644" i="2"/>
  <c r="F645" i="2"/>
  <c r="F646" i="2"/>
  <c r="F647" i="2"/>
  <c r="F648" i="2"/>
  <c r="F649" i="2"/>
  <c r="F650" i="2"/>
  <c r="F651" i="2"/>
  <c r="F652" i="2"/>
  <c r="F653" i="2"/>
  <c r="F654" i="2"/>
  <c r="F655" i="2"/>
  <c r="F656" i="2"/>
  <c r="F657" i="2"/>
  <c r="F658" i="2"/>
  <c r="F659" i="2"/>
  <c r="F660" i="2"/>
  <c r="F661" i="2"/>
  <c r="F662" i="2"/>
  <c r="F663" i="2"/>
  <c r="F664" i="2"/>
  <c r="F665" i="2"/>
  <c r="F666" i="2"/>
  <c r="F667" i="2"/>
  <c r="F668" i="2"/>
  <c r="F669" i="2"/>
  <c r="F670" i="2"/>
  <c r="F671" i="2"/>
  <c r="F672" i="2"/>
  <c r="F673" i="2"/>
  <c r="F674" i="2"/>
  <c r="F675" i="2"/>
  <c r="F676" i="2"/>
  <c r="F677" i="2"/>
  <c r="F678" i="2"/>
  <c r="F679" i="2"/>
  <c r="F680" i="2"/>
  <c r="F681" i="2"/>
  <c r="F682" i="2"/>
  <c r="F683" i="2"/>
  <c r="F684" i="2"/>
  <c r="F685" i="2"/>
  <c r="F686" i="2"/>
  <c r="F687" i="2"/>
  <c r="F688" i="2"/>
  <c r="F689" i="2"/>
  <c r="F690" i="2"/>
  <c r="F691" i="2"/>
  <c r="F692" i="2"/>
  <c r="F693" i="2"/>
  <c r="F694" i="2"/>
  <c r="F695" i="2"/>
  <c r="F696" i="2"/>
  <c r="F697" i="2"/>
  <c r="F698" i="2"/>
  <c r="F699" i="2"/>
  <c r="F700" i="2"/>
  <c r="F701" i="2"/>
  <c r="F702" i="2"/>
  <c r="F703" i="2"/>
  <c r="F704" i="2"/>
  <c r="F705" i="2"/>
  <c r="F706" i="2"/>
  <c r="F707" i="2"/>
  <c r="F708" i="2"/>
  <c r="F709" i="2"/>
  <c r="F710" i="2"/>
  <c r="F711" i="2"/>
  <c r="F712" i="2"/>
  <c r="F713" i="2"/>
  <c r="F714" i="2"/>
  <c r="F715" i="2"/>
  <c r="F716" i="2"/>
  <c r="F717" i="2"/>
  <c r="F718" i="2"/>
  <c r="F719" i="2"/>
  <c r="F720" i="2"/>
  <c r="F721" i="2"/>
  <c r="F722" i="2"/>
  <c r="F723" i="2"/>
  <c r="F724" i="2"/>
  <c r="F725" i="2"/>
  <c r="F726" i="2"/>
  <c r="F727" i="2"/>
  <c r="F728" i="2"/>
  <c r="F729" i="2"/>
  <c r="F730" i="2"/>
  <c r="F731" i="2"/>
  <c r="F732" i="2"/>
  <c r="F733" i="2"/>
  <c r="F734" i="2"/>
  <c r="F735" i="2"/>
  <c r="F736" i="2"/>
  <c r="F737" i="2"/>
  <c r="F738" i="2"/>
  <c r="F739" i="2"/>
  <c r="F740" i="2"/>
  <c r="F741" i="2"/>
  <c r="F742" i="2"/>
  <c r="F743" i="2"/>
  <c r="F744" i="2"/>
  <c r="F745" i="2"/>
  <c r="F746" i="2"/>
  <c r="F747" i="2"/>
  <c r="F748" i="2"/>
  <c r="F749" i="2"/>
  <c r="F750" i="2"/>
  <c r="F751" i="2"/>
  <c r="F752" i="2"/>
  <c r="F753" i="2"/>
  <c r="F754" i="2"/>
  <c r="F755" i="2"/>
  <c r="F756" i="2"/>
  <c r="F757" i="2"/>
  <c r="F758" i="2"/>
  <c r="F759" i="2"/>
  <c r="F760" i="2"/>
  <c r="F761" i="2"/>
  <c r="F762" i="2"/>
  <c r="F763" i="2"/>
  <c r="F764" i="2"/>
  <c r="F765" i="2"/>
  <c r="F766" i="2"/>
  <c r="F767" i="2"/>
  <c r="F768" i="2"/>
  <c r="F769" i="2"/>
  <c r="F770" i="2"/>
  <c r="F771" i="2"/>
  <c r="F772" i="2"/>
  <c r="F773" i="2"/>
  <c r="F774" i="2"/>
  <c r="F775" i="2"/>
  <c r="F776" i="2"/>
  <c r="F777" i="2"/>
  <c r="F778" i="2"/>
  <c r="F779" i="2"/>
  <c r="F780" i="2"/>
  <c r="F781" i="2"/>
  <c r="F782" i="2"/>
  <c r="F783" i="2"/>
  <c r="F784" i="2"/>
  <c r="F785" i="2"/>
  <c r="F786" i="2"/>
  <c r="F787" i="2"/>
  <c r="F788" i="2"/>
  <c r="F789" i="2"/>
  <c r="F790" i="2"/>
  <c r="F791" i="2"/>
  <c r="F792" i="2"/>
  <c r="F793" i="2"/>
  <c r="F794" i="2"/>
  <c r="F795" i="2"/>
  <c r="F796" i="2"/>
  <c r="F797" i="2"/>
  <c r="F798" i="2"/>
  <c r="F799" i="2"/>
  <c r="F800" i="2"/>
  <c r="F801" i="2"/>
  <c r="F802" i="2"/>
  <c r="F803" i="2"/>
  <c r="F804" i="2"/>
  <c r="F805" i="2"/>
  <c r="F806" i="2"/>
  <c r="F807" i="2"/>
  <c r="F808" i="2"/>
  <c r="F809" i="2"/>
  <c r="F810" i="2"/>
  <c r="F811" i="2"/>
  <c r="F812" i="2"/>
  <c r="F813" i="2"/>
  <c r="F814" i="2"/>
  <c r="F815" i="2"/>
  <c r="F816" i="2"/>
  <c r="F817" i="2"/>
  <c r="F818" i="2"/>
  <c r="F819" i="2"/>
  <c r="F820" i="2"/>
  <c r="F821" i="2"/>
  <c r="F822" i="2"/>
  <c r="F823" i="2"/>
  <c r="F824" i="2"/>
  <c r="F825" i="2"/>
  <c r="F826" i="2"/>
  <c r="F827" i="2"/>
  <c r="F828" i="2"/>
  <c r="F829" i="2"/>
  <c r="F830" i="2"/>
  <c r="F831" i="2"/>
  <c r="F832" i="2"/>
  <c r="F833" i="2"/>
  <c r="F834" i="2"/>
  <c r="F835" i="2"/>
  <c r="F836" i="2"/>
  <c r="F837" i="2"/>
  <c r="F838" i="2"/>
  <c r="F839" i="2"/>
  <c r="F840" i="2"/>
  <c r="F841" i="2"/>
  <c r="F842" i="2"/>
  <c r="F843" i="2"/>
  <c r="F844" i="2"/>
  <c r="F845" i="2"/>
  <c r="F846" i="2"/>
  <c r="F847" i="2"/>
  <c r="F848" i="2"/>
  <c r="F849" i="2"/>
  <c r="F850" i="2"/>
  <c r="F851" i="2"/>
  <c r="F852" i="2"/>
  <c r="F853" i="2"/>
  <c r="F854" i="2"/>
  <c r="F855" i="2"/>
  <c r="F856" i="2"/>
  <c r="F857" i="2"/>
  <c r="F858" i="2"/>
  <c r="F859" i="2"/>
  <c r="F860" i="2"/>
  <c r="F861" i="2"/>
  <c r="F862" i="2"/>
  <c r="F863" i="2"/>
  <c r="F864" i="2"/>
  <c r="F865" i="2"/>
  <c r="F866" i="2"/>
  <c r="F867" i="2"/>
  <c r="F868" i="2"/>
  <c r="F869" i="2"/>
  <c r="F870" i="2"/>
  <c r="F871" i="2"/>
  <c r="F872" i="2"/>
  <c r="F873" i="2"/>
  <c r="F874" i="2"/>
  <c r="F875" i="2"/>
  <c r="F876" i="2"/>
  <c r="F877" i="2"/>
  <c r="F878" i="2"/>
  <c r="F879" i="2"/>
  <c r="F880" i="2"/>
  <c r="F881" i="2"/>
  <c r="F882" i="2"/>
  <c r="F883" i="2"/>
  <c r="F884" i="2"/>
  <c r="F885" i="2"/>
  <c r="F886" i="2"/>
  <c r="F887" i="2"/>
  <c r="F888" i="2"/>
  <c r="F889" i="2"/>
  <c r="F890" i="2"/>
  <c r="F891" i="2"/>
  <c r="F892" i="2"/>
  <c r="F893" i="2"/>
  <c r="F894" i="2"/>
  <c r="F895" i="2"/>
  <c r="F896" i="2"/>
  <c r="F897" i="2"/>
  <c r="F898" i="2"/>
  <c r="F899" i="2"/>
  <c r="F900" i="2"/>
  <c r="F901" i="2"/>
  <c r="F902" i="2"/>
  <c r="F903" i="2"/>
  <c r="F904" i="2"/>
  <c r="F905" i="2"/>
  <c r="F906" i="2"/>
  <c r="F907" i="2"/>
  <c r="F908" i="2"/>
  <c r="F909" i="2"/>
  <c r="F910" i="2"/>
  <c r="F911" i="2"/>
  <c r="F912" i="2"/>
  <c r="F913" i="2"/>
  <c r="F914" i="2"/>
  <c r="F915" i="2"/>
  <c r="F916" i="2"/>
  <c r="F917" i="2"/>
  <c r="F918" i="2"/>
  <c r="F919" i="2"/>
  <c r="F920" i="2"/>
  <c r="F921" i="2"/>
  <c r="F922" i="2"/>
  <c r="F923" i="2"/>
  <c r="F924" i="2"/>
  <c r="F925" i="2"/>
  <c r="F926" i="2"/>
  <c r="F927" i="2"/>
  <c r="F928" i="2"/>
  <c r="F929" i="2"/>
  <c r="F930" i="2"/>
  <c r="F931" i="2"/>
  <c r="F932" i="2"/>
  <c r="F933" i="2"/>
  <c r="F934" i="2"/>
  <c r="F935" i="2"/>
  <c r="F936" i="2"/>
  <c r="F937" i="2"/>
  <c r="F938" i="2"/>
  <c r="F939" i="2"/>
  <c r="F940" i="2"/>
  <c r="F941" i="2"/>
  <c r="F942" i="2"/>
  <c r="F943" i="2"/>
  <c r="F944" i="2"/>
  <c r="F945" i="2"/>
  <c r="F946" i="2"/>
  <c r="F947" i="2"/>
  <c r="F948" i="2"/>
  <c r="F949" i="2"/>
  <c r="F950" i="2"/>
  <c r="F951" i="2"/>
  <c r="F952" i="2"/>
  <c r="F953" i="2"/>
  <c r="F954" i="2"/>
  <c r="F955" i="2"/>
  <c r="F956" i="2"/>
  <c r="F957" i="2"/>
  <c r="F958" i="2"/>
  <c r="F959" i="2"/>
  <c r="F960" i="2"/>
  <c r="F961" i="2"/>
  <c r="F962" i="2"/>
  <c r="F963" i="2"/>
  <c r="F964" i="2"/>
  <c r="F965" i="2"/>
  <c r="F966" i="2"/>
  <c r="F967" i="2"/>
  <c r="F968" i="2"/>
  <c r="F969" i="2"/>
  <c r="F970" i="2"/>
  <c r="F971" i="2"/>
  <c r="F972" i="2"/>
  <c r="F973" i="2"/>
  <c r="F974" i="2"/>
  <c r="F975" i="2"/>
  <c r="F976" i="2"/>
  <c r="F977" i="2"/>
  <c r="F978" i="2"/>
  <c r="F979" i="2"/>
  <c r="F980" i="2"/>
  <c r="F981" i="2"/>
  <c r="F982" i="2"/>
  <c r="F983" i="2"/>
  <c r="F984" i="2"/>
  <c r="F985" i="2"/>
  <c r="F986" i="2"/>
  <c r="F987" i="2"/>
  <c r="F988" i="2"/>
  <c r="F989" i="2"/>
  <c r="F990" i="2"/>
  <c r="F991" i="2"/>
  <c r="F992" i="2"/>
  <c r="F993" i="2"/>
  <c r="F994" i="2"/>
  <c r="F995" i="2"/>
  <c r="F996" i="2"/>
  <c r="F997" i="2"/>
  <c r="F998" i="2"/>
  <c r="F999" i="2"/>
  <c r="F1000" i="2"/>
  <c r="F1001" i="2"/>
</calcChain>
</file>

<file path=xl/sharedStrings.xml><?xml version="1.0" encoding="utf-8"?>
<sst xmlns="http://schemas.openxmlformats.org/spreadsheetml/2006/main" count="11111" uniqueCount="1040">
  <si>
    <t>Transaction ID</t>
  </si>
  <si>
    <t>Date</t>
  </si>
  <si>
    <t>Customer ID</t>
  </si>
  <si>
    <t>Gender</t>
  </si>
  <si>
    <t>Age</t>
  </si>
  <si>
    <t>Product Category</t>
  </si>
  <si>
    <t>Quantity</t>
  </si>
  <si>
    <t>Price per Unit</t>
  </si>
  <si>
    <t>Total Amount</t>
  </si>
  <si>
    <t>CUST001</t>
  </si>
  <si>
    <t>Male</t>
  </si>
  <si>
    <t>Beauty</t>
  </si>
  <si>
    <t>CUST002</t>
  </si>
  <si>
    <t>Female</t>
  </si>
  <si>
    <t>Clothing</t>
  </si>
  <si>
    <t>CUST003</t>
  </si>
  <si>
    <t>Electronics</t>
  </si>
  <si>
    <t>CUST004</t>
  </si>
  <si>
    <t>CUST005</t>
  </si>
  <si>
    <t>CUST006</t>
  </si>
  <si>
    <t>CUST007</t>
  </si>
  <si>
    <t>CUST008</t>
  </si>
  <si>
    <t>CUST009</t>
  </si>
  <si>
    <t>CUST010</t>
  </si>
  <si>
    <t>CUST011</t>
  </si>
  <si>
    <t>CUST012</t>
  </si>
  <si>
    <t>CUST013</t>
  </si>
  <si>
    <t>CUST014</t>
  </si>
  <si>
    <t>CUST015</t>
  </si>
  <si>
    <t>CUST016</t>
  </si>
  <si>
    <t>CUST017</t>
  </si>
  <si>
    <t>CUST018</t>
  </si>
  <si>
    <t>CUST019</t>
  </si>
  <si>
    <t>CUST020</t>
  </si>
  <si>
    <t>CUST021</t>
  </si>
  <si>
    <t>CUST022</t>
  </si>
  <si>
    <t>CUST023</t>
  </si>
  <si>
    <t>CUST024</t>
  </si>
  <si>
    <t>CUST025</t>
  </si>
  <si>
    <t>CUST026</t>
  </si>
  <si>
    <t>CUST027</t>
  </si>
  <si>
    <t>CUST028</t>
  </si>
  <si>
    <t>CUST029</t>
  </si>
  <si>
    <t>CUST030</t>
  </si>
  <si>
    <t>CUST031</t>
  </si>
  <si>
    <t>CUST032</t>
  </si>
  <si>
    <t>CUST033</t>
  </si>
  <si>
    <t>CUST034</t>
  </si>
  <si>
    <t>CUST035</t>
  </si>
  <si>
    <t>CUST036</t>
  </si>
  <si>
    <t>CUST037</t>
  </si>
  <si>
    <t>CUST038</t>
  </si>
  <si>
    <t>CUST039</t>
  </si>
  <si>
    <t>CUST040</t>
  </si>
  <si>
    <t>CUST041</t>
  </si>
  <si>
    <t>CUST042</t>
  </si>
  <si>
    <t>CUST043</t>
  </si>
  <si>
    <t>CUST044</t>
  </si>
  <si>
    <t>CUST045</t>
  </si>
  <si>
    <t>CUST046</t>
  </si>
  <si>
    <t>CUST047</t>
  </si>
  <si>
    <t>CUST048</t>
  </si>
  <si>
    <t>CUST049</t>
  </si>
  <si>
    <t>CUST050</t>
  </si>
  <si>
    <t>CUST051</t>
  </si>
  <si>
    <t>CUST052</t>
  </si>
  <si>
    <t>CUST053</t>
  </si>
  <si>
    <t>CUST054</t>
  </si>
  <si>
    <t>CUST055</t>
  </si>
  <si>
    <t>CUST056</t>
  </si>
  <si>
    <t>CUST057</t>
  </si>
  <si>
    <t>CUST058</t>
  </si>
  <si>
    <t>CUST059</t>
  </si>
  <si>
    <t>CUST060</t>
  </si>
  <si>
    <t>CUST061</t>
  </si>
  <si>
    <t>CUST062</t>
  </si>
  <si>
    <t>CUST063</t>
  </si>
  <si>
    <t>CUST064</t>
  </si>
  <si>
    <t>CUST065</t>
  </si>
  <si>
    <t>CUST066</t>
  </si>
  <si>
    <t>CUST067</t>
  </si>
  <si>
    <t>CUST068</t>
  </si>
  <si>
    <t>CUST069</t>
  </si>
  <si>
    <t>CUST070</t>
  </si>
  <si>
    <t>CUST071</t>
  </si>
  <si>
    <t>CUST072</t>
  </si>
  <si>
    <t>CUST073</t>
  </si>
  <si>
    <t>CUST074</t>
  </si>
  <si>
    <t>CUST075</t>
  </si>
  <si>
    <t>CUST076</t>
  </si>
  <si>
    <t>CUST077</t>
  </si>
  <si>
    <t>CUST078</t>
  </si>
  <si>
    <t>CUST079</t>
  </si>
  <si>
    <t>CUST080</t>
  </si>
  <si>
    <t>CUST081</t>
  </si>
  <si>
    <t>CUST082</t>
  </si>
  <si>
    <t>CUST083</t>
  </si>
  <si>
    <t>CUST084</t>
  </si>
  <si>
    <t>CUST085</t>
  </si>
  <si>
    <t>CUST086</t>
  </si>
  <si>
    <t>CUST087</t>
  </si>
  <si>
    <t>CUST088</t>
  </si>
  <si>
    <t>CUST089</t>
  </si>
  <si>
    <t>CUST090</t>
  </si>
  <si>
    <t>CUST091</t>
  </si>
  <si>
    <t>CUST092</t>
  </si>
  <si>
    <t>CUST093</t>
  </si>
  <si>
    <t>CUST094</t>
  </si>
  <si>
    <t>CUST095</t>
  </si>
  <si>
    <t>CUST096</t>
  </si>
  <si>
    <t>CUST097</t>
  </si>
  <si>
    <t>CUST098</t>
  </si>
  <si>
    <t>CUST099</t>
  </si>
  <si>
    <t>CUST100</t>
  </si>
  <si>
    <t>CUST101</t>
  </si>
  <si>
    <t>CUST102</t>
  </si>
  <si>
    <t>CUST103</t>
  </si>
  <si>
    <t>CUST104</t>
  </si>
  <si>
    <t>CUST105</t>
  </si>
  <si>
    <t>CUST106</t>
  </si>
  <si>
    <t>CUST107</t>
  </si>
  <si>
    <t>CUST108</t>
  </si>
  <si>
    <t>CUST109</t>
  </si>
  <si>
    <t>CUST110</t>
  </si>
  <si>
    <t>CUST111</t>
  </si>
  <si>
    <t>CUST112</t>
  </si>
  <si>
    <t>CUST113</t>
  </si>
  <si>
    <t>CUST114</t>
  </si>
  <si>
    <t>CUST115</t>
  </si>
  <si>
    <t>CUST116</t>
  </si>
  <si>
    <t>CUST117</t>
  </si>
  <si>
    <t>CUST118</t>
  </si>
  <si>
    <t>CUST119</t>
  </si>
  <si>
    <t>CUST120</t>
  </si>
  <si>
    <t>CUST121</t>
  </si>
  <si>
    <t>CUST122</t>
  </si>
  <si>
    <t>CUST123</t>
  </si>
  <si>
    <t>CUST124</t>
  </si>
  <si>
    <t>CUST125</t>
  </si>
  <si>
    <t>CUST126</t>
  </si>
  <si>
    <t>CUST127</t>
  </si>
  <si>
    <t>CUST128</t>
  </si>
  <si>
    <t>CUST129</t>
  </si>
  <si>
    <t>CUST130</t>
  </si>
  <si>
    <t>CUST131</t>
  </si>
  <si>
    <t>CUST132</t>
  </si>
  <si>
    <t>CUST133</t>
  </si>
  <si>
    <t>CUST134</t>
  </si>
  <si>
    <t>CUST135</t>
  </si>
  <si>
    <t>CUST136</t>
  </si>
  <si>
    <t>CUST137</t>
  </si>
  <si>
    <t>CUST138</t>
  </si>
  <si>
    <t>CUST139</t>
  </si>
  <si>
    <t>CUST140</t>
  </si>
  <si>
    <t>CUST141</t>
  </si>
  <si>
    <t>CUST142</t>
  </si>
  <si>
    <t>CUST143</t>
  </si>
  <si>
    <t>CUST144</t>
  </si>
  <si>
    <t>CUST145</t>
  </si>
  <si>
    <t>CUST146</t>
  </si>
  <si>
    <t>CUST147</t>
  </si>
  <si>
    <t>CUST148</t>
  </si>
  <si>
    <t>CUST149</t>
  </si>
  <si>
    <t>CUST150</t>
  </si>
  <si>
    <t>CUST151</t>
  </si>
  <si>
    <t>CUST152</t>
  </si>
  <si>
    <t>CUST153</t>
  </si>
  <si>
    <t>CUST154</t>
  </si>
  <si>
    <t>CUST155</t>
  </si>
  <si>
    <t>CUST156</t>
  </si>
  <si>
    <t>CUST157</t>
  </si>
  <si>
    <t>CUST158</t>
  </si>
  <si>
    <t>CUST159</t>
  </si>
  <si>
    <t>CUST160</t>
  </si>
  <si>
    <t>CUST161</t>
  </si>
  <si>
    <t>CUST162</t>
  </si>
  <si>
    <t>CUST163</t>
  </si>
  <si>
    <t>CUST164</t>
  </si>
  <si>
    <t>CUST165</t>
  </si>
  <si>
    <t>CUST166</t>
  </si>
  <si>
    <t>CUST167</t>
  </si>
  <si>
    <t>CUST168</t>
  </si>
  <si>
    <t>CUST169</t>
  </si>
  <si>
    <t>CUST170</t>
  </si>
  <si>
    <t>CUST171</t>
  </si>
  <si>
    <t>CUST172</t>
  </si>
  <si>
    <t>CUST173</t>
  </si>
  <si>
    <t>CUST174</t>
  </si>
  <si>
    <t>CUST175</t>
  </si>
  <si>
    <t>CUST176</t>
  </si>
  <si>
    <t>CUST177</t>
  </si>
  <si>
    <t>CUST178</t>
  </si>
  <si>
    <t>CUST179</t>
  </si>
  <si>
    <t>CUST180</t>
  </si>
  <si>
    <t>CUST181</t>
  </si>
  <si>
    <t>CUST182</t>
  </si>
  <si>
    <t>CUST183</t>
  </si>
  <si>
    <t>CUST184</t>
  </si>
  <si>
    <t>CUST185</t>
  </si>
  <si>
    <t>CUST186</t>
  </si>
  <si>
    <t>CUST187</t>
  </si>
  <si>
    <t>CUST188</t>
  </si>
  <si>
    <t>CUST189</t>
  </si>
  <si>
    <t>CUST190</t>
  </si>
  <si>
    <t>CUST191</t>
  </si>
  <si>
    <t>CUST192</t>
  </si>
  <si>
    <t>CUST193</t>
  </si>
  <si>
    <t>CUST194</t>
  </si>
  <si>
    <t>CUST195</t>
  </si>
  <si>
    <t>CUST196</t>
  </si>
  <si>
    <t>CUST197</t>
  </si>
  <si>
    <t>CUST198</t>
  </si>
  <si>
    <t>CUST199</t>
  </si>
  <si>
    <t>CUST200</t>
  </si>
  <si>
    <t>CUST201</t>
  </si>
  <si>
    <t>CUST202</t>
  </si>
  <si>
    <t>CUST203</t>
  </si>
  <si>
    <t>CUST204</t>
  </si>
  <si>
    <t>CUST205</t>
  </si>
  <si>
    <t>CUST206</t>
  </si>
  <si>
    <t>CUST207</t>
  </si>
  <si>
    <t>CUST208</t>
  </si>
  <si>
    <t>CUST209</t>
  </si>
  <si>
    <t>CUST210</t>
  </si>
  <si>
    <t>CUST211</t>
  </si>
  <si>
    <t>CUST212</t>
  </si>
  <si>
    <t>CUST213</t>
  </si>
  <si>
    <t>CUST214</t>
  </si>
  <si>
    <t>CUST215</t>
  </si>
  <si>
    <t>CUST216</t>
  </si>
  <si>
    <t>CUST217</t>
  </si>
  <si>
    <t>CUST218</t>
  </si>
  <si>
    <t>CUST219</t>
  </si>
  <si>
    <t>CUST220</t>
  </si>
  <si>
    <t>CUST221</t>
  </si>
  <si>
    <t>CUST222</t>
  </si>
  <si>
    <t>CUST223</t>
  </si>
  <si>
    <t>CUST224</t>
  </si>
  <si>
    <t>CUST225</t>
  </si>
  <si>
    <t>CUST226</t>
  </si>
  <si>
    <t>CUST227</t>
  </si>
  <si>
    <t>CUST228</t>
  </si>
  <si>
    <t>CUST229</t>
  </si>
  <si>
    <t>CUST230</t>
  </si>
  <si>
    <t>CUST231</t>
  </si>
  <si>
    <t>CUST232</t>
  </si>
  <si>
    <t>CUST233</t>
  </si>
  <si>
    <t>CUST234</t>
  </si>
  <si>
    <t>CUST235</t>
  </si>
  <si>
    <t>CUST236</t>
  </si>
  <si>
    <t>CUST237</t>
  </si>
  <si>
    <t>CUST238</t>
  </si>
  <si>
    <t>CUST239</t>
  </si>
  <si>
    <t>CUST240</t>
  </si>
  <si>
    <t>CUST241</t>
  </si>
  <si>
    <t>CUST242</t>
  </si>
  <si>
    <t>CUST243</t>
  </si>
  <si>
    <t>CUST244</t>
  </si>
  <si>
    <t>CUST245</t>
  </si>
  <si>
    <t>CUST246</t>
  </si>
  <si>
    <t>CUST247</t>
  </si>
  <si>
    <t>CUST248</t>
  </si>
  <si>
    <t>CUST249</t>
  </si>
  <si>
    <t>CUST250</t>
  </si>
  <si>
    <t>CUST251</t>
  </si>
  <si>
    <t>CUST252</t>
  </si>
  <si>
    <t>CUST253</t>
  </si>
  <si>
    <t>CUST254</t>
  </si>
  <si>
    <t>CUST255</t>
  </si>
  <si>
    <t>CUST256</t>
  </si>
  <si>
    <t>CUST257</t>
  </si>
  <si>
    <t>CUST258</t>
  </si>
  <si>
    <t>CUST259</t>
  </si>
  <si>
    <t>CUST260</t>
  </si>
  <si>
    <t>CUST261</t>
  </si>
  <si>
    <t>CUST262</t>
  </si>
  <si>
    <t>CUST263</t>
  </si>
  <si>
    <t>CUST264</t>
  </si>
  <si>
    <t>CUST265</t>
  </si>
  <si>
    <t>CUST266</t>
  </si>
  <si>
    <t>CUST267</t>
  </si>
  <si>
    <t>CUST268</t>
  </si>
  <si>
    <t>CUST269</t>
  </si>
  <si>
    <t>CUST270</t>
  </si>
  <si>
    <t>CUST271</t>
  </si>
  <si>
    <t>CUST272</t>
  </si>
  <si>
    <t>CUST273</t>
  </si>
  <si>
    <t>CUST274</t>
  </si>
  <si>
    <t>CUST275</t>
  </si>
  <si>
    <t>CUST276</t>
  </si>
  <si>
    <t>CUST277</t>
  </si>
  <si>
    <t>CUST278</t>
  </si>
  <si>
    <t>CUST279</t>
  </si>
  <si>
    <t>CUST280</t>
  </si>
  <si>
    <t>CUST281</t>
  </si>
  <si>
    <t>CUST282</t>
  </si>
  <si>
    <t>CUST283</t>
  </si>
  <si>
    <t>CUST284</t>
  </si>
  <si>
    <t>CUST285</t>
  </si>
  <si>
    <t>CUST286</t>
  </si>
  <si>
    <t>CUST287</t>
  </si>
  <si>
    <t>CUST288</t>
  </si>
  <si>
    <t>CUST289</t>
  </si>
  <si>
    <t>CUST290</t>
  </si>
  <si>
    <t>CUST291</t>
  </si>
  <si>
    <t>CUST292</t>
  </si>
  <si>
    <t>CUST293</t>
  </si>
  <si>
    <t>CUST294</t>
  </si>
  <si>
    <t>CUST295</t>
  </si>
  <si>
    <t>CUST296</t>
  </si>
  <si>
    <t>CUST297</t>
  </si>
  <si>
    <t>CUST298</t>
  </si>
  <si>
    <t>CUST299</t>
  </si>
  <si>
    <t>CUST300</t>
  </si>
  <si>
    <t>CUST301</t>
  </si>
  <si>
    <t>CUST302</t>
  </si>
  <si>
    <t>CUST303</t>
  </si>
  <si>
    <t>CUST304</t>
  </si>
  <si>
    <t>CUST305</t>
  </si>
  <si>
    <t>CUST306</t>
  </si>
  <si>
    <t>CUST307</t>
  </si>
  <si>
    <t>CUST308</t>
  </si>
  <si>
    <t>CUST309</t>
  </si>
  <si>
    <t>CUST310</t>
  </si>
  <si>
    <t>CUST311</t>
  </si>
  <si>
    <t>CUST312</t>
  </si>
  <si>
    <t>CUST313</t>
  </si>
  <si>
    <t>CUST314</t>
  </si>
  <si>
    <t>CUST315</t>
  </si>
  <si>
    <t>CUST316</t>
  </si>
  <si>
    <t>CUST317</t>
  </si>
  <si>
    <t>CUST318</t>
  </si>
  <si>
    <t>CUST319</t>
  </si>
  <si>
    <t>CUST320</t>
  </si>
  <si>
    <t>CUST321</t>
  </si>
  <si>
    <t>CUST322</t>
  </si>
  <si>
    <t>CUST323</t>
  </si>
  <si>
    <t>CUST324</t>
  </si>
  <si>
    <t>CUST325</t>
  </si>
  <si>
    <t>CUST326</t>
  </si>
  <si>
    <t>CUST327</t>
  </si>
  <si>
    <t>CUST328</t>
  </si>
  <si>
    <t>CUST329</t>
  </si>
  <si>
    <t>CUST330</t>
  </si>
  <si>
    <t>CUST331</t>
  </si>
  <si>
    <t>CUST332</t>
  </si>
  <si>
    <t>CUST333</t>
  </si>
  <si>
    <t>CUST334</t>
  </si>
  <si>
    <t>CUST335</t>
  </si>
  <si>
    <t>CUST336</t>
  </si>
  <si>
    <t>CUST337</t>
  </si>
  <si>
    <t>CUST338</t>
  </si>
  <si>
    <t>CUST339</t>
  </si>
  <si>
    <t>CUST340</t>
  </si>
  <si>
    <t>CUST341</t>
  </si>
  <si>
    <t>CUST342</t>
  </si>
  <si>
    <t>CUST343</t>
  </si>
  <si>
    <t>CUST344</t>
  </si>
  <si>
    <t>CUST345</t>
  </si>
  <si>
    <t>CUST346</t>
  </si>
  <si>
    <t>CUST347</t>
  </si>
  <si>
    <t>CUST348</t>
  </si>
  <si>
    <t>CUST349</t>
  </si>
  <si>
    <t>CUST350</t>
  </si>
  <si>
    <t>CUST351</t>
  </si>
  <si>
    <t>CUST352</t>
  </si>
  <si>
    <t>CUST353</t>
  </si>
  <si>
    <t>CUST354</t>
  </si>
  <si>
    <t>CUST355</t>
  </si>
  <si>
    <t>CUST356</t>
  </si>
  <si>
    <t>CUST357</t>
  </si>
  <si>
    <t>CUST358</t>
  </si>
  <si>
    <t>CUST359</t>
  </si>
  <si>
    <t>CUST360</t>
  </si>
  <si>
    <t>CUST361</t>
  </si>
  <si>
    <t>CUST362</t>
  </si>
  <si>
    <t>CUST363</t>
  </si>
  <si>
    <t>CUST364</t>
  </si>
  <si>
    <t>CUST365</t>
  </si>
  <si>
    <t>CUST366</t>
  </si>
  <si>
    <t>CUST367</t>
  </si>
  <si>
    <t>CUST368</t>
  </si>
  <si>
    <t>CUST369</t>
  </si>
  <si>
    <t>CUST370</t>
  </si>
  <si>
    <t>CUST371</t>
  </si>
  <si>
    <t>CUST372</t>
  </si>
  <si>
    <t>CUST373</t>
  </si>
  <si>
    <t>CUST374</t>
  </si>
  <si>
    <t>CUST375</t>
  </si>
  <si>
    <t>CUST376</t>
  </si>
  <si>
    <t>CUST377</t>
  </si>
  <si>
    <t>CUST378</t>
  </si>
  <si>
    <t>CUST379</t>
  </si>
  <si>
    <t>CUST380</t>
  </si>
  <si>
    <t>CUST381</t>
  </si>
  <si>
    <t>CUST382</t>
  </si>
  <si>
    <t>CUST383</t>
  </si>
  <si>
    <t>CUST384</t>
  </si>
  <si>
    <t>CUST385</t>
  </si>
  <si>
    <t>CUST386</t>
  </si>
  <si>
    <t>CUST387</t>
  </si>
  <si>
    <t>CUST388</t>
  </si>
  <si>
    <t>CUST389</t>
  </si>
  <si>
    <t>CUST390</t>
  </si>
  <si>
    <t>CUST391</t>
  </si>
  <si>
    <t>CUST392</t>
  </si>
  <si>
    <t>CUST393</t>
  </si>
  <si>
    <t>CUST394</t>
  </si>
  <si>
    <t>CUST395</t>
  </si>
  <si>
    <t>CUST396</t>
  </si>
  <si>
    <t>CUST397</t>
  </si>
  <si>
    <t>CUST398</t>
  </si>
  <si>
    <t>CUST399</t>
  </si>
  <si>
    <t>CUST400</t>
  </si>
  <si>
    <t>CUST401</t>
  </si>
  <si>
    <t>CUST402</t>
  </si>
  <si>
    <t>CUST403</t>
  </si>
  <si>
    <t>CUST404</t>
  </si>
  <si>
    <t>CUST405</t>
  </si>
  <si>
    <t>CUST406</t>
  </si>
  <si>
    <t>CUST407</t>
  </si>
  <si>
    <t>CUST408</t>
  </si>
  <si>
    <t>CUST409</t>
  </si>
  <si>
    <t>CUST410</t>
  </si>
  <si>
    <t>CUST411</t>
  </si>
  <si>
    <t>CUST412</t>
  </si>
  <si>
    <t>CUST413</t>
  </si>
  <si>
    <t>CUST414</t>
  </si>
  <si>
    <t>CUST415</t>
  </si>
  <si>
    <t>CUST416</t>
  </si>
  <si>
    <t>CUST417</t>
  </si>
  <si>
    <t>CUST418</t>
  </si>
  <si>
    <t>CUST419</t>
  </si>
  <si>
    <t>CUST420</t>
  </si>
  <si>
    <t>CUST421</t>
  </si>
  <si>
    <t>CUST422</t>
  </si>
  <si>
    <t>CUST423</t>
  </si>
  <si>
    <t>CUST424</t>
  </si>
  <si>
    <t>CUST425</t>
  </si>
  <si>
    <t>CUST426</t>
  </si>
  <si>
    <t>CUST427</t>
  </si>
  <si>
    <t>CUST428</t>
  </si>
  <si>
    <t>CUST429</t>
  </si>
  <si>
    <t>CUST430</t>
  </si>
  <si>
    <t>CUST431</t>
  </si>
  <si>
    <t>CUST432</t>
  </si>
  <si>
    <t>CUST433</t>
  </si>
  <si>
    <t>CUST434</t>
  </si>
  <si>
    <t>CUST435</t>
  </si>
  <si>
    <t>CUST436</t>
  </si>
  <si>
    <t>CUST437</t>
  </si>
  <si>
    <t>CUST438</t>
  </si>
  <si>
    <t>CUST439</t>
  </si>
  <si>
    <t>CUST440</t>
  </si>
  <si>
    <t>CUST441</t>
  </si>
  <si>
    <t>CUST442</t>
  </si>
  <si>
    <t>CUST443</t>
  </si>
  <si>
    <t>CUST444</t>
  </si>
  <si>
    <t>CUST445</t>
  </si>
  <si>
    <t>CUST446</t>
  </si>
  <si>
    <t>CUST447</t>
  </si>
  <si>
    <t>CUST448</t>
  </si>
  <si>
    <t>CUST449</t>
  </si>
  <si>
    <t>CUST450</t>
  </si>
  <si>
    <t>CUST451</t>
  </si>
  <si>
    <t>CUST452</t>
  </si>
  <si>
    <t>CUST453</t>
  </si>
  <si>
    <t>CUST454</t>
  </si>
  <si>
    <t>CUST455</t>
  </si>
  <si>
    <t>CUST456</t>
  </si>
  <si>
    <t>CUST457</t>
  </si>
  <si>
    <t>CUST458</t>
  </si>
  <si>
    <t>CUST459</t>
  </si>
  <si>
    <t>CUST460</t>
  </si>
  <si>
    <t>CUST461</t>
  </si>
  <si>
    <t>CUST462</t>
  </si>
  <si>
    <t>CUST463</t>
  </si>
  <si>
    <t>CUST464</t>
  </si>
  <si>
    <t>CUST465</t>
  </si>
  <si>
    <t>CUST466</t>
  </si>
  <si>
    <t>CUST467</t>
  </si>
  <si>
    <t>CUST468</t>
  </si>
  <si>
    <t>CUST469</t>
  </si>
  <si>
    <t>CUST470</t>
  </si>
  <si>
    <t>CUST471</t>
  </si>
  <si>
    <t>CUST472</t>
  </si>
  <si>
    <t>CUST473</t>
  </si>
  <si>
    <t>CUST474</t>
  </si>
  <si>
    <t>CUST475</t>
  </si>
  <si>
    <t>CUST476</t>
  </si>
  <si>
    <t>CUST477</t>
  </si>
  <si>
    <t>CUST478</t>
  </si>
  <si>
    <t>CUST479</t>
  </si>
  <si>
    <t>CUST480</t>
  </si>
  <si>
    <t>CUST481</t>
  </si>
  <si>
    <t>CUST482</t>
  </si>
  <si>
    <t>CUST483</t>
  </si>
  <si>
    <t>CUST484</t>
  </si>
  <si>
    <t>CUST485</t>
  </si>
  <si>
    <t>CUST486</t>
  </si>
  <si>
    <t>CUST487</t>
  </si>
  <si>
    <t>CUST488</t>
  </si>
  <si>
    <t>CUST489</t>
  </si>
  <si>
    <t>CUST490</t>
  </si>
  <si>
    <t>CUST491</t>
  </si>
  <si>
    <t>CUST492</t>
  </si>
  <si>
    <t>CUST493</t>
  </si>
  <si>
    <t>CUST494</t>
  </si>
  <si>
    <t>CUST495</t>
  </si>
  <si>
    <t>CUST496</t>
  </si>
  <si>
    <t>CUST497</t>
  </si>
  <si>
    <t>CUST498</t>
  </si>
  <si>
    <t>CUST499</t>
  </si>
  <si>
    <t>CUST500</t>
  </si>
  <si>
    <t>CUST501</t>
  </si>
  <si>
    <t>CUST502</t>
  </si>
  <si>
    <t>CUST503</t>
  </si>
  <si>
    <t>CUST504</t>
  </si>
  <si>
    <t>CUST505</t>
  </si>
  <si>
    <t>CUST506</t>
  </si>
  <si>
    <t>CUST507</t>
  </si>
  <si>
    <t>CUST508</t>
  </si>
  <si>
    <t>CUST509</t>
  </si>
  <si>
    <t>CUST510</t>
  </si>
  <si>
    <t>CUST511</t>
  </si>
  <si>
    <t>CUST512</t>
  </si>
  <si>
    <t>CUST513</t>
  </si>
  <si>
    <t>CUST514</t>
  </si>
  <si>
    <t>CUST515</t>
  </si>
  <si>
    <t>CUST516</t>
  </si>
  <si>
    <t>CUST517</t>
  </si>
  <si>
    <t>CUST518</t>
  </si>
  <si>
    <t>CUST519</t>
  </si>
  <si>
    <t>CUST520</t>
  </si>
  <si>
    <t>CUST521</t>
  </si>
  <si>
    <t>CUST522</t>
  </si>
  <si>
    <t>CUST523</t>
  </si>
  <si>
    <t>CUST524</t>
  </si>
  <si>
    <t>CUST525</t>
  </si>
  <si>
    <t>CUST526</t>
  </si>
  <si>
    <t>CUST527</t>
  </si>
  <si>
    <t>CUST528</t>
  </si>
  <si>
    <t>CUST529</t>
  </si>
  <si>
    <t>CUST530</t>
  </si>
  <si>
    <t>CUST531</t>
  </si>
  <si>
    <t>CUST532</t>
  </si>
  <si>
    <t>CUST533</t>
  </si>
  <si>
    <t>CUST534</t>
  </si>
  <si>
    <t>CUST535</t>
  </si>
  <si>
    <t>CUST536</t>
  </si>
  <si>
    <t>CUST537</t>
  </si>
  <si>
    <t>CUST538</t>
  </si>
  <si>
    <t>CUST539</t>
  </si>
  <si>
    <t>CUST540</t>
  </si>
  <si>
    <t>CUST541</t>
  </si>
  <si>
    <t>CUST542</t>
  </si>
  <si>
    <t>CUST543</t>
  </si>
  <si>
    <t>CUST544</t>
  </si>
  <si>
    <t>CUST545</t>
  </si>
  <si>
    <t>CUST546</t>
  </si>
  <si>
    <t>CUST547</t>
  </si>
  <si>
    <t>CUST548</t>
  </si>
  <si>
    <t>CUST549</t>
  </si>
  <si>
    <t>CUST550</t>
  </si>
  <si>
    <t>CUST551</t>
  </si>
  <si>
    <t>CUST552</t>
  </si>
  <si>
    <t>CUST553</t>
  </si>
  <si>
    <t>CUST554</t>
  </si>
  <si>
    <t>CUST555</t>
  </si>
  <si>
    <t>CUST556</t>
  </si>
  <si>
    <t>CUST557</t>
  </si>
  <si>
    <t>CUST558</t>
  </si>
  <si>
    <t>CUST559</t>
  </si>
  <si>
    <t>CUST560</t>
  </si>
  <si>
    <t>CUST561</t>
  </si>
  <si>
    <t>CUST562</t>
  </si>
  <si>
    <t>CUST563</t>
  </si>
  <si>
    <t>CUST564</t>
  </si>
  <si>
    <t>CUST565</t>
  </si>
  <si>
    <t>CUST566</t>
  </si>
  <si>
    <t>CUST567</t>
  </si>
  <si>
    <t>CUST568</t>
  </si>
  <si>
    <t>CUST569</t>
  </si>
  <si>
    <t>CUST570</t>
  </si>
  <si>
    <t>CUST571</t>
  </si>
  <si>
    <t>CUST572</t>
  </si>
  <si>
    <t>CUST573</t>
  </si>
  <si>
    <t>CUST574</t>
  </si>
  <si>
    <t>CUST575</t>
  </si>
  <si>
    <t>CUST576</t>
  </si>
  <si>
    <t>CUST577</t>
  </si>
  <si>
    <t>CUST578</t>
  </si>
  <si>
    <t>CUST579</t>
  </si>
  <si>
    <t>CUST580</t>
  </si>
  <si>
    <t>CUST581</t>
  </si>
  <si>
    <t>CUST582</t>
  </si>
  <si>
    <t>CUST583</t>
  </si>
  <si>
    <t>CUST584</t>
  </si>
  <si>
    <t>CUST585</t>
  </si>
  <si>
    <t>CUST586</t>
  </si>
  <si>
    <t>CUST587</t>
  </si>
  <si>
    <t>CUST588</t>
  </si>
  <si>
    <t>CUST589</t>
  </si>
  <si>
    <t>CUST590</t>
  </si>
  <si>
    <t>CUST591</t>
  </si>
  <si>
    <t>CUST592</t>
  </si>
  <si>
    <t>CUST593</t>
  </si>
  <si>
    <t>CUST594</t>
  </si>
  <si>
    <t>CUST595</t>
  </si>
  <si>
    <t>CUST596</t>
  </si>
  <si>
    <t>CUST597</t>
  </si>
  <si>
    <t>CUST598</t>
  </si>
  <si>
    <t>CUST599</t>
  </si>
  <si>
    <t>CUST600</t>
  </si>
  <si>
    <t>CUST601</t>
  </si>
  <si>
    <t>CUST602</t>
  </si>
  <si>
    <t>CUST603</t>
  </si>
  <si>
    <t>CUST604</t>
  </si>
  <si>
    <t>CUST605</t>
  </si>
  <si>
    <t>CUST606</t>
  </si>
  <si>
    <t>CUST607</t>
  </si>
  <si>
    <t>CUST608</t>
  </si>
  <si>
    <t>CUST609</t>
  </si>
  <si>
    <t>CUST610</t>
  </si>
  <si>
    <t>CUST611</t>
  </si>
  <si>
    <t>CUST612</t>
  </si>
  <si>
    <t>CUST613</t>
  </si>
  <si>
    <t>CUST614</t>
  </si>
  <si>
    <t>CUST615</t>
  </si>
  <si>
    <t>CUST616</t>
  </si>
  <si>
    <t>CUST617</t>
  </si>
  <si>
    <t>CUST618</t>
  </si>
  <si>
    <t>CUST619</t>
  </si>
  <si>
    <t>CUST620</t>
  </si>
  <si>
    <t>CUST621</t>
  </si>
  <si>
    <t>CUST622</t>
  </si>
  <si>
    <t>CUST623</t>
  </si>
  <si>
    <t>CUST624</t>
  </si>
  <si>
    <t>CUST625</t>
  </si>
  <si>
    <t>CUST626</t>
  </si>
  <si>
    <t>CUST627</t>
  </si>
  <si>
    <t>CUST628</t>
  </si>
  <si>
    <t>CUST629</t>
  </si>
  <si>
    <t>CUST630</t>
  </si>
  <si>
    <t>CUST631</t>
  </si>
  <si>
    <t>CUST632</t>
  </si>
  <si>
    <t>CUST633</t>
  </si>
  <si>
    <t>CUST634</t>
  </si>
  <si>
    <t>CUST635</t>
  </si>
  <si>
    <t>CUST636</t>
  </si>
  <si>
    <t>CUST637</t>
  </si>
  <si>
    <t>CUST638</t>
  </si>
  <si>
    <t>CUST639</t>
  </si>
  <si>
    <t>CUST640</t>
  </si>
  <si>
    <t>CUST641</t>
  </si>
  <si>
    <t>CUST642</t>
  </si>
  <si>
    <t>CUST643</t>
  </si>
  <si>
    <t>CUST644</t>
  </si>
  <si>
    <t>CUST645</t>
  </si>
  <si>
    <t>CUST646</t>
  </si>
  <si>
    <t>CUST647</t>
  </si>
  <si>
    <t>CUST648</t>
  </si>
  <si>
    <t>CUST649</t>
  </si>
  <si>
    <t>CUST650</t>
  </si>
  <si>
    <t>CUST651</t>
  </si>
  <si>
    <t>CUST652</t>
  </si>
  <si>
    <t>CUST653</t>
  </si>
  <si>
    <t>CUST654</t>
  </si>
  <si>
    <t>CUST655</t>
  </si>
  <si>
    <t>CUST656</t>
  </si>
  <si>
    <t>CUST657</t>
  </si>
  <si>
    <t>CUST658</t>
  </si>
  <si>
    <t>CUST659</t>
  </si>
  <si>
    <t>CUST660</t>
  </si>
  <si>
    <t>CUST661</t>
  </si>
  <si>
    <t>CUST662</t>
  </si>
  <si>
    <t>CUST663</t>
  </si>
  <si>
    <t>CUST664</t>
  </si>
  <si>
    <t>CUST665</t>
  </si>
  <si>
    <t>CUST666</t>
  </si>
  <si>
    <t>CUST667</t>
  </si>
  <si>
    <t>CUST668</t>
  </si>
  <si>
    <t>CUST669</t>
  </si>
  <si>
    <t>CUST670</t>
  </si>
  <si>
    <t>CUST671</t>
  </si>
  <si>
    <t>CUST672</t>
  </si>
  <si>
    <t>CUST673</t>
  </si>
  <si>
    <t>CUST674</t>
  </si>
  <si>
    <t>CUST675</t>
  </si>
  <si>
    <t>CUST676</t>
  </si>
  <si>
    <t>CUST677</t>
  </si>
  <si>
    <t>CUST678</t>
  </si>
  <si>
    <t>CUST679</t>
  </si>
  <si>
    <t>CUST680</t>
  </si>
  <si>
    <t>CUST681</t>
  </si>
  <si>
    <t>CUST682</t>
  </si>
  <si>
    <t>CUST683</t>
  </si>
  <si>
    <t>CUST684</t>
  </si>
  <si>
    <t>CUST685</t>
  </si>
  <si>
    <t>CUST686</t>
  </si>
  <si>
    <t>CUST687</t>
  </si>
  <si>
    <t>CUST688</t>
  </si>
  <si>
    <t>CUST689</t>
  </si>
  <si>
    <t>CUST690</t>
  </si>
  <si>
    <t>CUST691</t>
  </si>
  <si>
    <t>CUST692</t>
  </si>
  <si>
    <t>CUST693</t>
  </si>
  <si>
    <t>CUST694</t>
  </si>
  <si>
    <t>CUST695</t>
  </si>
  <si>
    <t>CUST696</t>
  </si>
  <si>
    <t>CUST697</t>
  </si>
  <si>
    <t>CUST698</t>
  </si>
  <si>
    <t>CUST699</t>
  </si>
  <si>
    <t>CUST700</t>
  </si>
  <si>
    <t>CUST701</t>
  </si>
  <si>
    <t>CUST702</t>
  </si>
  <si>
    <t>CUST703</t>
  </si>
  <si>
    <t>CUST704</t>
  </si>
  <si>
    <t>CUST705</t>
  </si>
  <si>
    <t>CUST706</t>
  </si>
  <si>
    <t>CUST707</t>
  </si>
  <si>
    <t>CUST708</t>
  </si>
  <si>
    <t>CUST709</t>
  </si>
  <si>
    <t>CUST710</t>
  </si>
  <si>
    <t>CUST711</t>
  </si>
  <si>
    <t>CUST712</t>
  </si>
  <si>
    <t>CUST713</t>
  </si>
  <si>
    <t>CUST714</t>
  </si>
  <si>
    <t>CUST715</t>
  </si>
  <si>
    <t>CUST716</t>
  </si>
  <si>
    <t>CUST717</t>
  </si>
  <si>
    <t>CUST718</t>
  </si>
  <si>
    <t>CUST719</t>
  </si>
  <si>
    <t>CUST720</t>
  </si>
  <si>
    <t>CUST721</t>
  </si>
  <si>
    <t>CUST722</t>
  </si>
  <si>
    <t>CUST723</t>
  </si>
  <si>
    <t>CUST724</t>
  </si>
  <si>
    <t>CUST725</t>
  </si>
  <si>
    <t>CUST726</t>
  </si>
  <si>
    <t>CUST727</t>
  </si>
  <si>
    <t>CUST728</t>
  </si>
  <si>
    <t>CUST729</t>
  </si>
  <si>
    <t>CUST730</t>
  </si>
  <si>
    <t>CUST731</t>
  </si>
  <si>
    <t>CUST732</t>
  </si>
  <si>
    <t>CUST733</t>
  </si>
  <si>
    <t>CUST734</t>
  </si>
  <si>
    <t>CUST735</t>
  </si>
  <si>
    <t>CUST736</t>
  </si>
  <si>
    <t>CUST737</t>
  </si>
  <si>
    <t>CUST738</t>
  </si>
  <si>
    <t>CUST739</t>
  </si>
  <si>
    <t>CUST740</t>
  </si>
  <si>
    <t>CUST741</t>
  </si>
  <si>
    <t>CUST742</t>
  </si>
  <si>
    <t>CUST743</t>
  </si>
  <si>
    <t>CUST744</t>
  </si>
  <si>
    <t>CUST745</t>
  </si>
  <si>
    <t>CUST746</t>
  </si>
  <si>
    <t>CUST747</t>
  </si>
  <si>
    <t>CUST748</t>
  </si>
  <si>
    <t>CUST749</t>
  </si>
  <si>
    <t>CUST750</t>
  </si>
  <si>
    <t>CUST751</t>
  </si>
  <si>
    <t>CUST752</t>
  </si>
  <si>
    <t>CUST753</t>
  </si>
  <si>
    <t>CUST754</t>
  </si>
  <si>
    <t>CUST755</t>
  </si>
  <si>
    <t>CUST756</t>
  </si>
  <si>
    <t>CUST757</t>
  </si>
  <si>
    <t>CUST758</t>
  </si>
  <si>
    <t>CUST759</t>
  </si>
  <si>
    <t>CUST760</t>
  </si>
  <si>
    <t>CUST761</t>
  </si>
  <si>
    <t>CUST762</t>
  </si>
  <si>
    <t>CUST763</t>
  </si>
  <si>
    <t>CUST764</t>
  </si>
  <si>
    <t>CUST765</t>
  </si>
  <si>
    <t>CUST766</t>
  </si>
  <si>
    <t>CUST767</t>
  </si>
  <si>
    <t>CUST768</t>
  </si>
  <si>
    <t>CUST769</t>
  </si>
  <si>
    <t>CUST770</t>
  </si>
  <si>
    <t>CUST771</t>
  </si>
  <si>
    <t>CUST772</t>
  </si>
  <si>
    <t>CUST773</t>
  </si>
  <si>
    <t>CUST774</t>
  </si>
  <si>
    <t>CUST775</t>
  </si>
  <si>
    <t>CUST776</t>
  </si>
  <si>
    <t>CUST777</t>
  </si>
  <si>
    <t>CUST778</t>
  </si>
  <si>
    <t>CUST779</t>
  </si>
  <si>
    <t>CUST780</t>
  </si>
  <si>
    <t>CUST781</t>
  </si>
  <si>
    <t>CUST782</t>
  </si>
  <si>
    <t>CUST783</t>
  </si>
  <si>
    <t>CUST784</t>
  </si>
  <si>
    <t>CUST785</t>
  </si>
  <si>
    <t>CUST786</t>
  </si>
  <si>
    <t>CUST787</t>
  </si>
  <si>
    <t>CUST788</t>
  </si>
  <si>
    <t>CUST789</t>
  </si>
  <si>
    <t>CUST790</t>
  </si>
  <si>
    <t>CUST791</t>
  </si>
  <si>
    <t>CUST792</t>
  </si>
  <si>
    <t>CUST793</t>
  </si>
  <si>
    <t>CUST794</t>
  </si>
  <si>
    <t>CUST795</t>
  </si>
  <si>
    <t>CUST796</t>
  </si>
  <si>
    <t>CUST797</t>
  </si>
  <si>
    <t>CUST798</t>
  </si>
  <si>
    <t>CUST799</t>
  </si>
  <si>
    <t>CUST800</t>
  </si>
  <si>
    <t>CUST801</t>
  </si>
  <si>
    <t>CUST802</t>
  </si>
  <si>
    <t>CUST803</t>
  </si>
  <si>
    <t>CUST804</t>
  </si>
  <si>
    <t>CUST805</t>
  </si>
  <si>
    <t>CUST806</t>
  </si>
  <si>
    <t>CUST807</t>
  </si>
  <si>
    <t>CUST808</t>
  </si>
  <si>
    <t>CUST809</t>
  </si>
  <si>
    <t>CUST810</t>
  </si>
  <si>
    <t>CUST811</t>
  </si>
  <si>
    <t>CUST812</t>
  </si>
  <si>
    <t>CUST813</t>
  </si>
  <si>
    <t>CUST814</t>
  </si>
  <si>
    <t>CUST815</t>
  </si>
  <si>
    <t>CUST816</t>
  </si>
  <si>
    <t>CUST817</t>
  </si>
  <si>
    <t>CUST818</t>
  </si>
  <si>
    <t>CUST819</t>
  </si>
  <si>
    <t>CUST820</t>
  </si>
  <si>
    <t>CUST821</t>
  </si>
  <si>
    <t>CUST822</t>
  </si>
  <si>
    <t>CUST823</t>
  </si>
  <si>
    <t>CUST824</t>
  </si>
  <si>
    <t>CUST825</t>
  </si>
  <si>
    <t>CUST826</t>
  </si>
  <si>
    <t>CUST827</t>
  </si>
  <si>
    <t>CUST828</t>
  </si>
  <si>
    <t>CUST829</t>
  </si>
  <si>
    <t>CUST830</t>
  </si>
  <si>
    <t>CUST831</t>
  </si>
  <si>
    <t>CUST832</t>
  </si>
  <si>
    <t>CUST833</t>
  </si>
  <si>
    <t>CUST834</t>
  </si>
  <si>
    <t>CUST835</t>
  </si>
  <si>
    <t>CUST836</t>
  </si>
  <si>
    <t>CUST837</t>
  </si>
  <si>
    <t>CUST838</t>
  </si>
  <si>
    <t>CUST839</t>
  </si>
  <si>
    <t>CUST840</t>
  </si>
  <si>
    <t>CUST841</t>
  </si>
  <si>
    <t>CUST842</t>
  </si>
  <si>
    <t>CUST843</t>
  </si>
  <si>
    <t>CUST844</t>
  </si>
  <si>
    <t>CUST845</t>
  </si>
  <si>
    <t>CUST846</t>
  </si>
  <si>
    <t>CUST847</t>
  </si>
  <si>
    <t>CUST848</t>
  </si>
  <si>
    <t>CUST849</t>
  </si>
  <si>
    <t>CUST850</t>
  </si>
  <si>
    <t>CUST851</t>
  </si>
  <si>
    <t>CUST852</t>
  </si>
  <si>
    <t>CUST853</t>
  </si>
  <si>
    <t>CUST854</t>
  </si>
  <si>
    <t>CUST855</t>
  </si>
  <si>
    <t>CUST856</t>
  </si>
  <si>
    <t>CUST857</t>
  </si>
  <si>
    <t>CUST858</t>
  </si>
  <si>
    <t>CUST859</t>
  </si>
  <si>
    <t>CUST860</t>
  </si>
  <si>
    <t>CUST861</t>
  </si>
  <si>
    <t>CUST862</t>
  </si>
  <si>
    <t>CUST863</t>
  </si>
  <si>
    <t>CUST864</t>
  </si>
  <si>
    <t>CUST865</t>
  </si>
  <si>
    <t>CUST866</t>
  </si>
  <si>
    <t>CUST867</t>
  </si>
  <si>
    <t>CUST868</t>
  </si>
  <si>
    <t>CUST869</t>
  </si>
  <si>
    <t>CUST870</t>
  </si>
  <si>
    <t>CUST871</t>
  </si>
  <si>
    <t>CUST872</t>
  </si>
  <si>
    <t>CUST873</t>
  </si>
  <si>
    <t>CUST874</t>
  </si>
  <si>
    <t>CUST875</t>
  </si>
  <si>
    <t>CUST876</t>
  </si>
  <si>
    <t>CUST877</t>
  </si>
  <si>
    <t>CUST878</t>
  </si>
  <si>
    <t>CUST879</t>
  </si>
  <si>
    <t>CUST880</t>
  </si>
  <si>
    <t>CUST881</t>
  </si>
  <si>
    <t>CUST882</t>
  </si>
  <si>
    <t>CUST883</t>
  </si>
  <si>
    <t>CUST884</t>
  </si>
  <si>
    <t>CUST885</t>
  </si>
  <si>
    <t>CUST886</t>
  </si>
  <si>
    <t>CUST887</t>
  </si>
  <si>
    <t>CUST888</t>
  </si>
  <si>
    <t>CUST889</t>
  </si>
  <si>
    <t>CUST890</t>
  </si>
  <si>
    <t>CUST891</t>
  </si>
  <si>
    <t>CUST892</t>
  </si>
  <si>
    <t>CUST893</t>
  </si>
  <si>
    <t>CUST894</t>
  </si>
  <si>
    <t>CUST895</t>
  </si>
  <si>
    <t>CUST896</t>
  </si>
  <si>
    <t>CUST897</t>
  </si>
  <si>
    <t>CUST898</t>
  </si>
  <si>
    <t>CUST899</t>
  </si>
  <si>
    <t>CUST900</t>
  </si>
  <si>
    <t>CUST901</t>
  </si>
  <si>
    <t>CUST902</t>
  </si>
  <si>
    <t>CUST903</t>
  </si>
  <si>
    <t>CUST904</t>
  </si>
  <si>
    <t>CUST905</t>
  </si>
  <si>
    <t>CUST906</t>
  </si>
  <si>
    <t>CUST907</t>
  </si>
  <si>
    <t>CUST908</t>
  </si>
  <si>
    <t>CUST909</t>
  </si>
  <si>
    <t>CUST910</t>
  </si>
  <si>
    <t>CUST911</t>
  </si>
  <si>
    <t>CUST912</t>
  </si>
  <si>
    <t>CUST913</t>
  </si>
  <si>
    <t>CUST914</t>
  </si>
  <si>
    <t>CUST915</t>
  </si>
  <si>
    <t>CUST916</t>
  </si>
  <si>
    <t>CUST917</t>
  </si>
  <si>
    <t>CUST918</t>
  </si>
  <si>
    <t>CUST919</t>
  </si>
  <si>
    <t>CUST920</t>
  </si>
  <si>
    <t>CUST921</t>
  </si>
  <si>
    <t>CUST922</t>
  </si>
  <si>
    <t>CUST923</t>
  </si>
  <si>
    <t>CUST924</t>
  </si>
  <si>
    <t>CUST925</t>
  </si>
  <si>
    <t>CUST926</t>
  </si>
  <si>
    <t>CUST927</t>
  </si>
  <si>
    <t>CUST928</t>
  </si>
  <si>
    <t>CUST929</t>
  </si>
  <si>
    <t>CUST930</t>
  </si>
  <si>
    <t>CUST931</t>
  </si>
  <si>
    <t>CUST932</t>
  </si>
  <si>
    <t>CUST933</t>
  </si>
  <si>
    <t>CUST934</t>
  </si>
  <si>
    <t>CUST935</t>
  </si>
  <si>
    <t>CUST936</t>
  </si>
  <si>
    <t>CUST937</t>
  </si>
  <si>
    <t>CUST938</t>
  </si>
  <si>
    <t>CUST939</t>
  </si>
  <si>
    <t>CUST940</t>
  </si>
  <si>
    <t>CUST941</t>
  </si>
  <si>
    <t>CUST942</t>
  </si>
  <si>
    <t>CUST943</t>
  </si>
  <si>
    <t>CUST944</t>
  </si>
  <si>
    <t>CUST945</t>
  </si>
  <si>
    <t>CUST946</t>
  </si>
  <si>
    <t>CUST947</t>
  </si>
  <si>
    <t>CUST948</t>
  </si>
  <si>
    <t>CUST949</t>
  </si>
  <si>
    <t>CUST950</t>
  </si>
  <si>
    <t>CUST951</t>
  </si>
  <si>
    <t>CUST952</t>
  </si>
  <si>
    <t>CUST953</t>
  </si>
  <si>
    <t>CUST954</t>
  </si>
  <si>
    <t>CUST955</t>
  </si>
  <si>
    <t>CUST956</t>
  </si>
  <si>
    <t>CUST957</t>
  </si>
  <si>
    <t>CUST958</t>
  </si>
  <si>
    <t>CUST959</t>
  </si>
  <si>
    <t>CUST960</t>
  </si>
  <si>
    <t>CUST961</t>
  </si>
  <si>
    <t>CUST962</t>
  </si>
  <si>
    <t>CUST963</t>
  </si>
  <si>
    <t>CUST964</t>
  </si>
  <si>
    <t>CUST965</t>
  </si>
  <si>
    <t>CUST966</t>
  </si>
  <si>
    <t>CUST967</t>
  </si>
  <si>
    <t>CUST968</t>
  </si>
  <si>
    <t>CUST969</t>
  </si>
  <si>
    <t>CUST970</t>
  </si>
  <si>
    <t>CUST971</t>
  </si>
  <si>
    <t>CUST972</t>
  </si>
  <si>
    <t>CUST973</t>
  </si>
  <si>
    <t>CUST974</t>
  </si>
  <si>
    <t>CUST975</t>
  </si>
  <si>
    <t>CUST976</t>
  </si>
  <si>
    <t>CUST977</t>
  </si>
  <si>
    <t>CUST978</t>
  </si>
  <si>
    <t>CUST979</t>
  </si>
  <si>
    <t>CUST980</t>
  </si>
  <si>
    <t>CUST981</t>
  </si>
  <si>
    <t>CUST982</t>
  </si>
  <si>
    <t>CUST983</t>
  </si>
  <si>
    <t>CUST984</t>
  </si>
  <si>
    <t>CUST985</t>
  </si>
  <si>
    <t>CUST986</t>
  </si>
  <si>
    <t>CUST987</t>
  </si>
  <si>
    <t>CUST988</t>
  </si>
  <si>
    <t>CUST989</t>
  </si>
  <si>
    <t>CUST990</t>
  </si>
  <si>
    <t>CUST991</t>
  </si>
  <si>
    <t>CUST992</t>
  </si>
  <si>
    <t>CUST993</t>
  </si>
  <si>
    <t>CUST994</t>
  </si>
  <si>
    <t>CUST995</t>
  </si>
  <si>
    <t>CUST996</t>
  </si>
  <si>
    <t>CUST997</t>
  </si>
  <si>
    <t>CUST998</t>
  </si>
  <si>
    <t>CUST999</t>
  </si>
  <si>
    <t>CUST1000</t>
  </si>
  <si>
    <t>Age_Range</t>
  </si>
  <si>
    <t>Row Labels</t>
  </si>
  <si>
    <t>Grand Total</t>
  </si>
  <si>
    <t>Sum of Quantity</t>
  </si>
  <si>
    <t>Column Labels</t>
  </si>
  <si>
    <t>Sum of Total Amount</t>
  </si>
  <si>
    <t>Jan</t>
  </si>
  <si>
    <t>Feb</t>
  </si>
  <si>
    <t>Mar</t>
  </si>
  <si>
    <t>Apr</t>
  </si>
  <si>
    <t>May</t>
  </si>
  <si>
    <t>Jun</t>
  </si>
  <si>
    <t>Jul</t>
  </si>
  <si>
    <t>Aug</t>
  </si>
  <si>
    <t>Sep</t>
  </si>
  <si>
    <t>Oct</t>
  </si>
  <si>
    <t>Nov</t>
  </si>
  <si>
    <t>Dec</t>
  </si>
  <si>
    <t>Young</t>
  </si>
  <si>
    <t>Middle</t>
  </si>
  <si>
    <t>Old</t>
  </si>
  <si>
    <t>Retail  Sales Data Anlysis</t>
  </si>
  <si>
    <t>Column1</t>
  </si>
  <si>
    <t xml:space="preserve"> </t>
  </si>
  <si>
    <t>units</t>
  </si>
  <si>
    <t>(All)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</si>
</sst>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40"/>
      <color theme="0"/>
      <name val="Times New Roman"/>
      <family val="1"/>
    </font>
    <font>
      <sz val="72"/>
      <color theme="0" tint="-4.9989318521683403E-2"/>
      <name val="Baguet Script"/>
    </font>
    <font>
      <sz val="72"/>
      <color theme="0"/>
      <name val="Baguet Script"/>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1" tint="0.34998626667073579"/>
        <bgColor indexed="64"/>
      </patternFill>
    </fill>
    <fill>
      <patternFill patternType="solid">
        <fgColor theme="4" tint="0.79998168889431442"/>
        <bgColor indexed="64"/>
      </patternFill>
    </fill>
    <fill>
      <patternFill patternType="solid">
        <fgColor theme="4" tint="-0.24997711111789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4">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33" borderId="0" xfId="0" applyFill="1"/>
    <xf numFmtId="0" fontId="18" fillId="33" borderId="0" xfId="0" applyFont="1" applyFill="1" applyAlignment="1">
      <alignment vertical="center"/>
    </xf>
    <xf numFmtId="0" fontId="17" fillId="33" borderId="0" xfId="0" applyFont="1" applyFill="1" applyAlignment="1">
      <alignment vertical="center"/>
    </xf>
    <xf numFmtId="0" fontId="19" fillId="33" borderId="0" xfId="0" applyFont="1" applyFill="1" applyAlignment="1">
      <alignment vertical="center"/>
    </xf>
    <xf numFmtId="10" fontId="0" fillId="0" borderId="0" xfId="0" applyNumberFormat="1"/>
    <xf numFmtId="0" fontId="20" fillId="33" borderId="0" xfId="0" applyFont="1" applyFill="1" applyAlignment="1">
      <alignment horizontal="center" vertical="center"/>
    </xf>
    <xf numFmtId="0" fontId="17" fillId="33" borderId="0" xfId="0" applyFont="1" applyFill="1" applyAlignment="1">
      <alignment horizontal="center" vertical="center"/>
    </xf>
    <xf numFmtId="0" fontId="0" fillId="34" borderId="0" xfId="0" applyFill="1"/>
    <xf numFmtId="0" fontId="13" fillId="35" borderId="0" xfId="0" applyFont="1" applyFill="1"/>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2">
    <dxf>
      <fill>
        <patternFill patternType="solid">
          <fgColor indexed="64"/>
          <bgColor theme="4" tint="0.79998168889431442"/>
        </patternFill>
      </fill>
    </dxf>
    <dxf>
      <fill>
        <patternFill patternType="solid">
          <fgColor indexed="64"/>
          <bgColor theme="4" tint="0.79998168889431442"/>
        </patternFill>
      </fill>
    </dxf>
    <dxf>
      <fill>
        <patternFill patternType="solid">
          <fgColor indexed="64"/>
          <bgColor theme="4" tint="0.79998168889431442"/>
        </patternFill>
      </fill>
    </dxf>
    <dxf>
      <numFmt numFmtId="0" formatCode="General"/>
      <fill>
        <patternFill patternType="solid">
          <fgColor indexed="64"/>
          <bgColor theme="4" tint="0.79998168889431442"/>
        </patternFill>
      </fill>
    </dxf>
    <dxf>
      <fill>
        <patternFill patternType="solid">
          <fgColor indexed="64"/>
          <bgColor theme="4" tint="0.79998168889431442"/>
        </patternFill>
      </fill>
    </dxf>
    <dxf>
      <fill>
        <patternFill patternType="solid">
          <fgColor indexed="64"/>
          <bgColor theme="4" tint="0.79998168889431442"/>
        </patternFill>
      </fill>
    </dxf>
    <dxf>
      <font>
        <b/>
        <i val="0"/>
        <strike val="0"/>
        <condense val="0"/>
        <extend val="0"/>
        <outline val="0"/>
        <shadow val="0"/>
        <u val="none"/>
        <vertAlign val="baseline"/>
        <sz val="11"/>
        <color theme="0"/>
        <name val="Calibri"/>
        <family val="2"/>
        <scheme val="minor"/>
      </font>
      <fill>
        <patternFill patternType="solid">
          <fgColor indexed="64"/>
          <bgColor theme="4" tint="-0.249977111117893"/>
        </patternFill>
      </fill>
    </dxf>
    <dxf>
      <numFmt numFmtId="0" formatCode="General"/>
    </dxf>
    <dxf>
      <numFmt numFmtId="19" formatCode="dd/mm/yyyy"/>
    </dxf>
    <dxf>
      <numFmt numFmtId="0" formatCode="General"/>
    </dxf>
    <dxf>
      <numFmt numFmtId="19" formatCode="dd/mm/yyyy"/>
    </dxf>
    <dxf>
      <fill>
        <patternFill>
          <bgColor theme="2" tint="-0.499984740745262"/>
        </patternFill>
      </fill>
    </dxf>
  </dxfs>
  <tableStyles count="1" defaultTableStyle="TableStyleMedium2" defaultPivotStyle="PivotStyleLight16">
    <tableStyle name="Slicer Style 1" pivot="0" table="0" count="1" xr9:uid="{7CCFDF43-C1C5-4994-81F4-DC89B5F4CBD1}">
      <tableStyleElement type="wholeTable" dxfId="11"/>
    </tableStyle>
  </tableStyle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microsoft.com/office/2007/relationships/slicerCache" Target="slicerCaches/slicerCache6.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pivotCacheDefinition" Target="pivotCache/pivotCacheDefinition2.xml"/><Relationship Id="rId12" Type="http://schemas.microsoft.com/office/2007/relationships/slicerCache" Target="slicerCaches/slicerCache5.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07/relationships/slicerCache" Target="slicerCaches/slicerCache4.xml"/><Relationship Id="rId5" Type="http://schemas.openxmlformats.org/officeDocument/2006/relationships/worksheet" Target="worksheets/sheet5.xml"/><Relationship Id="rId15" Type="http://schemas.openxmlformats.org/officeDocument/2006/relationships/theme" Target="theme/theme1.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microsoft.com/office/2007/relationships/slicerCache" Target="slicerCaches/slicerCache7.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[retail_sales_dataset.xlsx]Pivot!PivotTable2</c:name>
    <c:fmtId val="0"/>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a:t>Product category per month</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2225" cap="rnd">
            <a:solidFill>
              <a:schemeClr val="accent1"/>
            </a:solidFill>
          </a:ln>
          <a:effectLst>
            <a:glow rad="139700">
              <a:schemeClr val="accent1">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a:solidFill>
              <a:schemeClr val="accent1"/>
            </a:solidFill>
          </a:ln>
          <a:effectLst>
            <a:glow rad="139700">
              <a:schemeClr val="accent1">
                <a:satMod val="175000"/>
                <a:alpha val="14000"/>
              </a:schemeClr>
            </a:glow>
          </a:effectLst>
        </c:spPr>
        <c:marker>
          <c:symbol val="circle"/>
          <c:size val="4"/>
          <c:spPr>
            <a:solidFill>
              <a:schemeClr val="accent3">
                <a:lumMod val="60000"/>
                <a:lumOff val="40000"/>
              </a:schemeClr>
            </a:solidFill>
            <a:ln>
              <a:noFill/>
            </a:ln>
            <a:effectLst>
              <a:glow rad="63500">
                <a:schemeClr val="accent3">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Pivot!$C$3:$C$4</c:f>
              <c:strCache>
                <c:ptCount val="1"/>
                <c:pt idx="0">
                  <c:v>Beauty</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Pivot!$B$5:$B$17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Pivot!$C$5:$C$17</c:f>
              <c:numCache>
                <c:formatCode>General</c:formatCode>
                <c:ptCount val="12"/>
                <c:pt idx="0">
                  <c:v>62</c:v>
                </c:pt>
                <c:pt idx="1">
                  <c:v>68</c:v>
                </c:pt>
                <c:pt idx="2">
                  <c:v>51</c:v>
                </c:pt>
                <c:pt idx="3">
                  <c:v>69</c:v>
                </c:pt>
                <c:pt idx="4">
                  <c:v>65</c:v>
                </c:pt>
                <c:pt idx="5">
                  <c:v>66</c:v>
                </c:pt>
                <c:pt idx="6">
                  <c:v>70</c:v>
                </c:pt>
                <c:pt idx="7">
                  <c:v>62</c:v>
                </c:pt>
                <c:pt idx="8">
                  <c:v>50</c:v>
                </c:pt>
                <c:pt idx="9">
                  <c:v>83</c:v>
                </c:pt>
                <c:pt idx="10">
                  <c:v>63</c:v>
                </c:pt>
                <c:pt idx="11">
                  <c:v>62</c:v>
                </c:pt>
              </c:numCache>
            </c:numRef>
          </c:val>
          <c:smooth val="0"/>
          <c:extLst>
            <c:ext xmlns:c16="http://schemas.microsoft.com/office/drawing/2014/chart" uri="{C3380CC4-5D6E-409C-BE32-E72D297353CC}">
              <c16:uniqueId val="{00000000-D26E-4639-94E6-A026766AAF4D}"/>
            </c:ext>
          </c:extLst>
        </c:ser>
        <c:ser>
          <c:idx val="1"/>
          <c:order val="1"/>
          <c:tx>
            <c:strRef>
              <c:f>Pivot!$D$3:$D$4</c:f>
              <c:strCache>
                <c:ptCount val="1"/>
                <c:pt idx="0">
                  <c:v>Clothing</c:v>
                </c:pt>
              </c:strCache>
            </c:strRef>
          </c:tx>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cat>
            <c:strRef>
              <c:f>Pivot!$B$5:$B$17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Pivot!$D$5:$D$17</c:f>
              <c:numCache>
                <c:formatCode>General</c:formatCode>
                <c:ptCount val="12"/>
                <c:pt idx="0">
                  <c:v>72</c:v>
                </c:pt>
                <c:pt idx="1">
                  <c:v>75</c:v>
                </c:pt>
                <c:pt idx="2">
                  <c:v>111</c:v>
                </c:pt>
                <c:pt idx="3">
                  <c:v>93</c:v>
                </c:pt>
                <c:pt idx="4">
                  <c:v>97</c:v>
                </c:pt>
                <c:pt idx="5">
                  <c:v>67</c:v>
                </c:pt>
                <c:pt idx="6">
                  <c:v>45</c:v>
                </c:pt>
                <c:pt idx="7">
                  <c:v>78</c:v>
                </c:pt>
                <c:pt idx="8">
                  <c:v>60</c:v>
                </c:pt>
                <c:pt idx="9">
                  <c:v>74</c:v>
                </c:pt>
                <c:pt idx="10">
                  <c:v>69</c:v>
                </c:pt>
                <c:pt idx="11">
                  <c:v>53</c:v>
                </c:pt>
              </c:numCache>
            </c:numRef>
          </c:val>
          <c:smooth val="0"/>
          <c:extLst>
            <c:ext xmlns:c16="http://schemas.microsoft.com/office/drawing/2014/chart" uri="{C3380CC4-5D6E-409C-BE32-E72D297353CC}">
              <c16:uniqueId val="{00000006-52C1-4C1E-8275-D3064C1BFA82}"/>
            </c:ext>
          </c:extLst>
        </c:ser>
        <c:ser>
          <c:idx val="2"/>
          <c:order val="2"/>
          <c:tx>
            <c:strRef>
              <c:f>Pivot!$E$3:$E$4</c:f>
              <c:strCache>
                <c:ptCount val="1"/>
                <c:pt idx="0">
                  <c:v>Electronics</c:v>
                </c:pt>
              </c:strCache>
            </c:strRef>
          </c:tx>
          <c:spPr>
            <a:ln w="22225" cap="rnd">
              <a:solidFill>
                <a:schemeClr val="accent3"/>
              </a:solidFill>
            </a:ln>
            <a:effectLst>
              <a:glow rad="139700">
                <a:schemeClr val="accent3">
                  <a:satMod val="175000"/>
                  <a:alpha val="14000"/>
                </a:schemeClr>
              </a:glow>
            </a:effectLst>
          </c:spPr>
          <c:marker>
            <c:symbol val="circle"/>
            <c:size val="4"/>
            <c:spPr>
              <a:solidFill>
                <a:schemeClr val="accent3">
                  <a:lumMod val="60000"/>
                  <a:lumOff val="40000"/>
                </a:schemeClr>
              </a:solidFill>
              <a:ln>
                <a:noFill/>
              </a:ln>
              <a:effectLst>
                <a:glow rad="63500">
                  <a:schemeClr val="accent3">
                    <a:satMod val="175000"/>
                    <a:alpha val="25000"/>
                  </a:schemeClr>
                </a:glow>
              </a:effectLst>
            </c:spPr>
          </c:marker>
          <c:cat>
            <c:strRef>
              <c:f>Pivot!$B$5:$B$17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Pivot!$E$5:$E$17</c:f>
              <c:numCache>
                <c:formatCode>General</c:formatCode>
                <c:ptCount val="12"/>
                <c:pt idx="0">
                  <c:v>65</c:v>
                </c:pt>
                <c:pt idx="1">
                  <c:v>71</c:v>
                </c:pt>
                <c:pt idx="2">
                  <c:v>32</c:v>
                </c:pt>
                <c:pt idx="3">
                  <c:v>52</c:v>
                </c:pt>
                <c:pt idx="4">
                  <c:v>97</c:v>
                </c:pt>
                <c:pt idx="5">
                  <c:v>64</c:v>
                </c:pt>
                <c:pt idx="6">
                  <c:v>61</c:v>
                </c:pt>
                <c:pt idx="7">
                  <c:v>87</c:v>
                </c:pt>
                <c:pt idx="8">
                  <c:v>60</c:v>
                </c:pt>
                <c:pt idx="9">
                  <c:v>95</c:v>
                </c:pt>
                <c:pt idx="10">
                  <c:v>73</c:v>
                </c:pt>
                <c:pt idx="11">
                  <c:v>92</c:v>
                </c:pt>
              </c:numCache>
            </c:numRef>
          </c:val>
          <c:smooth val="0"/>
          <c:extLst>
            <c:ext xmlns:c16="http://schemas.microsoft.com/office/drawing/2014/chart" uri="{C3380CC4-5D6E-409C-BE32-E72D297353CC}">
              <c16:uniqueId val="{00000007-52C1-4C1E-8275-D3064C1BFA82}"/>
            </c:ext>
          </c:extLst>
        </c:ser>
        <c:dLbls>
          <c:showLegendKey val="0"/>
          <c:showVal val="0"/>
          <c:showCatName val="0"/>
          <c:showSerName val="0"/>
          <c:showPercent val="0"/>
          <c:showBubbleSize val="0"/>
        </c:dLbls>
        <c:marker val="1"/>
        <c:smooth val="0"/>
        <c:axId val="259759183"/>
        <c:axId val="259775023"/>
      </c:lineChart>
      <c:catAx>
        <c:axId val="259759183"/>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title>
          <c:tx>
            <c:rich>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IN"/>
                  <a:t>Month</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59775023"/>
        <c:crosses val="autoZero"/>
        <c:auto val="1"/>
        <c:lblAlgn val="ctr"/>
        <c:lblOffset val="100"/>
        <c:noMultiLvlLbl val="0"/>
      </c:catAx>
      <c:valAx>
        <c:axId val="259775023"/>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title>
          <c:tx>
            <c:rich>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IN"/>
                  <a:t>Quantity</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597591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[retail_sales_dataset.xlsx]Pivot!PivotTable3</c:name>
    <c:fmtId val="0"/>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a:t>Total amout per product</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2225" cap="rnd">
            <a:solidFill>
              <a:schemeClr val="accent1"/>
            </a:solidFill>
          </a:ln>
          <a:effectLst>
            <a:glow rad="139700">
              <a:schemeClr val="accent1">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Pivot!$C$23:$C$24</c:f>
              <c:strCache>
                <c:ptCount val="1"/>
                <c:pt idx="0">
                  <c:v>Female</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Pivot!$B$25:$B$28</c:f>
              <c:strCache>
                <c:ptCount val="3"/>
                <c:pt idx="0">
                  <c:v>Beauty</c:v>
                </c:pt>
                <c:pt idx="1">
                  <c:v>Clothing</c:v>
                </c:pt>
                <c:pt idx="2">
                  <c:v>Electronics</c:v>
                </c:pt>
              </c:strCache>
            </c:strRef>
          </c:cat>
          <c:val>
            <c:numRef>
              <c:f>Pivot!$C$25:$C$28</c:f>
              <c:numCache>
                <c:formatCode>General</c:formatCode>
                <c:ptCount val="3"/>
                <c:pt idx="0">
                  <c:v>74830</c:v>
                </c:pt>
                <c:pt idx="1">
                  <c:v>81275</c:v>
                </c:pt>
                <c:pt idx="2">
                  <c:v>76735</c:v>
                </c:pt>
              </c:numCache>
            </c:numRef>
          </c:val>
          <c:smooth val="0"/>
          <c:extLst>
            <c:ext xmlns:c16="http://schemas.microsoft.com/office/drawing/2014/chart" uri="{C3380CC4-5D6E-409C-BE32-E72D297353CC}">
              <c16:uniqueId val="{00000000-E9F3-4C5D-A85C-071384A6D312}"/>
            </c:ext>
          </c:extLst>
        </c:ser>
        <c:ser>
          <c:idx val="1"/>
          <c:order val="1"/>
          <c:tx>
            <c:strRef>
              <c:f>Pivot!$D$23:$D$24</c:f>
              <c:strCache>
                <c:ptCount val="1"/>
                <c:pt idx="0">
                  <c:v>Male</c:v>
                </c:pt>
              </c:strCache>
            </c:strRef>
          </c:tx>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cat>
            <c:strRef>
              <c:f>Pivot!$B$25:$B$28</c:f>
              <c:strCache>
                <c:ptCount val="3"/>
                <c:pt idx="0">
                  <c:v>Beauty</c:v>
                </c:pt>
                <c:pt idx="1">
                  <c:v>Clothing</c:v>
                </c:pt>
                <c:pt idx="2">
                  <c:v>Electronics</c:v>
                </c:pt>
              </c:strCache>
            </c:strRef>
          </c:cat>
          <c:val>
            <c:numRef>
              <c:f>Pivot!$D$25:$D$28</c:f>
              <c:numCache>
                <c:formatCode>General</c:formatCode>
                <c:ptCount val="3"/>
                <c:pt idx="0">
                  <c:v>68685</c:v>
                </c:pt>
                <c:pt idx="1">
                  <c:v>74305</c:v>
                </c:pt>
                <c:pt idx="2">
                  <c:v>80170</c:v>
                </c:pt>
              </c:numCache>
            </c:numRef>
          </c:val>
          <c:smooth val="0"/>
          <c:extLst>
            <c:ext xmlns:c16="http://schemas.microsoft.com/office/drawing/2014/chart" uri="{C3380CC4-5D6E-409C-BE32-E72D297353CC}">
              <c16:uniqueId val="{00000004-8F69-45EA-BDAC-656664CD589A}"/>
            </c:ext>
          </c:extLst>
        </c:ser>
        <c:dLbls>
          <c:showLegendKey val="0"/>
          <c:showVal val="0"/>
          <c:showCatName val="0"/>
          <c:showSerName val="0"/>
          <c:showPercent val="0"/>
          <c:showBubbleSize val="0"/>
        </c:dLbls>
        <c:marker val="1"/>
        <c:smooth val="0"/>
        <c:axId val="79290687"/>
        <c:axId val="79307967"/>
      </c:lineChart>
      <c:catAx>
        <c:axId val="79290687"/>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title>
          <c:tx>
            <c:rich>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IN"/>
                  <a:t>Product type</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79307967"/>
        <c:crosses val="autoZero"/>
        <c:auto val="1"/>
        <c:lblAlgn val="ctr"/>
        <c:lblOffset val="100"/>
        <c:noMultiLvlLbl val="0"/>
      </c:catAx>
      <c:valAx>
        <c:axId val="79307967"/>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title>
          <c:tx>
            <c:rich>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IN"/>
                  <a:t>Total Amount</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79290687"/>
        <c:crosses val="autoZero"/>
        <c:crossBetween val="between"/>
      </c:valAx>
      <c:dTable>
        <c:showHorzBorder val="1"/>
        <c:showVertBorder val="1"/>
        <c:showOutline val="1"/>
        <c:showKeys val="1"/>
        <c:spPr>
          <a:noFill/>
          <a:ln w="9525">
            <a:solidFill>
              <a:schemeClr val="dk1">
                <a:lumMod val="50000"/>
                <a:lumOff val="50000"/>
              </a:schemeClr>
            </a:solidFill>
          </a:ln>
          <a:effectLst/>
        </c:spPr>
        <c:txPr>
          <a:bodyPr rot="0" spcFirstLastPara="1" vertOverflow="ellipsis" vert="horz" wrap="square" anchor="ctr" anchorCtr="1"/>
          <a:lstStyle/>
          <a:p>
            <a:pPr rtl="0">
              <a:defRPr sz="900" b="0" i="0" u="none" strike="noStrike" kern="1200" baseline="0">
                <a:solidFill>
                  <a:schemeClr val="lt1">
                    <a:lumMod val="7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[retail_sales_dataset.xlsx]Pivot!PivotTable4</c:name>
    <c:fmtId val="0"/>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a:t>Quantity per Product category</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2225" cap="rnd">
            <a:solidFill>
              <a:schemeClr val="accent1"/>
            </a:solidFill>
          </a:ln>
          <a:effectLst>
            <a:glow rad="139700">
              <a:schemeClr val="accent1">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a:solidFill>
              <a:schemeClr val="accent1"/>
            </a:solidFill>
          </a:ln>
          <a:effectLst>
            <a:glow rad="139700">
              <a:schemeClr val="accent1">
                <a:satMod val="175000"/>
                <a:alpha val="14000"/>
              </a:schemeClr>
            </a:glow>
          </a:effectLst>
        </c:spPr>
        <c:marker>
          <c:symbol val="circle"/>
          <c:size val="4"/>
          <c:spPr>
            <a:solidFill>
              <a:schemeClr val="accent3">
                <a:lumMod val="60000"/>
                <a:lumOff val="40000"/>
              </a:schemeClr>
            </a:solidFill>
            <a:ln>
              <a:noFill/>
            </a:ln>
            <a:effectLst>
              <a:glow rad="63500">
                <a:schemeClr val="accent3">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Pivot!$C$39:$C$40</c:f>
              <c:strCache>
                <c:ptCount val="1"/>
                <c:pt idx="0">
                  <c:v>Middle</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Pivot!$B$41:$B$44</c:f>
              <c:strCache>
                <c:ptCount val="3"/>
                <c:pt idx="0">
                  <c:v>Beauty</c:v>
                </c:pt>
                <c:pt idx="1">
                  <c:v>Clothing</c:v>
                </c:pt>
                <c:pt idx="2">
                  <c:v>Electronics</c:v>
                </c:pt>
              </c:strCache>
            </c:strRef>
          </c:cat>
          <c:val>
            <c:numRef>
              <c:f>Pivot!$C$41:$C$44</c:f>
              <c:numCache>
                <c:formatCode>General</c:formatCode>
                <c:ptCount val="3"/>
                <c:pt idx="0">
                  <c:v>492</c:v>
                </c:pt>
                <c:pt idx="1">
                  <c:v>590</c:v>
                </c:pt>
                <c:pt idx="2">
                  <c:v>552</c:v>
                </c:pt>
              </c:numCache>
            </c:numRef>
          </c:val>
          <c:smooth val="0"/>
          <c:extLst>
            <c:ext xmlns:c16="http://schemas.microsoft.com/office/drawing/2014/chart" uri="{C3380CC4-5D6E-409C-BE32-E72D297353CC}">
              <c16:uniqueId val="{00000000-5883-4D45-AC0E-38A5CF153F6E}"/>
            </c:ext>
          </c:extLst>
        </c:ser>
        <c:ser>
          <c:idx val="1"/>
          <c:order val="1"/>
          <c:tx>
            <c:strRef>
              <c:f>Pivot!$D$39:$D$40</c:f>
              <c:strCache>
                <c:ptCount val="1"/>
                <c:pt idx="0">
                  <c:v>Old</c:v>
                </c:pt>
              </c:strCache>
            </c:strRef>
          </c:tx>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cat>
            <c:strRef>
              <c:f>Pivot!$B$41:$B$44</c:f>
              <c:strCache>
                <c:ptCount val="3"/>
                <c:pt idx="0">
                  <c:v>Beauty</c:v>
                </c:pt>
                <c:pt idx="1">
                  <c:v>Clothing</c:v>
                </c:pt>
                <c:pt idx="2">
                  <c:v>Electronics</c:v>
                </c:pt>
              </c:strCache>
            </c:strRef>
          </c:cat>
          <c:val>
            <c:numRef>
              <c:f>Pivot!$D$41:$D$44</c:f>
              <c:numCache>
                <c:formatCode>General</c:formatCode>
                <c:ptCount val="3"/>
                <c:pt idx="0">
                  <c:v>127</c:v>
                </c:pt>
                <c:pt idx="1">
                  <c:v>175</c:v>
                </c:pt>
                <c:pt idx="2">
                  <c:v>166</c:v>
                </c:pt>
              </c:numCache>
            </c:numRef>
          </c:val>
          <c:smooth val="0"/>
          <c:extLst>
            <c:ext xmlns:c16="http://schemas.microsoft.com/office/drawing/2014/chart" uri="{C3380CC4-5D6E-409C-BE32-E72D297353CC}">
              <c16:uniqueId val="{00000007-3F1A-44E8-AF6C-EA8E0912406C}"/>
            </c:ext>
          </c:extLst>
        </c:ser>
        <c:ser>
          <c:idx val="2"/>
          <c:order val="2"/>
          <c:tx>
            <c:strRef>
              <c:f>Pivot!$E$39:$E$40</c:f>
              <c:strCache>
                <c:ptCount val="1"/>
                <c:pt idx="0">
                  <c:v>Young</c:v>
                </c:pt>
              </c:strCache>
            </c:strRef>
          </c:tx>
          <c:spPr>
            <a:ln w="22225" cap="rnd">
              <a:solidFill>
                <a:schemeClr val="accent3"/>
              </a:solidFill>
            </a:ln>
            <a:effectLst>
              <a:glow rad="139700">
                <a:schemeClr val="accent3">
                  <a:satMod val="175000"/>
                  <a:alpha val="14000"/>
                </a:schemeClr>
              </a:glow>
            </a:effectLst>
          </c:spPr>
          <c:marker>
            <c:symbol val="circle"/>
            <c:size val="4"/>
            <c:spPr>
              <a:solidFill>
                <a:schemeClr val="accent3">
                  <a:lumMod val="60000"/>
                  <a:lumOff val="40000"/>
                </a:schemeClr>
              </a:solidFill>
              <a:ln>
                <a:noFill/>
              </a:ln>
              <a:effectLst>
                <a:glow rad="63500">
                  <a:schemeClr val="accent3">
                    <a:satMod val="175000"/>
                    <a:alpha val="25000"/>
                  </a:schemeClr>
                </a:glow>
              </a:effectLst>
            </c:spPr>
          </c:marker>
          <c:cat>
            <c:strRef>
              <c:f>Pivot!$B$41:$B$44</c:f>
              <c:strCache>
                <c:ptCount val="3"/>
                <c:pt idx="0">
                  <c:v>Beauty</c:v>
                </c:pt>
                <c:pt idx="1">
                  <c:v>Clothing</c:v>
                </c:pt>
                <c:pt idx="2">
                  <c:v>Electronics</c:v>
                </c:pt>
              </c:strCache>
            </c:strRef>
          </c:cat>
          <c:val>
            <c:numRef>
              <c:f>Pivot!$E$41:$E$44</c:f>
              <c:numCache>
                <c:formatCode>General</c:formatCode>
                <c:ptCount val="3"/>
                <c:pt idx="0">
                  <c:v>152</c:v>
                </c:pt>
                <c:pt idx="1">
                  <c:v>129</c:v>
                </c:pt>
                <c:pt idx="2">
                  <c:v>131</c:v>
                </c:pt>
              </c:numCache>
            </c:numRef>
          </c:val>
          <c:smooth val="0"/>
          <c:extLst>
            <c:ext xmlns:c16="http://schemas.microsoft.com/office/drawing/2014/chart" uri="{C3380CC4-5D6E-409C-BE32-E72D297353CC}">
              <c16:uniqueId val="{00000008-3F1A-44E8-AF6C-EA8E0912406C}"/>
            </c:ext>
          </c:extLst>
        </c:ser>
        <c:dLbls>
          <c:showLegendKey val="0"/>
          <c:showVal val="0"/>
          <c:showCatName val="0"/>
          <c:showSerName val="0"/>
          <c:showPercent val="0"/>
          <c:showBubbleSize val="0"/>
        </c:dLbls>
        <c:marker val="1"/>
        <c:smooth val="0"/>
        <c:axId val="420556383"/>
        <c:axId val="420555423"/>
      </c:lineChart>
      <c:catAx>
        <c:axId val="420556383"/>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title>
          <c:tx>
            <c:rich>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IN"/>
                  <a:t>Product category</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420555423"/>
        <c:crosses val="autoZero"/>
        <c:auto val="1"/>
        <c:lblAlgn val="ctr"/>
        <c:lblOffset val="100"/>
        <c:noMultiLvlLbl val="0"/>
      </c:catAx>
      <c:valAx>
        <c:axId val="420555423"/>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title>
          <c:tx>
            <c:rich>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IN"/>
                  <a:t>Quantity</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420556383"/>
        <c:crosses val="autoZero"/>
        <c:crossBetween val="between"/>
      </c:valAx>
      <c:dTable>
        <c:showHorzBorder val="1"/>
        <c:showVertBorder val="1"/>
        <c:showOutline val="1"/>
        <c:showKeys val="1"/>
        <c:spPr>
          <a:noFill/>
          <a:ln w="9525">
            <a:solidFill>
              <a:schemeClr val="dk1">
                <a:lumMod val="50000"/>
                <a:lumOff val="50000"/>
              </a:schemeClr>
            </a:solidFill>
          </a:ln>
          <a:effectLst/>
        </c:spPr>
        <c:txPr>
          <a:bodyPr rot="0" spcFirstLastPara="1" vertOverflow="ellipsis" vert="horz" wrap="square" anchor="ctr" anchorCtr="1"/>
          <a:lstStyle/>
          <a:p>
            <a:pPr rtl="0">
              <a:defRPr sz="900" b="0" i="0" u="none" strike="noStrike" kern="1200" baseline="0">
                <a:solidFill>
                  <a:schemeClr val="lt1">
                    <a:lumMod val="7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[retail_sales_dataset.xlsx]Pivot!PivotTable5</c:name>
    <c:fmtId val="0"/>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a:t>Total Amount</a:t>
            </a:r>
            <a:r>
              <a:rPr lang="en-IN" baseline="0"/>
              <a:t> per Gender</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Pivot!$C$56:$C$57</c:f>
              <c:strCache>
                <c:ptCount val="1"/>
                <c:pt idx="0">
                  <c:v>Middle</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Pivot!$B$58:$B$60</c:f>
              <c:strCache>
                <c:ptCount val="2"/>
                <c:pt idx="0">
                  <c:v>Female</c:v>
                </c:pt>
                <c:pt idx="1">
                  <c:v>Male</c:v>
                </c:pt>
              </c:strCache>
            </c:strRef>
          </c:cat>
          <c:val>
            <c:numRef>
              <c:f>Pivot!$C$58:$C$60</c:f>
              <c:numCache>
                <c:formatCode>General</c:formatCode>
                <c:ptCount val="2"/>
                <c:pt idx="0">
                  <c:v>155160</c:v>
                </c:pt>
                <c:pt idx="1">
                  <c:v>135880</c:v>
                </c:pt>
              </c:numCache>
            </c:numRef>
          </c:val>
          <c:extLst>
            <c:ext xmlns:c16="http://schemas.microsoft.com/office/drawing/2014/chart" uri="{C3380CC4-5D6E-409C-BE32-E72D297353CC}">
              <c16:uniqueId val="{00000000-5EA3-4519-8A84-B6E80C0EA1BE}"/>
            </c:ext>
          </c:extLst>
        </c:ser>
        <c:ser>
          <c:idx val="1"/>
          <c:order val="1"/>
          <c:tx>
            <c:strRef>
              <c:f>Pivot!$D$56:$D$57</c:f>
              <c:strCache>
                <c:ptCount val="1"/>
                <c:pt idx="0">
                  <c:v>Old</c:v>
                </c:pt>
              </c:strCache>
            </c:strRef>
          </c:tx>
          <c:spPr>
            <a:noFill/>
            <a:ln w="9525" cap="flat" cmpd="sng" algn="ctr">
              <a:solidFill>
                <a:schemeClr val="accent2"/>
              </a:solidFill>
              <a:miter lim="800000"/>
            </a:ln>
            <a:effectLst>
              <a:glow rad="63500">
                <a:schemeClr val="accent2">
                  <a:satMod val="175000"/>
                  <a:alpha val="25000"/>
                </a:schemeClr>
              </a:glow>
            </a:effectLst>
          </c:spPr>
          <c:invertIfNegative val="0"/>
          <c:cat>
            <c:strRef>
              <c:f>Pivot!$B$58:$B$60</c:f>
              <c:strCache>
                <c:ptCount val="2"/>
                <c:pt idx="0">
                  <c:v>Female</c:v>
                </c:pt>
                <c:pt idx="1">
                  <c:v>Male</c:v>
                </c:pt>
              </c:strCache>
            </c:strRef>
          </c:cat>
          <c:val>
            <c:numRef>
              <c:f>Pivot!$D$58:$D$60</c:f>
              <c:numCache>
                <c:formatCode>General</c:formatCode>
                <c:ptCount val="2"/>
                <c:pt idx="0">
                  <c:v>38210</c:v>
                </c:pt>
                <c:pt idx="1">
                  <c:v>42200</c:v>
                </c:pt>
              </c:numCache>
            </c:numRef>
          </c:val>
          <c:extLst>
            <c:ext xmlns:c16="http://schemas.microsoft.com/office/drawing/2014/chart" uri="{C3380CC4-5D6E-409C-BE32-E72D297353CC}">
              <c16:uniqueId val="{00000007-1409-491C-8464-2E5BE1EE9D43}"/>
            </c:ext>
          </c:extLst>
        </c:ser>
        <c:ser>
          <c:idx val="2"/>
          <c:order val="2"/>
          <c:tx>
            <c:strRef>
              <c:f>Pivot!$E$56:$E$57</c:f>
              <c:strCache>
                <c:ptCount val="1"/>
                <c:pt idx="0">
                  <c:v>Young</c:v>
                </c:pt>
              </c:strCache>
            </c:strRef>
          </c:tx>
          <c:spPr>
            <a:noFill/>
            <a:ln w="9525" cap="flat" cmpd="sng" algn="ctr">
              <a:solidFill>
                <a:schemeClr val="accent3"/>
              </a:solidFill>
              <a:miter lim="800000"/>
            </a:ln>
            <a:effectLst>
              <a:glow rad="63500">
                <a:schemeClr val="accent3">
                  <a:satMod val="175000"/>
                  <a:alpha val="25000"/>
                </a:schemeClr>
              </a:glow>
            </a:effectLst>
          </c:spPr>
          <c:invertIfNegative val="0"/>
          <c:cat>
            <c:strRef>
              <c:f>Pivot!$B$58:$B$60</c:f>
              <c:strCache>
                <c:ptCount val="2"/>
                <c:pt idx="0">
                  <c:v>Female</c:v>
                </c:pt>
                <c:pt idx="1">
                  <c:v>Male</c:v>
                </c:pt>
              </c:strCache>
            </c:strRef>
          </c:cat>
          <c:val>
            <c:numRef>
              <c:f>Pivot!$E$58:$E$60</c:f>
              <c:numCache>
                <c:formatCode>General</c:formatCode>
                <c:ptCount val="2"/>
                <c:pt idx="0">
                  <c:v>39470</c:v>
                </c:pt>
                <c:pt idx="1">
                  <c:v>45080</c:v>
                </c:pt>
              </c:numCache>
            </c:numRef>
          </c:val>
          <c:extLst>
            <c:ext xmlns:c16="http://schemas.microsoft.com/office/drawing/2014/chart" uri="{C3380CC4-5D6E-409C-BE32-E72D297353CC}">
              <c16:uniqueId val="{00000008-1409-491C-8464-2E5BE1EE9D43}"/>
            </c:ext>
          </c:extLst>
        </c:ser>
        <c:dLbls>
          <c:showLegendKey val="0"/>
          <c:showVal val="0"/>
          <c:showCatName val="0"/>
          <c:showSerName val="0"/>
          <c:showPercent val="0"/>
          <c:showBubbleSize val="0"/>
        </c:dLbls>
        <c:gapWidth val="315"/>
        <c:overlap val="-40"/>
        <c:axId val="499223711"/>
        <c:axId val="499222271"/>
      </c:barChart>
      <c:catAx>
        <c:axId val="499223711"/>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title>
          <c:tx>
            <c:rich>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499222271"/>
        <c:crosses val="autoZero"/>
        <c:auto val="1"/>
        <c:lblAlgn val="ctr"/>
        <c:lblOffset val="100"/>
        <c:noMultiLvlLbl val="0"/>
      </c:catAx>
      <c:valAx>
        <c:axId val="499222271"/>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title>
          <c:tx>
            <c:rich>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IN"/>
                  <a:t>Total</a:t>
                </a:r>
                <a:r>
                  <a:rPr lang="en-IN" baseline="0"/>
                  <a:t> Amount</a:t>
                </a:r>
                <a:endParaRPr lang="en-IN"/>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4992237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[retail_sales_dataset.xlsx]Pivot!PivotTable6</c:name>
    <c:fmtId val="0"/>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Pivot!$C$74</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13F5-47C7-AB0A-85F77CF2AEB0}"/>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13F5-47C7-AB0A-85F77CF2AEB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Pivot!$B$75:$B$77</c:f>
              <c:strCache>
                <c:ptCount val="2"/>
                <c:pt idx="0">
                  <c:v>Female</c:v>
                </c:pt>
                <c:pt idx="1">
                  <c:v>Male</c:v>
                </c:pt>
              </c:strCache>
            </c:strRef>
          </c:cat>
          <c:val>
            <c:numRef>
              <c:f>Pivot!$C$75:$C$77</c:f>
              <c:numCache>
                <c:formatCode>General</c:formatCode>
                <c:ptCount val="2"/>
                <c:pt idx="0">
                  <c:v>232840</c:v>
                </c:pt>
                <c:pt idx="1">
                  <c:v>223160</c:v>
                </c:pt>
              </c:numCache>
            </c:numRef>
          </c:val>
          <c:extLst>
            <c:ext xmlns:c16="http://schemas.microsoft.com/office/drawing/2014/chart" uri="{C3380CC4-5D6E-409C-BE32-E72D297353CC}">
              <c16:uniqueId val="{00000000-FD4D-46BA-BE51-ADE628652380}"/>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[retail_sales_dataset.xlsx]Pivot!PivotTable7</c:name>
    <c:fmtId val="0"/>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Pivot!$C$87</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5C13-45EE-A856-799CFAC9CAE8}"/>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5C13-45EE-A856-799CFAC9CAE8}"/>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5C13-45EE-A856-799CFAC9CAE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Pivot!$B$88:$B$91</c:f>
              <c:strCache>
                <c:ptCount val="3"/>
                <c:pt idx="0">
                  <c:v>Beauty</c:v>
                </c:pt>
                <c:pt idx="1">
                  <c:v>Clothing</c:v>
                </c:pt>
                <c:pt idx="2">
                  <c:v>Electronics</c:v>
                </c:pt>
              </c:strCache>
            </c:strRef>
          </c:cat>
          <c:val>
            <c:numRef>
              <c:f>Pivot!$C$88:$C$91</c:f>
              <c:numCache>
                <c:formatCode>General</c:formatCode>
                <c:ptCount val="3"/>
                <c:pt idx="0">
                  <c:v>143515</c:v>
                </c:pt>
                <c:pt idx="1">
                  <c:v>155580</c:v>
                </c:pt>
                <c:pt idx="2">
                  <c:v>156905</c:v>
                </c:pt>
              </c:numCache>
            </c:numRef>
          </c:val>
          <c:extLst>
            <c:ext xmlns:c16="http://schemas.microsoft.com/office/drawing/2014/chart" uri="{C3380CC4-5D6E-409C-BE32-E72D297353CC}">
              <c16:uniqueId val="{00000000-37E7-4844-9B2D-46B2C8017CE4}"/>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[retail_sales_dataset.xlsx]Pivot!PivotTable1</c:name>
    <c:fmtId val="5"/>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doughnutChart>
        <c:varyColors val="1"/>
        <c:ser>
          <c:idx val="0"/>
          <c:order val="0"/>
          <c:tx>
            <c:strRef>
              <c:f>Pivot!$C$103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E735-48C5-9899-87505440A5BB}"/>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E735-48C5-9899-87505440A5BB}"/>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E735-48C5-9899-87505440A5BB}"/>
              </c:ext>
            </c:extLst>
          </c:dPt>
          <c:dLbls>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Pivot!$B$104:$B$107</c:f>
              <c:strCache>
                <c:ptCount val="3"/>
                <c:pt idx="0">
                  <c:v>Beauty</c:v>
                </c:pt>
                <c:pt idx="1">
                  <c:v>Clothing</c:v>
                </c:pt>
                <c:pt idx="2">
                  <c:v>Electronics</c:v>
                </c:pt>
              </c:strCache>
            </c:strRef>
          </c:cat>
          <c:val>
            <c:numRef>
              <c:f>Pivot!$C$104:$C$107</c:f>
              <c:numCache>
                <c:formatCode>0.00%</c:formatCode>
                <c:ptCount val="3"/>
                <c:pt idx="0">
                  <c:v>0.31472587719298245</c:v>
                </c:pt>
                <c:pt idx="1">
                  <c:v>0.34118421052631581</c:v>
                </c:pt>
                <c:pt idx="2">
                  <c:v>0.34408991228070174</c:v>
                </c:pt>
              </c:numCache>
            </c:numRef>
          </c:val>
          <c:extLst>
            <c:ext xmlns:c16="http://schemas.microsoft.com/office/drawing/2014/chart" uri="{C3380CC4-5D6E-409C-BE32-E72D297353CC}">
              <c16:uniqueId val="{00000000-A845-4F4A-B974-6C6B7F64F1F0}"/>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[retail_sales_dataset.xlsx]Pivot!PivotTable8</c:name>
    <c:fmtId val="4"/>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Pivot!$R$23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Pivot!$Q$24:$Q$27</c:f>
              <c:strCache>
                <c:ptCount val="3"/>
                <c:pt idx="0">
                  <c:v>Beauty</c:v>
                </c:pt>
                <c:pt idx="1">
                  <c:v>Clothing</c:v>
                </c:pt>
                <c:pt idx="2">
                  <c:v>Electronics</c:v>
                </c:pt>
              </c:strCache>
            </c:strRef>
          </c:cat>
          <c:val>
            <c:numRef>
              <c:f>Pivot!$R$24:$R$27</c:f>
              <c:numCache>
                <c:formatCode>General</c:formatCode>
                <c:ptCount val="3"/>
                <c:pt idx="0">
                  <c:v>143515</c:v>
                </c:pt>
                <c:pt idx="1">
                  <c:v>155580</c:v>
                </c:pt>
                <c:pt idx="2">
                  <c:v>156905</c:v>
                </c:pt>
              </c:numCache>
            </c:numRef>
          </c:val>
          <c:extLst>
            <c:ext xmlns:c16="http://schemas.microsoft.com/office/drawing/2014/chart" uri="{C3380CC4-5D6E-409C-BE32-E72D297353CC}">
              <c16:uniqueId val="{00000000-20CA-4404-AA17-77C4413FD606}"/>
            </c:ext>
          </c:extLst>
        </c:ser>
        <c:dLbls>
          <c:dLblPos val="outEnd"/>
          <c:showLegendKey val="0"/>
          <c:showVal val="1"/>
          <c:showCatName val="0"/>
          <c:showSerName val="0"/>
          <c:showPercent val="0"/>
          <c:showBubbleSize val="0"/>
        </c:dLbls>
        <c:gapWidth val="100"/>
        <c:overlap val="-24"/>
        <c:axId val="1245233040"/>
        <c:axId val="1245233520"/>
      </c:barChart>
      <c:catAx>
        <c:axId val="1245233040"/>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45233520"/>
        <c:crosses val="autoZero"/>
        <c:auto val="1"/>
        <c:lblAlgn val="ctr"/>
        <c:lblOffset val="100"/>
        <c:noMultiLvlLbl val="0"/>
      </c:catAx>
      <c:valAx>
        <c:axId val="1245233520"/>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452330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[retail_sales_dataset.xlsx]Pivot!PivotTable6</c:name>
    <c:fmtId val="4"/>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Pivot!$C$74</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7503-4FCA-A1F5-2D7199ADDBB4}"/>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7503-4FCA-A1F5-2D7199ADDBB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Pivot!$B$75:$B$77</c:f>
              <c:strCache>
                <c:ptCount val="2"/>
                <c:pt idx="0">
                  <c:v>Female</c:v>
                </c:pt>
                <c:pt idx="1">
                  <c:v>Male</c:v>
                </c:pt>
              </c:strCache>
            </c:strRef>
          </c:cat>
          <c:val>
            <c:numRef>
              <c:f>Pivot!$C$75:$C$77</c:f>
              <c:numCache>
                <c:formatCode>General</c:formatCode>
                <c:ptCount val="2"/>
                <c:pt idx="0">
                  <c:v>232840</c:v>
                </c:pt>
                <c:pt idx="1">
                  <c:v>223160</c:v>
                </c:pt>
              </c:numCache>
            </c:numRef>
          </c:val>
          <c:extLst>
            <c:ext xmlns:c16="http://schemas.microsoft.com/office/drawing/2014/chart" uri="{C3380CC4-5D6E-409C-BE32-E72D297353CC}">
              <c16:uniqueId val="{00000004-7503-4FCA-A1F5-2D7199ADDBB4}"/>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[retail_sales_dataset.xlsx]Pivot!PivotTable2</c:name>
    <c:fmtId val="5"/>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a:t>Product category per month</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2"/>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3">
                <a:lumMod val="60000"/>
                <a:lumOff val="40000"/>
              </a:schemeClr>
            </a:solidFill>
            <a:ln>
              <a:noFill/>
            </a:ln>
            <a:effectLst>
              <a:glow rad="63500">
                <a:schemeClr val="accent3">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3"/>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3">
                <a:lumMod val="60000"/>
                <a:lumOff val="40000"/>
              </a:schemeClr>
            </a:solidFill>
            <a:ln>
              <a:noFill/>
            </a:ln>
            <a:effectLst>
              <a:glow rad="63500">
                <a:schemeClr val="accent3">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2225" cap="rnd">
            <a:solidFill>
              <a:schemeClr val="accent1"/>
            </a:solidFill>
          </a:ln>
          <a:effectLst>
            <a:glow rad="139700">
              <a:schemeClr val="accent1">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2225" cap="rnd">
            <a:solidFill>
              <a:schemeClr val="accent1"/>
            </a:solidFill>
          </a:ln>
          <a:effectLst>
            <a:glow rad="139700">
              <a:schemeClr val="accent1">
                <a:satMod val="175000"/>
                <a:alpha val="14000"/>
              </a:schemeClr>
            </a:glow>
          </a:effectLst>
        </c:spPr>
        <c:marker>
          <c:symbol val="circle"/>
          <c:size val="4"/>
          <c:spPr>
            <a:solidFill>
              <a:schemeClr val="accent3">
                <a:lumMod val="60000"/>
                <a:lumOff val="40000"/>
              </a:schemeClr>
            </a:solidFill>
            <a:ln>
              <a:noFill/>
            </a:ln>
            <a:effectLst>
              <a:glow rad="63500">
                <a:schemeClr val="accent3">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2225" cap="rnd">
            <a:solidFill>
              <a:schemeClr val="accent1"/>
            </a:solidFill>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Pivot!$C$3:$C$4</c:f>
              <c:strCache>
                <c:ptCount val="1"/>
                <c:pt idx="0">
                  <c:v>Beauty</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Pivot!$B$5:$B$17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Pivot!$C$5:$C$17</c:f>
              <c:numCache>
                <c:formatCode>General</c:formatCode>
                <c:ptCount val="12"/>
                <c:pt idx="0">
                  <c:v>62</c:v>
                </c:pt>
                <c:pt idx="1">
                  <c:v>68</c:v>
                </c:pt>
                <c:pt idx="2">
                  <c:v>51</c:v>
                </c:pt>
                <c:pt idx="3">
                  <c:v>69</c:v>
                </c:pt>
                <c:pt idx="4">
                  <c:v>65</c:v>
                </c:pt>
                <c:pt idx="5">
                  <c:v>66</c:v>
                </c:pt>
                <c:pt idx="6">
                  <c:v>70</c:v>
                </c:pt>
                <c:pt idx="7">
                  <c:v>62</c:v>
                </c:pt>
                <c:pt idx="8">
                  <c:v>50</c:v>
                </c:pt>
                <c:pt idx="9">
                  <c:v>83</c:v>
                </c:pt>
                <c:pt idx="10">
                  <c:v>63</c:v>
                </c:pt>
                <c:pt idx="11">
                  <c:v>62</c:v>
                </c:pt>
              </c:numCache>
            </c:numRef>
          </c:val>
          <c:smooth val="0"/>
          <c:extLst>
            <c:ext xmlns:c16="http://schemas.microsoft.com/office/drawing/2014/chart" uri="{C3380CC4-5D6E-409C-BE32-E72D297353CC}">
              <c16:uniqueId val="{00000000-5533-4BEF-82B8-4786AE683D43}"/>
            </c:ext>
          </c:extLst>
        </c:ser>
        <c:ser>
          <c:idx val="1"/>
          <c:order val="1"/>
          <c:tx>
            <c:strRef>
              <c:f>Pivot!$D$3:$D$4</c:f>
              <c:strCache>
                <c:ptCount val="1"/>
                <c:pt idx="0">
                  <c:v>Clothing</c:v>
                </c:pt>
              </c:strCache>
            </c:strRef>
          </c:tx>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cat>
            <c:strRef>
              <c:f>Pivot!$B$5:$B$17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Pivot!$D$5:$D$17</c:f>
              <c:numCache>
                <c:formatCode>General</c:formatCode>
                <c:ptCount val="12"/>
                <c:pt idx="0">
                  <c:v>72</c:v>
                </c:pt>
                <c:pt idx="1">
                  <c:v>75</c:v>
                </c:pt>
                <c:pt idx="2">
                  <c:v>111</c:v>
                </c:pt>
                <c:pt idx="3">
                  <c:v>93</c:v>
                </c:pt>
                <c:pt idx="4">
                  <c:v>97</c:v>
                </c:pt>
                <c:pt idx="5">
                  <c:v>67</c:v>
                </c:pt>
                <c:pt idx="6">
                  <c:v>45</c:v>
                </c:pt>
                <c:pt idx="7">
                  <c:v>78</c:v>
                </c:pt>
                <c:pt idx="8">
                  <c:v>60</c:v>
                </c:pt>
                <c:pt idx="9">
                  <c:v>74</c:v>
                </c:pt>
                <c:pt idx="10">
                  <c:v>69</c:v>
                </c:pt>
                <c:pt idx="11">
                  <c:v>53</c:v>
                </c:pt>
              </c:numCache>
            </c:numRef>
          </c:val>
          <c:smooth val="0"/>
          <c:extLst>
            <c:ext xmlns:c16="http://schemas.microsoft.com/office/drawing/2014/chart" uri="{C3380CC4-5D6E-409C-BE32-E72D297353CC}">
              <c16:uniqueId val="{00000006-6770-4B11-ACC2-DADEF374E746}"/>
            </c:ext>
          </c:extLst>
        </c:ser>
        <c:ser>
          <c:idx val="2"/>
          <c:order val="2"/>
          <c:tx>
            <c:strRef>
              <c:f>Pivot!$E$3:$E$4</c:f>
              <c:strCache>
                <c:ptCount val="1"/>
                <c:pt idx="0">
                  <c:v>Electronics</c:v>
                </c:pt>
              </c:strCache>
            </c:strRef>
          </c:tx>
          <c:spPr>
            <a:ln w="22225" cap="rnd">
              <a:solidFill>
                <a:schemeClr val="accent3"/>
              </a:solidFill>
            </a:ln>
            <a:effectLst>
              <a:glow rad="139700">
                <a:schemeClr val="accent3">
                  <a:satMod val="175000"/>
                  <a:alpha val="14000"/>
                </a:schemeClr>
              </a:glow>
            </a:effectLst>
          </c:spPr>
          <c:marker>
            <c:symbol val="circle"/>
            <c:size val="4"/>
            <c:spPr>
              <a:solidFill>
                <a:schemeClr val="accent3">
                  <a:lumMod val="60000"/>
                  <a:lumOff val="40000"/>
                </a:schemeClr>
              </a:solidFill>
              <a:ln>
                <a:noFill/>
              </a:ln>
              <a:effectLst>
                <a:glow rad="63500">
                  <a:schemeClr val="accent3">
                    <a:satMod val="175000"/>
                    <a:alpha val="25000"/>
                  </a:schemeClr>
                </a:glow>
              </a:effectLst>
            </c:spPr>
          </c:marker>
          <c:cat>
            <c:strRef>
              <c:f>Pivot!$B$5:$B$17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Pivot!$E$5:$E$17</c:f>
              <c:numCache>
                <c:formatCode>General</c:formatCode>
                <c:ptCount val="12"/>
                <c:pt idx="0">
                  <c:v>65</c:v>
                </c:pt>
                <c:pt idx="1">
                  <c:v>71</c:v>
                </c:pt>
                <c:pt idx="2">
                  <c:v>32</c:v>
                </c:pt>
                <c:pt idx="3">
                  <c:v>52</c:v>
                </c:pt>
                <c:pt idx="4">
                  <c:v>97</c:v>
                </c:pt>
                <c:pt idx="5">
                  <c:v>64</c:v>
                </c:pt>
                <c:pt idx="6">
                  <c:v>61</c:v>
                </c:pt>
                <c:pt idx="7">
                  <c:v>87</c:v>
                </c:pt>
                <c:pt idx="8">
                  <c:v>60</c:v>
                </c:pt>
                <c:pt idx="9">
                  <c:v>95</c:v>
                </c:pt>
                <c:pt idx="10">
                  <c:v>73</c:v>
                </c:pt>
                <c:pt idx="11">
                  <c:v>92</c:v>
                </c:pt>
              </c:numCache>
            </c:numRef>
          </c:val>
          <c:smooth val="0"/>
          <c:extLst>
            <c:ext xmlns:c16="http://schemas.microsoft.com/office/drawing/2014/chart" uri="{C3380CC4-5D6E-409C-BE32-E72D297353CC}">
              <c16:uniqueId val="{00000007-6770-4B11-ACC2-DADEF374E746}"/>
            </c:ext>
          </c:extLst>
        </c:ser>
        <c:dLbls>
          <c:showLegendKey val="0"/>
          <c:showVal val="0"/>
          <c:showCatName val="0"/>
          <c:showSerName val="0"/>
          <c:showPercent val="0"/>
          <c:showBubbleSize val="0"/>
        </c:dLbls>
        <c:marker val="1"/>
        <c:smooth val="0"/>
        <c:axId val="259759183"/>
        <c:axId val="259775023"/>
      </c:lineChart>
      <c:catAx>
        <c:axId val="259759183"/>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title>
          <c:tx>
            <c:rich>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IN"/>
                  <a:t>Month</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59775023"/>
        <c:crosses val="autoZero"/>
        <c:auto val="1"/>
        <c:lblAlgn val="ctr"/>
        <c:lblOffset val="100"/>
        <c:noMultiLvlLbl val="0"/>
      </c:catAx>
      <c:valAx>
        <c:axId val="259775023"/>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title>
          <c:tx>
            <c:rich>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IN"/>
                  <a:t>Quantity</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597591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[retail_sales_dataset.xlsx]Pivot!PivotTable7</c:name>
    <c:fmtId val="4"/>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Pivot!$C$87</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2EE1-4F5F-BAA3-B1D98766DEAB}"/>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2EE1-4F5F-BAA3-B1D98766DEAB}"/>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2EE1-4F5F-BAA3-B1D98766DEA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Pivot!$B$88:$B$91</c:f>
              <c:strCache>
                <c:ptCount val="3"/>
                <c:pt idx="0">
                  <c:v>Beauty</c:v>
                </c:pt>
                <c:pt idx="1">
                  <c:v>Clothing</c:v>
                </c:pt>
                <c:pt idx="2">
                  <c:v>Electronics</c:v>
                </c:pt>
              </c:strCache>
            </c:strRef>
          </c:cat>
          <c:val>
            <c:numRef>
              <c:f>Pivot!$C$88:$C$91</c:f>
              <c:numCache>
                <c:formatCode>General</c:formatCode>
                <c:ptCount val="3"/>
                <c:pt idx="0">
                  <c:v>143515</c:v>
                </c:pt>
                <c:pt idx="1">
                  <c:v>155580</c:v>
                </c:pt>
                <c:pt idx="2">
                  <c:v>156905</c:v>
                </c:pt>
              </c:numCache>
            </c:numRef>
          </c:val>
          <c:extLst>
            <c:ext xmlns:c16="http://schemas.microsoft.com/office/drawing/2014/chart" uri="{C3380CC4-5D6E-409C-BE32-E72D297353CC}">
              <c16:uniqueId val="{00000006-2EE1-4F5F-BAA3-B1D98766DEAB}"/>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[retail_sales_dataset.xlsx]Pivot!PivotTable4</c:name>
    <c:fmtId val="7"/>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a:t>Quantity per Product category</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3">
                <a:lumMod val="60000"/>
                <a:lumOff val="40000"/>
              </a:schemeClr>
            </a:solidFill>
            <a:ln>
              <a:noFill/>
            </a:ln>
            <a:effectLst>
              <a:glow rad="63500">
                <a:schemeClr val="accent3">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3">
                <a:lumMod val="60000"/>
                <a:lumOff val="40000"/>
              </a:schemeClr>
            </a:solidFill>
            <a:ln>
              <a:noFill/>
            </a:ln>
            <a:effectLst>
              <a:glow rad="63500">
                <a:schemeClr val="accent3">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2225" cap="rnd">
            <a:solidFill>
              <a:schemeClr val="accent1"/>
            </a:solidFill>
          </a:ln>
          <a:effectLst>
            <a:glow rad="139700">
              <a:schemeClr val="accent1">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2225" cap="rnd">
            <a:solidFill>
              <a:schemeClr val="accent1"/>
            </a:solidFill>
          </a:ln>
          <a:effectLst>
            <a:glow rad="139700">
              <a:schemeClr val="accent1">
                <a:satMod val="175000"/>
                <a:alpha val="14000"/>
              </a:schemeClr>
            </a:glow>
          </a:effectLst>
        </c:spPr>
        <c:marker>
          <c:symbol val="circle"/>
          <c:size val="4"/>
          <c:spPr>
            <a:solidFill>
              <a:schemeClr val="accent3">
                <a:lumMod val="60000"/>
                <a:lumOff val="40000"/>
              </a:schemeClr>
            </a:solidFill>
            <a:ln>
              <a:noFill/>
            </a:ln>
            <a:effectLst>
              <a:glow rad="63500">
                <a:schemeClr val="accent3">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2225" cap="rnd">
            <a:solidFill>
              <a:schemeClr val="accent1"/>
            </a:solidFill>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Pivot!$C$39:$C$40</c:f>
              <c:strCache>
                <c:ptCount val="1"/>
                <c:pt idx="0">
                  <c:v>Middle</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Pivot!$B$41:$B$44</c:f>
              <c:strCache>
                <c:ptCount val="3"/>
                <c:pt idx="0">
                  <c:v>Beauty</c:v>
                </c:pt>
                <c:pt idx="1">
                  <c:v>Clothing</c:v>
                </c:pt>
                <c:pt idx="2">
                  <c:v>Electronics</c:v>
                </c:pt>
              </c:strCache>
            </c:strRef>
          </c:cat>
          <c:val>
            <c:numRef>
              <c:f>Pivot!$C$41:$C$44</c:f>
              <c:numCache>
                <c:formatCode>General</c:formatCode>
                <c:ptCount val="3"/>
                <c:pt idx="0">
                  <c:v>492</c:v>
                </c:pt>
                <c:pt idx="1">
                  <c:v>590</c:v>
                </c:pt>
                <c:pt idx="2">
                  <c:v>552</c:v>
                </c:pt>
              </c:numCache>
            </c:numRef>
          </c:val>
          <c:smooth val="0"/>
          <c:extLst>
            <c:ext xmlns:c16="http://schemas.microsoft.com/office/drawing/2014/chart" uri="{C3380CC4-5D6E-409C-BE32-E72D297353CC}">
              <c16:uniqueId val="{00000000-8F09-4E29-BBDC-CDFC8551B798}"/>
            </c:ext>
          </c:extLst>
        </c:ser>
        <c:ser>
          <c:idx val="1"/>
          <c:order val="1"/>
          <c:tx>
            <c:strRef>
              <c:f>Pivot!$D$39:$D$40</c:f>
              <c:strCache>
                <c:ptCount val="1"/>
                <c:pt idx="0">
                  <c:v>Old</c:v>
                </c:pt>
              </c:strCache>
            </c:strRef>
          </c:tx>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cat>
            <c:strRef>
              <c:f>Pivot!$B$41:$B$44</c:f>
              <c:strCache>
                <c:ptCount val="3"/>
                <c:pt idx="0">
                  <c:v>Beauty</c:v>
                </c:pt>
                <c:pt idx="1">
                  <c:v>Clothing</c:v>
                </c:pt>
                <c:pt idx="2">
                  <c:v>Electronics</c:v>
                </c:pt>
              </c:strCache>
            </c:strRef>
          </c:cat>
          <c:val>
            <c:numRef>
              <c:f>Pivot!$D$41:$D$44</c:f>
              <c:numCache>
                <c:formatCode>General</c:formatCode>
                <c:ptCount val="3"/>
                <c:pt idx="0">
                  <c:v>127</c:v>
                </c:pt>
                <c:pt idx="1">
                  <c:v>175</c:v>
                </c:pt>
                <c:pt idx="2">
                  <c:v>166</c:v>
                </c:pt>
              </c:numCache>
            </c:numRef>
          </c:val>
          <c:smooth val="0"/>
          <c:extLst>
            <c:ext xmlns:c16="http://schemas.microsoft.com/office/drawing/2014/chart" uri="{C3380CC4-5D6E-409C-BE32-E72D297353CC}">
              <c16:uniqueId val="{00000007-8B67-44E2-BA7A-CFC00A1B3F13}"/>
            </c:ext>
          </c:extLst>
        </c:ser>
        <c:ser>
          <c:idx val="2"/>
          <c:order val="2"/>
          <c:tx>
            <c:strRef>
              <c:f>Pivot!$E$39:$E$40</c:f>
              <c:strCache>
                <c:ptCount val="1"/>
                <c:pt idx="0">
                  <c:v>Young</c:v>
                </c:pt>
              </c:strCache>
            </c:strRef>
          </c:tx>
          <c:spPr>
            <a:ln w="22225" cap="rnd">
              <a:solidFill>
                <a:schemeClr val="accent3"/>
              </a:solidFill>
            </a:ln>
            <a:effectLst>
              <a:glow rad="139700">
                <a:schemeClr val="accent3">
                  <a:satMod val="175000"/>
                  <a:alpha val="14000"/>
                </a:schemeClr>
              </a:glow>
            </a:effectLst>
          </c:spPr>
          <c:marker>
            <c:symbol val="circle"/>
            <c:size val="4"/>
            <c:spPr>
              <a:solidFill>
                <a:schemeClr val="accent3">
                  <a:lumMod val="60000"/>
                  <a:lumOff val="40000"/>
                </a:schemeClr>
              </a:solidFill>
              <a:ln>
                <a:noFill/>
              </a:ln>
              <a:effectLst>
                <a:glow rad="63500">
                  <a:schemeClr val="accent3">
                    <a:satMod val="175000"/>
                    <a:alpha val="25000"/>
                  </a:schemeClr>
                </a:glow>
              </a:effectLst>
            </c:spPr>
          </c:marker>
          <c:cat>
            <c:strRef>
              <c:f>Pivot!$B$41:$B$44</c:f>
              <c:strCache>
                <c:ptCount val="3"/>
                <c:pt idx="0">
                  <c:v>Beauty</c:v>
                </c:pt>
                <c:pt idx="1">
                  <c:v>Clothing</c:v>
                </c:pt>
                <c:pt idx="2">
                  <c:v>Electronics</c:v>
                </c:pt>
              </c:strCache>
            </c:strRef>
          </c:cat>
          <c:val>
            <c:numRef>
              <c:f>Pivot!$E$41:$E$44</c:f>
              <c:numCache>
                <c:formatCode>General</c:formatCode>
                <c:ptCount val="3"/>
                <c:pt idx="0">
                  <c:v>152</c:v>
                </c:pt>
                <c:pt idx="1">
                  <c:v>129</c:v>
                </c:pt>
                <c:pt idx="2">
                  <c:v>131</c:v>
                </c:pt>
              </c:numCache>
            </c:numRef>
          </c:val>
          <c:smooth val="0"/>
          <c:extLst>
            <c:ext xmlns:c16="http://schemas.microsoft.com/office/drawing/2014/chart" uri="{C3380CC4-5D6E-409C-BE32-E72D297353CC}">
              <c16:uniqueId val="{00000008-8B67-44E2-BA7A-CFC00A1B3F13}"/>
            </c:ext>
          </c:extLst>
        </c:ser>
        <c:dLbls>
          <c:showLegendKey val="0"/>
          <c:showVal val="0"/>
          <c:showCatName val="0"/>
          <c:showSerName val="0"/>
          <c:showPercent val="0"/>
          <c:showBubbleSize val="0"/>
        </c:dLbls>
        <c:marker val="1"/>
        <c:smooth val="0"/>
        <c:axId val="420556383"/>
        <c:axId val="420555423"/>
      </c:lineChart>
      <c:catAx>
        <c:axId val="420556383"/>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title>
          <c:tx>
            <c:rich>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IN"/>
                  <a:t>Product category</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420555423"/>
        <c:crosses val="autoZero"/>
        <c:auto val="1"/>
        <c:lblAlgn val="ctr"/>
        <c:lblOffset val="100"/>
        <c:noMultiLvlLbl val="0"/>
      </c:catAx>
      <c:valAx>
        <c:axId val="420555423"/>
        <c:scaling>
          <c:orientation val="minMax"/>
        </c:scaling>
        <c:delete val="0"/>
        <c:axPos val="l"/>
        <c:majorGridlines>
          <c:spPr>
            <a:ln w="9525" cap="flat" cmpd="sng" algn="ctr">
              <a:noFill/>
              <a:round/>
            </a:ln>
            <a:effectLst/>
          </c:spPr>
        </c:majorGridlines>
        <c:title>
          <c:tx>
            <c:rich>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IN"/>
                  <a:t>Quantity</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420556383"/>
        <c:crosses val="autoZero"/>
        <c:crossBetween val="between"/>
      </c:valAx>
      <c:dTable>
        <c:showHorzBorder val="1"/>
        <c:showVertBorder val="1"/>
        <c:showOutline val="1"/>
        <c:showKeys val="1"/>
        <c:spPr>
          <a:noFill/>
          <a:ln w="9525">
            <a:solidFill>
              <a:schemeClr val="dk1">
                <a:lumMod val="50000"/>
                <a:lumOff val="50000"/>
              </a:schemeClr>
            </a:solidFill>
          </a:ln>
          <a:effectLst/>
        </c:spPr>
        <c:txPr>
          <a:bodyPr rot="0" spcFirstLastPara="1" vertOverflow="ellipsis" vert="horz" wrap="square" anchor="ctr" anchorCtr="1"/>
          <a:lstStyle/>
          <a:p>
            <a:pPr rtl="0">
              <a:defRPr sz="900" b="0" i="0" u="none" strike="noStrike" kern="1200" baseline="0">
                <a:solidFill>
                  <a:schemeClr val="lt1">
                    <a:lumMod val="7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[retail_sales_dataset.xlsx]Pivot!PivotTable3</c:name>
    <c:fmtId val="10"/>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a:t>Total amout per product</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2225" cap="rnd">
            <a:solidFill>
              <a:schemeClr val="accent1"/>
            </a:solidFill>
          </a:ln>
          <a:effectLst>
            <a:glow rad="139700">
              <a:schemeClr val="accent1">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2225" cap="rnd">
            <a:solidFill>
              <a:schemeClr val="accent1"/>
            </a:solidFill>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Pivot!$C$23:$C$24</c:f>
              <c:strCache>
                <c:ptCount val="1"/>
                <c:pt idx="0">
                  <c:v>Female</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Pivot!$B$25:$B$28</c:f>
              <c:strCache>
                <c:ptCount val="3"/>
                <c:pt idx="0">
                  <c:v>Beauty</c:v>
                </c:pt>
                <c:pt idx="1">
                  <c:v>Clothing</c:v>
                </c:pt>
                <c:pt idx="2">
                  <c:v>Electronics</c:v>
                </c:pt>
              </c:strCache>
            </c:strRef>
          </c:cat>
          <c:val>
            <c:numRef>
              <c:f>Pivot!$C$25:$C$28</c:f>
              <c:numCache>
                <c:formatCode>General</c:formatCode>
                <c:ptCount val="3"/>
                <c:pt idx="0">
                  <c:v>74830</c:v>
                </c:pt>
                <c:pt idx="1">
                  <c:v>81275</c:v>
                </c:pt>
                <c:pt idx="2">
                  <c:v>76735</c:v>
                </c:pt>
              </c:numCache>
            </c:numRef>
          </c:val>
          <c:smooth val="0"/>
          <c:extLst>
            <c:ext xmlns:c16="http://schemas.microsoft.com/office/drawing/2014/chart" uri="{C3380CC4-5D6E-409C-BE32-E72D297353CC}">
              <c16:uniqueId val="{00000000-2F2C-4FC0-9F59-8D9334D8ABDD}"/>
            </c:ext>
          </c:extLst>
        </c:ser>
        <c:ser>
          <c:idx val="1"/>
          <c:order val="1"/>
          <c:tx>
            <c:strRef>
              <c:f>Pivot!$D$23:$D$24</c:f>
              <c:strCache>
                <c:ptCount val="1"/>
                <c:pt idx="0">
                  <c:v>Male</c:v>
                </c:pt>
              </c:strCache>
            </c:strRef>
          </c:tx>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cat>
            <c:strRef>
              <c:f>Pivot!$B$25:$B$28</c:f>
              <c:strCache>
                <c:ptCount val="3"/>
                <c:pt idx="0">
                  <c:v>Beauty</c:v>
                </c:pt>
                <c:pt idx="1">
                  <c:v>Clothing</c:v>
                </c:pt>
                <c:pt idx="2">
                  <c:v>Electronics</c:v>
                </c:pt>
              </c:strCache>
            </c:strRef>
          </c:cat>
          <c:val>
            <c:numRef>
              <c:f>Pivot!$D$25:$D$28</c:f>
              <c:numCache>
                <c:formatCode>General</c:formatCode>
                <c:ptCount val="3"/>
                <c:pt idx="0">
                  <c:v>68685</c:v>
                </c:pt>
                <c:pt idx="1">
                  <c:v>74305</c:v>
                </c:pt>
                <c:pt idx="2">
                  <c:v>80170</c:v>
                </c:pt>
              </c:numCache>
            </c:numRef>
          </c:val>
          <c:smooth val="0"/>
          <c:extLst>
            <c:ext xmlns:c16="http://schemas.microsoft.com/office/drawing/2014/chart" uri="{C3380CC4-5D6E-409C-BE32-E72D297353CC}">
              <c16:uniqueId val="{00000004-AD6F-43C7-BC80-496914F049CC}"/>
            </c:ext>
          </c:extLst>
        </c:ser>
        <c:dLbls>
          <c:showLegendKey val="0"/>
          <c:showVal val="0"/>
          <c:showCatName val="0"/>
          <c:showSerName val="0"/>
          <c:showPercent val="0"/>
          <c:showBubbleSize val="0"/>
        </c:dLbls>
        <c:marker val="1"/>
        <c:smooth val="0"/>
        <c:axId val="79290687"/>
        <c:axId val="79307967"/>
      </c:lineChart>
      <c:catAx>
        <c:axId val="79290687"/>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title>
          <c:tx>
            <c:rich>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IN"/>
                  <a:t>Product type</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79307967"/>
        <c:crosses val="autoZero"/>
        <c:auto val="1"/>
        <c:lblAlgn val="ctr"/>
        <c:lblOffset val="100"/>
        <c:noMultiLvlLbl val="0"/>
      </c:catAx>
      <c:valAx>
        <c:axId val="79307967"/>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title>
          <c:tx>
            <c:rich>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IN"/>
                  <a:t>Total Amount</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79290687"/>
        <c:crosses val="autoZero"/>
        <c:crossBetween val="between"/>
      </c:valAx>
      <c:dTable>
        <c:showHorzBorder val="1"/>
        <c:showVertBorder val="1"/>
        <c:showOutline val="1"/>
        <c:showKeys val="1"/>
        <c:spPr>
          <a:noFill/>
          <a:ln w="9525">
            <a:solidFill>
              <a:schemeClr val="dk1">
                <a:lumMod val="50000"/>
                <a:lumOff val="50000"/>
              </a:schemeClr>
            </a:solidFill>
          </a:ln>
          <a:effectLst/>
        </c:spPr>
        <c:txPr>
          <a:bodyPr rot="0" spcFirstLastPara="1" vertOverflow="ellipsis" vert="horz" wrap="square" anchor="ctr" anchorCtr="1"/>
          <a:lstStyle/>
          <a:p>
            <a:pPr rtl="0">
              <a:defRPr sz="900" b="0" i="0" u="none" strike="noStrike" kern="1200" baseline="0">
                <a:solidFill>
                  <a:schemeClr val="lt1">
                    <a:lumMod val="7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[retail_sales_dataset.xlsx]Pivot!PivotTable5</c:name>
    <c:fmtId val="7"/>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a:t>Total Amount</a:t>
            </a:r>
            <a:r>
              <a:rPr lang="en-IN" baseline="0"/>
              <a:t> per Gender</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Pivot!$C$56:$C$57</c:f>
              <c:strCache>
                <c:ptCount val="1"/>
                <c:pt idx="0">
                  <c:v>Middle</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Pivot!$B$58:$B$60</c:f>
              <c:strCache>
                <c:ptCount val="2"/>
                <c:pt idx="0">
                  <c:v>Female</c:v>
                </c:pt>
                <c:pt idx="1">
                  <c:v>Male</c:v>
                </c:pt>
              </c:strCache>
            </c:strRef>
          </c:cat>
          <c:val>
            <c:numRef>
              <c:f>Pivot!$C$58:$C$60</c:f>
              <c:numCache>
                <c:formatCode>General</c:formatCode>
                <c:ptCount val="2"/>
                <c:pt idx="0">
                  <c:v>155160</c:v>
                </c:pt>
                <c:pt idx="1">
                  <c:v>135880</c:v>
                </c:pt>
              </c:numCache>
            </c:numRef>
          </c:val>
          <c:extLst>
            <c:ext xmlns:c16="http://schemas.microsoft.com/office/drawing/2014/chart" uri="{C3380CC4-5D6E-409C-BE32-E72D297353CC}">
              <c16:uniqueId val="{00000000-FAFB-41DA-86B9-09424DC39F0B}"/>
            </c:ext>
          </c:extLst>
        </c:ser>
        <c:ser>
          <c:idx val="1"/>
          <c:order val="1"/>
          <c:tx>
            <c:strRef>
              <c:f>Pivot!$D$56:$D$57</c:f>
              <c:strCache>
                <c:ptCount val="1"/>
                <c:pt idx="0">
                  <c:v>Old</c:v>
                </c:pt>
              </c:strCache>
            </c:strRef>
          </c:tx>
          <c:spPr>
            <a:noFill/>
            <a:ln w="9525" cap="flat" cmpd="sng" algn="ctr">
              <a:solidFill>
                <a:schemeClr val="accent2"/>
              </a:solidFill>
              <a:miter lim="800000"/>
            </a:ln>
            <a:effectLst>
              <a:glow rad="63500">
                <a:schemeClr val="accent2">
                  <a:satMod val="175000"/>
                  <a:alpha val="25000"/>
                </a:schemeClr>
              </a:glow>
            </a:effectLst>
          </c:spPr>
          <c:invertIfNegative val="0"/>
          <c:cat>
            <c:strRef>
              <c:f>Pivot!$B$58:$B$60</c:f>
              <c:strCache>
                <c:ptCount val="2"/>
                <c:pt idx="0">
                  <c:v>Female</c:v>
                </c:pt>
                <c:pt idx="1">
                  <c:v>Male</c:v>
                </c:pt>
              </c:strCache>
            </c:strRef>
          </c:cat>
          <c:val>
            <c:numRef>
              <c:f>Pivot!$D$58:$D$60</c:f>
              <c:numCache>
                <c:formatCode>General</c:formatCode>
                <c:ptCount val="2"/>
                <c:pt idx="0">
                  <c:v>38210</c:v>
                </c:pt>
                <c:pt idx="1">
                  <c:v>42200</c:v>
                </c:pt>
              </c:numCache>
            </c:numRef>
          </c:val>
          <c:extLst>
            <c:ext xmlns:c16="http://schemas.microsoft.com/office/drawing/2014/chart" uri="{C3380CC4-5D6E-409C-BE32-E72D297353CC}">
              <c16:uniqueId val="{00000007-F5D7-406E-A6BC-DA5868A07A54}"/>
            </c:ext>
          </c:extLst>
        </c:ser>
        <c:ser>
          <c:idx val="2"/>
          <c:order val="2"/>
          <c:tx>
            <c:strRef>
              <c:f>Pivot!$E$56:$E$57</c:f>
              <c:strCache>
                <c:ptCount val="1"/>
                <c:pt idx="0">
                  <c:v>Young</c:v>
                </c:pt>
              </c:strCache>
            </c:strRef>
          </c:tx>
          <c:spPr>
            <a:noFill/>
            <a:ln w="9525" cap="flat" cmpd="sng" algn="ctr">
              <a:solidFill>
                <a:schemeClr val="accent3"/>
              </a:solidFill>
              <a:miter lim="800000"/>
            </a:ln>
            <a:effectLst>
              <a:glow rad="63500">
                <a:schemeClr val="accent3">
                  <a:satMod val="175000"/>
                  <a:alpha val="25000"/>
                </a:schemeClr>
              </a:glow>
            </a:effectLst>
          </c:spPr>
          <c:invertIfNegative val="0"/>
          <c:cat>
            <c:strRef>
              <c:f>Pivot!$B$58:$B$60</c:f>
              <c:strCache>
                <c:ptCount val="2"/>
                <c:pt idx="0">
                  <c:v>Female</c:v>
                </c:pt>
                <c:pt idx="1">
                  <c:v>Male</c:v>
                </c:pt>
              </c:strCache>
            </c:strRef>
          </c:cat>
          <c:val>
            <c:numRef>
              <c:f>Pivot!$E$58:$E$60</c:f>
              <c:numCache>
                <c:formatCode>General</c:formatCode>
                <c:ptCount val="2"/>
                <c:pt idx="0">
                  <c:v>39470</c:v>
                </c:pt>
                <c:pt idx="1">
                  <c:v>45080</c:v>
                </c:pt>
              </c:numCache>
            </c:numRef>
          </c:val>
          <c:extLst>
            <c:ext xmlns:c16="http://schemas.microsoft.com/office/drawing/2014/chart" uri="{C3380CC4-5D6E-409C-BE32-E72D297353CC}">
              <c16:uniqueId val="{00000008-F5D7-406E-A6BC-DA5868A07A54}"/>
            </c:ext>
          </c:extLst>
        </c:ser>
        <c:dLbls>
          <c:showLegendKey val="0"/>
          <c:showVal val="0"/>
          <c:showCatName val="0"/>
          <c:showSerName val="0"/>
          <c:showPercent val="0"/>
          <c:showBubbleSize val="0"/>
        </c:dLbls>
        <c:gapWidth val="315"/>
        <c:overlap val="-40"/>
        <c:axId val="499223711"/>
        <c:axId val="499222271"/>
      </c:barChart>
      <c:catAx>
        <c:axId val="499223711"/>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title>
          <c:tx>
            <c:rich>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499222271"/>
        <c:crosses val="autoZero"/>
        <c:auto val="1"/>
        <c:lblAlgn val="ctr"/>
        <c:lblOffset val="100"/>
        <c:noMultiLvlLbl val="0"/>
      </c:catAx>
      <c:valAx>
        <c:axId val="499222271"/>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title>
          <c:tx>
            <c:rich>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IN"/>
                  <a:t>Total</a:t>
                </a:r>
                <a:r>
                  <a:rPr lang="en-IN" baseline="0"/>
                  <a:t> Amount</a:t>
                </a:r>
                <a:endParaRPr lang="en-IN"/>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4992237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[retail_sales_dataset.xlsx]Pivot!PivotTable1</c:name>
    <c:fmtId val="10"/>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31696036031247726"/>
              <c:y val="2.0017868969124407E-2"/>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5848018015623852"/>
              <c:y val="5.0044672422811021E-2"/>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4.1087454114580382E-2"/>
              <c:y val="-0.11677090231989237"/>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doughnutChart>
        <c:varyColors val="1"/>
        <c:ser>
          <c:idx val="0"/>
          <c:order val="0"/>
          <c:tx>
            <c:strRef>
              <c:f>Pivot!$C$103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714D-42E8-B1C5-7A0181854D4B}"/>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714D-42E8-B1C5-7A0181854D4B}"/>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714D-42E8-B1C5-7A0181854D4B}"/>
              </c:ext>
            </c:extLst>
          </c:dPt>
          <c:dLbls>
            <c:dLbl>
              <c:idx val="0"/>
              <c:layout>
                <c:manualLayout>
                  <c:x val="0.31696036031247726"/>
                  <c:y val="2.0017868969124407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714D-42E8-B1C5-7A0181854D4B}"/>
                </c:ext>
              </c:extLst>
            </c:dLbl>
            <c:dLbl>
              <c:idx val="1"/>
              <c:layout>
                <c:manualLayout>
                  <c:x val="0.15848018015623852"/>
                  <c:y val="5.0044672422811021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714D-42E8-B1C5-7A0181854D4B}"/>
                </c:ext>
              </c:extLst>
            </c:dLbl>
            <c:dLbl>
              <c:idx val="2"/>
              <c:layout>
                <c:manualLayout>
                  <c:x val="-4.1087454114580382E-2"/>
                  <c:y val="-0.11677090231989237"/>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714D-42E8-B1C5-7A0181854D4B}"/>
                </c:ext>
              </c:extLst>
            </c:dLbl>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Pivot!$B$104:$B$107</c:f>
              <c:strCache>
                <c:ptCount val="3"/>
                <c:pt idx="0">
                  <c:v>Beauty</c:v>
                </c:pt>
                <c:pt idx="1">
                  <c:v>Clothing</c:v>
                </c:pt>
                <c:pt idx="2">
                  <c:v>Electronics</c:v>
                </c:pt>
              </c:strCache>
            </c:strRef>
          </c:cat>
          <c:val>
            <c:numRef>
              <c:f>Pivot!$C$104:$C$107</c:f>
              <c:numCache>
                <c:formatCode>0.00%</c:formatCode>
                <c:ptCount val="3"/>
                <c:pt idx="0">
                  <c:v>0.31472587719298245</c:v>
                </c:pt>
                <c:pt idx="1">
                  <c:v>0.34118421052631581</c:v>
                </c:pt>
                <c:pt idx="2">
                  <c:v>0.34408991228070174</c:v>
                </c:pt>
              </c:numCache>
            </c:numRef>
          </c:val>
          <c:extLst>
            <c:ext xmlns:c16="http://schemas.microsoft.com/office/drawing/2014/chart" uri="{C3380CC4-5D6E-409C-BE32-E72D297353CC}">
              <c16:uniqueId val="{00000006-714D-42E8-B1C5-7A0181854D4B}"/>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3.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5.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11.xml"/><Relationship Id="rId7" Type="http://schemas.openxmlformats.org/officeDocument/2006/relationships/chart" Target="../charts/chart15.xml"/><Relationship Id="rId2" Type="http://schemas.openxmlformats.org/officeDocument/2006/relationships/chart" Target="../charts/chart10.xml"/><Relationship Id="rId1" Type="http://schemas.openxmlformats.org/officeDocument/2006/relationships/chart" Target="../charts/chart9.xml"/><Relationship Id="rId6" Type="http://schemas.openxmlformats.org/officeDocument/2006/relationships/chart" Target="../charts/chart14.xml"/><Relationship Id="rId5" Type="http://schemas.openxmlformats.org/officeDocument/2006/relationships/chart" Target="../charts/chart13.xml"/><Relationship Id="rId4"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7</xdr:col>
      <xdr:colOff>0</xdr:colOff>
      <xdr:row>2</xdr:row>
      <xdr:rowOff>27869</xdr:rowOff>
    </xdr:from>
    <xdr:to>
      <xdr:col>14</xdr:col>
      <xdr:colOff>162278</xdr:colOff>
      <xdr:row>17</xdr:row>
      <xdr:rowOff>8819</xdr:rowOff>
    </xdr:to>
    <xdr:graphicFrame macro="">
      <xdr:nvGraphicFramePr>
        <xdr:cNvPr id="2" name="Chart 1">
          <a:extLst>
            <a:ext uri="{FF2B5EF4-FFF2-40B4-BE49-F238E27FC236}">
              <a16:creationId xmlns:a16="http://schemas.microsoft.com/office/drawing/2014/main" id="{9F5114B1-1D99-BB85-3F8A-53A4273BA90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20285</xdr:colOff>
      <xdr:row>19</xdr:row>
      <xdr:rowOff>17463</xdr:rowOff>
    </xdr:from>
    <xdr:to>
      <xdr:col>12</xdr:col>
      <xdr:colOff>605896</xdr:colOff>
      <xdr:row>33</xdr:row>
      <xdr:rowOff>167746</xdr:rowOff>
    </xdr:to>
    <xdr:graphicFrame macro="">
      <xdr:nvGraphicFramePr>
        <xdr:cNvPr id="3" name="Chart 2">
          <a:extLst>
            <a:ext uri="{FF2B5EF4-FFF2-40B4-BE49-F238E27FC236}">
              <a16:creationId xmlns:a16="http://schemas.microsoft.com/office/drawing/2014/main" id="{BE69DE2F-4838-7E32-404E-AB9CE8BC8FC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708201</xdr:colOff>
      <xdr:row>35</xdr:row>
      <xdr:rowOff>43921</xdr:rowOff>
    </xdr:from>
    <xdr:to>
      <xdr:col>12</xdr:col>
      <xdr:colOff>517701</xdr:colOff>
      <xdr:row>50</xdr:row>
      <xdr:rowOff>8996</xdr:rowOff>
    </xdr:to>
    <xdr:graphicFrame macro="">
      <xdr:nvGraphicFramePr>
        <xdr:cNvPr id="4" name="Chart 3">
          <a:extLst>
            <a:ext uri="{FF2B5EF4-FFF2-40B4-BE49-F238E27FC236}">
              <a16:creationId xmlns:a16="http://schemas.microsoft.com/office/drawing/2014/main" id="{78E7A29D-9795-F5CC-6D9F-B9F006AF526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938609</xdr:colOff>
      <xdr:row>52</xdr:row>
      <xdr:rowOff>22423</xdr:rowOff>
    </xdr:from>
    <xdr:to>
      <xdr:col>10</xdr:col>
      <xdr:colOff>827484</xdr:colOff>
      <xdr:row>66</xdr:row>
      <xdr:rowOff>126405</xdr:rowOff>
    </xdr:to>
    <xdr:graphicFrame macro="">
      <xdr:nvGraphicFramePr>
        <xdr:cNvPr id="5" name="Chart 4">
          <a:extLst>
            <a:ext uri="{FF2B5EF4-FFF2-40B4-BE49-F238E27FC236}">
              <a16:creationId xmlns:a16="http://schemas.microsoft.com/office/drawing/2014/main" id="{57C6524C-BD9F-6C6F-0433-AF6F9FD4ECA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1112033</xdr:colOff>
      <xdr:row>67</xdr:row>
      <xdr:rowOff>180294</xdr:rowOff>
    </xdr:from>
    <xdr:to>
      <xdr:col>11</xdr:col>
      <xdr:colOff>52535</xdr:colOff>
      <xdr:row>82</xdr:row>
      <xdr:rowOff>158171</xdr:rowOff>
    </xdr:to>
    <xdr:graphicFrame macro="">
      <xdr:nvGraphicFramePr>
        <xdr:cNvPr id="6" name="Chart 5">
          <a:extLst>
            <a:ext uri="{FF2B5EF4-FFF2-40B4-BE49-F238E27FC236}">
              <a16:creationId xmlns:a16="http://schemas.microsoft.com/office/drawing/2014/main" id="{02C0F938-41A5-624A-6209-63AC32152B8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511823</xdr:colOff>
      <xdr:row>84</xdr:row>
      <xdr:rowOff>176502</xdr:rowOff>
    </xdr:from>
    <xdr:to>
      <xdr:col>8</xdr:col>
      <xdr:colOff>704509</xdr:colOff>
      <xdr:row>99</xdr:row>
      <xdr:rowOff>154379</xdr:rowOff>
    </xdr:to>
    <xdr:graphicFrame macro="">
      <xdr:nvGraphicFramePr>
        <xdr:cNvPr id="7" name="Chart 6">
          <a:extLst>
            <a:ext uri="{FF2B5EF4-FFF2-40B4-BE49-F238E27FC236}">
              <a16:creationId xmlns:a16="http://schemas.microsoft.com/office/drawing/2014/main" id="{B37BAC3A-0F35-6CC3-7A0B-DBB44821953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xdr:col>
      <xdr:colOff>209176</xdr:colOff>
      <xdr:row>100</xdr:row>
      <xdr:rowOff>118782</xdr:rowOff>
    </xdr:from>
    <xdr:to>
      <xdr:col>8</xdr:col>
      <xdr:colOff>814294</xdr:colOff>
      <xdr:row>115</xdr:row>
      <xdr:rowOff>60512</xdr:rowOff>
    </xdr:to>
    <xdr:graphicFrame macro="">
      <xdr:nvGraphicFramePr>
        <xdr:cNvPr id="8" name="Chart 7">
          <a:extLst>
            <a:ext uri="{FF2B5EF4-FFF2-40B4-BE49-F238E27FC236}">
              <a16:creationId xmlns:a16="http://schemas.microsoft.com/office/drawing/2014/main" id="{7F4564A2-F2E5-8A5C-D92D-09E3B875020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19</xdr:col>
      <xdr:colOff>893071</xdr:colOff>
      <xdr:row>15</xdr:row>
      <xdr:rowOff>171124</xdr:rowOff>
    </xdr:from>
    <xdr:to>
      <xdr:col>23</xdr:col>
      <xdr:colOff>775840</xdr:colOff>
      <xdr:row>30</xdr:row>
      <xdr:rowOff>105670</xdr:rowOff>
    </xdr:to>
    <xdr:graphicFrame macro="">
      <xdr:nvGraphicFramePr>
        <xdr:cNvPr id="11" name="Chart 10">
          <a:extLst>
            <a:ext uri="{FF2B5EF4-FFF2-40B4-BE49-F238E27FC236}">
              <a16:creationId xmlns:a16="http://schemas.microsoft.com/office/drawing/2014/main" id="{8980CD54-3503-8EC6-E7CF-2BE1026D6DA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204107</xdr:colOff>
      <xdr:row>40</xdr:row>
      <xdr:rowOff>117337</xdr:rowOff>
    </xdr:from>
    <xdr:to>
      <xdr:col>9</xdr:col>
      <xdr:colOff>1</xdr:colOff>
      <xdr:row>60</xdr:row>
      <xdr:rowOff>176042</xdr:rowOff>
    </xdr:to>
    <xdr:graphicFrame macro="">
      <xdr:nvGraphicFramePr>
        <xdr:cNvPr id="2" name="Chart 1">
          <a:extLst>
            <a:ext uri="{FF2B5EF4-FFF2-40B4-BE49-F238E27FC236}">
              <a16:creationId xmlns:a16="http://schemas.microsoft.com/office/drawing/2014/main" id="{D6B7B369-0528-43C5-A402-445FEB0EF5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222808</xdr:colOff>
      <xdr:row>18</xdr:row>
      <xdr:rowOff>139253</xdr:rowOff>
    </xdr:from>
    <xdr:to>
      <xdr:col>17</xdr:col>
      <xdr:colOff>293982</xdr:colOff>
      <xdr:row>40</xdr:row>
      <xdr:rowOff>75596</xdr:rowOff>
    </xdr:to>
    <xdr:graphicFrame macro="">
      <xdr:nvGraphicFramePr>
        <xdr:cNvPr id="4" name="Chart 3">
          <a:extLst>
            <a:ext uri="{FF2B5EF4-FFF2-40B4-BE49-F238E27FC236}">
              <a16:creationId xmlns:a16="http://schemas.microsoft.com/office/drawing/2014/main" id="{59D0512C-F0FD-4079-A6E3-9D7A5E572A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324662</xdr:colOff>
      <xdr:row>18</xdr:row>
      <xdr:rowOff>138460</xdr:rowOff>
    </xdr:from>
    <xdr:to>
      <xdr:col>24</xdr:col>
      <xdr:colOff>344715</xdr:colOff>
      <xdr:row>39</xdr:row>
      <xdr:rowOff>90715</xdr:rowOff>
    </xdr:to>
    <xdr:graphicFrame macro="">
      <xdr:nvGraphicFramePr>
        <xdr:cNvPr id="6" name="Chart 5">
          <a:extLst>
            <a:ext uri="{FF2B5EF4-FFF2-40B4-BE49-F238E27FC236}">
              <a16:creationId xmlns:a16="http://schemas.microsoft.com/office/drawing/2014/main" id="{5973C4B1-9E74-418B-9C18-53DBB2C858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17</xdr:col>
      <xdr:colOff>331752</xdr:colOff>
      <xdr:row>39</xdr:row>
      <xdr:rowOff>111344</xdr:rowOff>
    </xdr:from>
    <xdr:to>
      <xdr:col>24</xdr:col>
      <xdr:colOff>399143</xdr:colOff>
      <xdr:row>63</xdr:row>
      <xdr:rowOff>-1</xdr:rowOff>
    </xdr:to>
    <xdr:graphicFrame macro="">
      <xdr:nvGraphicFramePr>
        <xdr:cNvPr id="8" name="Chart 7">
          <a:extLst>
            <a:ext uri="{FF2B5EF4-FFF2-40B4-BE49-F238E27FC236}">
              <a16:creationId xmlns:a16="http://schemas.microsoft.com/office/drawing/2014/main" id="{A9CFC6A8-DC87-43F1-8746-F0F4EE8AC5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217715</xdr:colOff>
      <xdr:row>61</xdr:row>
      <xdr:rowOff>18142</xdr:rowOff>
    </xdr:from>
    <xdr:to>
      <xdr:col>17</xdr:col>
      <xdr:colOff>274851</xdr:colOff>
      <xdr:row>83</xdr:row>
      <xdr:rowOff>90715</xdr:rowOff>
    </xdr:to>
    <xdr:graphicFrame macro="">
      <xdr:nvGraphicFramePr>
        <xdr:cNvPr id="9" name="Chart 8">
          <a:extLst>
            <a:ext uri="{FF2B5EF4-FFF2-40B4-BE49-F238E27FC236}">
              <a16:creationId xmlns:a16="http://schemas.microsoft.com/office/drawing/2014/main" id="{670FECF6-5465-44F1-B60E-1EFA18CC2C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34016</xdr:colOff>
      <xdr:row>40</xdr:row>
      <xdr:rowOff>63856</xdr:rowOff>
    </xdr:from>
    <xdr:to>
      <xdr:col>17</xdr:col>
      <xdr:colOff>291241</xdr:colOff>
      <xdr:row>60</xdr:row>
      <xdr:rowOff>161119</xdr:rowOff>
    </xdr:to>
    <xdr:graphicFrame macro="">
      <xdr:nvGraphicFramePr>
        <xdr:cNvPr id="10" name="Chart 9">
          <a:extLst>
            <a:ext uri="{FF2B5EF4-FFF2-40B4-BE49-F238E27FC236}">
              <a16:creationId xmlns:a16="http://schemas.microsoft.com/office/drawing/2014/main" id="{5ED1E196-6681-4B7E-8E46-CC8D4BA2B8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24</xdr:col>
      <xdr:colOff>523520</xdr:colOff>
      <xdr:row>18</xdr:row>
      <xdr:rowOff>129850</xdr:rowOff>
    </xdr:from>
    <xdr:to>
      <xdr:col>29</xdr:col>
      <xdr:colOff>-1</xdr:colOff>
      <xdr:row>25</xdr:row>
      <xdr:rowOff>22679</xdr:rowOff>
    </xdr:to>
    <mc:AlternateContent xmlns:mc="http://schemas.openxmlformats.org/markup-compatibility/2006">
      <mc:Choice xmlns:a14="http://schemas.microsoft.com/office/drawing/2010/main" Requires="a14">
        <xdr:graphicFrame macro="">
          <xdr:nvGraphicFramePr>
            <xdr:cNvPr id="11" name="Gender">
              <a:extLst>
                <a:ext uri="{FF2B5EF4-FFF2-40B4-BE49-F238E27FC236}">
                  <a16:creationId xmlns:a16="http://schemas.microsoft.com/office/drawing/2014/main" id="{77D6EF51-1D83-D982-BA15-63B7EE72F9C2}"/>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15199076" y="3516517"/>
              <a:ext cx="2533886" cy="120986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548313</xdr:colOff>
      <xdr:row>25</xdr:row>
      <xdr:rowOff>105833</xdr:rowOff>
    </xdr:from>
    <xdr:to>
      <xdr:col>29</xdr:col>
      <xdr:colOff>25701</xdr:colOff>
      <xdr:row>34</xdr:row>
      <xdr:rowOff>173870</xdr:rowOff>
    </xdr:to>
    <mc:AlternateContent xmlns:mc="http://schemas.openxmlformats.org/markup-compatibility/2006">
      <mc:Choice xmlns:a14="http://schemas.microsoft.com/office/drawing/2010/main" Requires="a14">
        <xdr:graphicFrame macro="">
          <xdr:nvGraphicFramePr>
            <xdr:cNvPr id="12" name="Age_Range">
              <a:extLst>
                <a:ext uri="{FF2B5EF4-FFF2-40B4-BE49-F238E27FC236}">
                  <a16:creationId xmlns:a16="http://schemas.microsoft.com/office/drawing/2014/main" id="{8B39F966-C9A0-DAD6-FC0A-DF48B9E358A8}"/>
                </a:ext>
              </a:extLst>
            </xdr:cNvPr>
            <xdr:cNvGraphicFramePr/>
          </xdr:nvGraphicFramePr>
          <xdr:xfrm>
            <a:off x="0" y="0"/>
            <a:ext cx="0" cy="0"/>
          </xdr:xfrm>
          <a:graphic>
            <a:graphicData uri="http://schemas.microsoft.com/office/drawing/2010/slicer">
              <sle:slicer xmlns:sle="http://schemas.microsoft.com/office/drawing/2010/slicer" name="Age_Range"/>
            </a:graphicData>
          </a:graphic>
        </xdr:graphicFrame>
      </mc:Choice>
      <mc:Fallback>
        <xdr:sp macro="" textlink="">
          <xdr:nvSpPr>
            <xdr:cNvPr id="0" name=""/>
            <xdr:cNvSpPr>
              <a:spLocks noTextEdit="1"/>
            </xdr:cNvSpPr>
          </xdr:nvSpPr>
          <xdr:spPr>
            <a:xfrm>
              <a:off x="15223869" y="4809537"/>
              <a:ext cx="2534795" cy="176137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530406</xdr:colOff>
      <xdr:row>35</xdr:row>
      <xdr:rowOff>50084</xdr:rowOff>
    </xdr:from>
    <xdr:to>
      <xdr:col>29</xdr:col>
      <xdr:colOff>4535</xdr:colOff>
      <xdr:row>42</xdr:row>
      <xdr:rowOff>18143</xdr:rowOff>
    </xdr:to>
    <mc:AlternateContent xmlns:mc="http://schemas.openxmlformats.org/markup-compatibility/2006">
      <mc:Choice xmlns:a14="http://schemas.microsoft.com/office/drawing/2010/main" Requires="a14">
        <xdr:graphicFrame macro="">
          <xdr:nvGraphicFramePr>
            <xdr:cNvPr id="13" name="Product Category">
              <a:extLst>
                <a:ext uri="{FF2B5EF4-FFF2-40B4-BE49-F238E27FC236}">
                  <a16:creationId xmlns:a16="http://schemas.microsoft.com/office/drawing/2014/main" id="{790FBEDA-C277-6E69-9FA8-BAB4B88C17C1}"/>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dr:sp macro="" textlink="">
          <xdr:nvSpPr>
            <xdr:cNvPr id="0" name=""/>
            <xdr:cNvSpPr>
              <a:spLocks noTextEdit="1"/>
            </xdr:cNvSpPr>
          </xdr:nvSpPr>
          <xdr:spPr>
            <a:xfrm>
              <a:off x="15205962" y="6635269"/>
              <a:ext cx="2531536" cy="128509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509139</xdr:colOff>
      <xdr:row>43</xdr:row>
      <xdr:rowOff>188411</xdr:rowOff>
    </xdr:from>
    <xdr:to>
      <xdr:col>28</xdr:col>
      <xdr:colOff>592667</xdr:colOff>
      <xdr:row>51</xdr:row>
      <xdr:rowOff>169333</xdr:rowOff>
    </xdr:to>
    <mc:AlternateContent xmlns:mc="http://schemas.openxmlformats.org/markup-compatibility/2006">
      <mc:Choice xmlns:a14="http://schemas.microsoft.com/office/drawing/2010/main" Requires="a14">
        <xdr:graphicFrame macro="">
          <xdr:nvGraphicFramePr>
            <xdr:cNvPr id="14" name="Quantity">
              <a:extLst>
                <a:ext uri="{FF2B5EF4-FFF2-40B4-BE49-F238E27FC236}">
                  <a16:creationId xmlns:a16="http://schemas.microsoft.com/office/drawing/2014/main" id="{E63A4E62-42FD-2A99-0E4F-3987AD8D0A2A}"/>
                </a:ext>
              </a:extLst>
            </xdr:cNvPr>
            <xdr:cNvGraphicFramePr/>
          </xdr:nvGraphicFramePr>
          <xdr:xfrm>
            <a:off x="0" y="0"/>
            <a:ext cx="0" cy="0"/>
          </xdr:xfrm>
          <a:graphic>
            <a:graphicData uri="http://schemas.microsoft.com/office/drawing/2010/slicer">
              <sle:slicer xmlns:sle="http://schemas.microsoft.com/office/drawing/2010/slicer" name="Quantity"/>
            </a:graphicData>
          </a:graphic>
        </xdr:graphicFrame>
      </mc:Choice>
      <mc:Fallback>
        <xdr:sp macro="" textlink="">
          <xdr:nvSpPr>
            <xdr:cNvPr id="0" name=""/>
            <xdr:cNvSpPr>
              <a:spLocks noTextEdit="1"/>
            </xdr:cNvSpPr>
          </xdr:nvSpPr>
          <xdr:spPr>
            <a:xfrm>
              <a:off x="15184695" y="8272431"/>
              <a:ext cx="2529453" cy="149245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504653</xdr:colOff>
      <xdr:row>52</xdr:row>
      <xdr:rowOff>115052</xdr:rowOff>
    </xdr:from>
    <xdr:to>
      <xdr:col>28</xdr:col>
      <xdr:colOff>563387</xdr:colOff>
      <xdr:row>63</xdr:row>
      <xdr:rowOff>0</xdr:rowOff>
    </xdr:to>
    <mc:AlternateContent xmlns:mc="http://schemas.openxmlformats.org/markup-compatibility/2006">
      <mc:Choice xmlns:a14="http://schemas.microsoft.com/office/drawing/2010/main" Requires="a14">
        <xdr:graphicFrame macro="">
          <xdr:nvGraphicFramePr>
            <xdr:cNvPr id="16" name="Months (Date)">
              <a:extLst>
                <a:ext uri="{FF2B5EF4-FFF2-40B4-BE49-F238E27FC236}">
                  <a16:creationId xmlns:a16="http://schemas.microsoft.com/office/drawing/2014/main" id="{0982900E-8D9E-5B36-653D-66F85F029212}"/>
                </a:ext>
              </a:extLst>
            </xdr:cNvPr>
            <xdr:cNvGraphicFramePr/>
          </xdr:nvGraphicFramePr>
          <xdr:xfrm>
            <a:off x="0" y="0"/>
            <a:ext cx="0" cy="0"/>
          </xdr:xfrm>
          <a:graphic>
            <a:graphicData uri="http://schemas.microsoft.com/office/drawing/2010/slicer">
              <sle:slicer xmlns:sle="http://schemas.microsoft.com/office/drawing/2010/slicer" name="Months (Date)"/>
            </a:graphicData>
          </a:graphic>
        </xdr:graphicFrame>
      </mc:Choice>
      <mc:Fallback>
        <xdr:sp macro="" textlink="">
          <xdr:nvSpPr>
            <xdr:cNvPr id="0" name=""/>
            <xdr:cNvSpPr>
              <a:spLocks noTextEdit="1"/>
            </xdr:cNvSpPr>
          </xdr:nvSpPr>
          <xdr:spPr>
            <a:xfrm>
              <a:off x="15180209" y="9898756"/>
              <a:ext cx="2504659" cy="195457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550636</xdr:colOff>
      <xdr:row>72</xdr:row>
      <xdr:rowOff>135669</xdr:rowOff>
    </xdr:from>
    <xdr:to>
      <xdr:col>28</xdr:col>
      <xdr:colOff>590146</xdr:colOff>
      <xdr:row>83</xdr:row>
      <xdr:rowOff>17135</xdr:rowOff>
    </xdr:to>
    <mc:AlternateContent xmlns:mc="http://schemas.openxmlformats.org/markup-compatibility/2006" xmlns:a14="http://schemas.microsoft.com/office/drawing/2010/main">
      <mc:Choice Requires="a14">
        <xdr:graphicFrame macro="">
          <xdr:nvGraphicFramePr>
            <xdr:cNvPr id="17" name="Price per Unit">
              <a:extLst>
                <a:ext uri="{FF2B5EF4-FFF2-40B4-BE49-F238E27FC236}">
                  <a16:creationId xmlns:a16="http://schemas.microsoft.com/office/drawing/2014/main" id="{FC502417-187E-9CFE-6666-4B9AB148CE93}"/>
                </a:ext>
              </a:extLst>
            </xdr:cNvPr>
            <xdr:cNvGraphicFramePr/>
          </xdr:nvGraphicFramePr>
          <xdr:xfrm>
            <a:off x="0" y="0"/>
            <a:ext cx="0" cy="0"/>
          </xdr:xfrm>
          <a:graphic>
            <a:graphicData uri="http://schemas.microsoft.com/office/drawing/2010/slicer">
              <sle:slicer xmlns:sle="http://schemas.microsoft.com/office/drawing/2010/slicer" name="Price per Unit"/>
            </a:graphicData>
          </a:graphic>
        </xdr:graphicFrame>
      </mc:Choice>
      <mc:Fallback xmlns="">
        <xdr:sp macro="" textlink="">
          <xdr:nvSpPr>
            <xdr:cNvPr id="0" name=""/>
            <xdr:cNvSpPr>
              <a:spLocks noTextEdit="1"/>
            </xdr:cNvSpPr>
          </xdr:nvSpPr>
          <xdr:spPr>
            <a:xfrm>
              <a:off x="15265119" y="12748083"/>
              <a:ext cx="2491924" cy="180836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550635</xdr:colOff>
      <xdr:row>63</xdr:row>
      <xdr:rowOff>127000</xdr:rowOff>
    </xdr:from>
    <xdr:to>
      <xdr:col>28</xdr:col>
      <xdr:colOff>607785</xdr:colOff>
      <xdr:row>72</xdr:row>
      <xdr:rowOff>87691</xdr:rowOff>
    </xdr:to>
    <mc:AlternateContent xmlns:mc="http://schemas.openxmlformats.org/markup-compatibility/2006" xmlns:a14="http://schemas.microsoft.com/office/drawing/2010/main">
      <mc:Choice Requires="a14">
        <xdr:graphicFrame macro="">
          <xdr:nvGraphicFramePr>
            <xdr:cNvPr id="18" name="Years (Date)">
              <a:extLst>
                <a:ext uri="{FF2B5EF4-FFF2-40B4-BE49-F238E27FC236}">
                  <a16:creationId xmlns:a16="http://schemas.microsoft.com/office/drawing/2014/main" id="{736C601E-F73F-6D16-04B2-9F51C20D779C}"/>
                </a:ext>
              </a:extLst>
            </xdr:cNvPr>
            <xdr:cNvGraphicFramePr/>
          </xdr:nvGraphicFramePr>
          <xdr:xfrm>
            <a:off x="0" y="0"/>
            <a:ext cx="0" cy="0"/>
          </xdr:xfrm>
          <a:graphic>
            <a:graphicData uri="http://schemas.microsoft.com/office/drawing/2010/slicer">
              <sle:slicer xmlns:sle="http://schemas.microsoft.com/office/drawing/2010/slicer" name="Years (Date)"/>
            </a:graphicData>
          </a:graphic>
        </xdr:graphicFrame>
      </mc:Choice>
      <mc:Fallback xmlns="">
        <xdr:sp macro="" textlink="">
          <xdr:nvSpPr>
            <xdr:cNvPr id="0" name=""/>
            <xdr:cNvSpPr>
              <a:spLocks noTextEdit="1"/>
            </xdr:cNvSpPr>
          </xdr:nvSpPr>
          <xdr:spPr>
            <a:xfrm>
              <a:off x="15265118" y="11889860"/>
              <a:ext cx="2509564" cy="81024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17</xdr:col>
      <xdr:colOff>308429</xdr:colOff>
      <xdr:row>63</xdr:row>
      <xdr:rowOff>18142</xdr:rowOff>
    </xdr:from>
    <xdr:to>
      <xdr:col>24</xdr:col>
      <xdr:colOff>399143</xdr:colOff>
      <xdr:row>83</xdr:row>
      <xdr:rowOff>54428</xdr:rowOff>
    </xdr:to>
    <xdr:graphicFrame macro="">
      <xdr:nvGraphicFramePr>
        <xdr:cNvPr id="3" name="Chart 2">
          <a:extLst>
            <a:ext uri="{FF2B5EF4-FFF2-40B4-BE49-F238E27FC236}">
              <a16:creationId xmlns:a16="http://schemas.microsoft.com/office/drawing/2014/main" id="{17DAC5E3-B02D-44E9-876A-EDE7A6BCA9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udhvi sai Tallapalem" refreshedDate="45851.964450694446" createdVersion="8" refreshedVersion="8" minRefreshableVersion="3" recordCount="1000" xr:uid="{461AC63E-867B-4C85-94FF-F9E9A609FBD7}">
  <cacheSource type="worksheet">
    <worksheetSource name="Table1"/>
  </cacheSource>
  <cacheFields count="13">
    <cacheField name="Transaction ID" numFmtId="0">
      <sharedItems containsSemiMixedTypes="0" containsString="0" containsNumber="1" containsInteger="1" minValue="1" maxValue="1000"/>
    </cacheField>
    <cacheField name="Date" numFmtId="14">
      <sharedItems containsSemiMixedTypes="0" containsNonDate="0" containsDate="1" containsString="0" minDate="2023-01-01T00:00:00" maxDate="2024-01-02T00:00:00" count="345">
        <d v="2023-11-24T00:00:00"/>
        <d v="2023-02-27T00:00:00"/>
        <d v="2023-01-13T00:00:00"/>
        <d v="2023-05-21T00:00:00"/>
        <d v="2023-05-06T00:00:00"/>
        <d v="2023-04-25T00:00:00"/>
        <d v="2023-03-13T00:00:00"/>
        <d v="2023-02-22T00:00:00"/>
        <d v="2023-12-13T00:00:00"/>
        <d v="2023-10-07T00:00:00"/>
        <d v="2023-02-14T00:00:00"/>
        <d v="2023-10-30T00:00:00"/>
        <d v="2023-08-05T00:00:00"/>
        <d v="2023-01-17T00:00:00"/>
        <d v="2023-01-16T00:00:00"/>
        <d v="2023-02-17T00:00:00"/>
        <d v="2023-04-22T00:00:00"/>
        <d v="2023-04-30T00:00:00"/>
        <d v="2023-09-16T00:00:00"/>
        <d v="2023-11-05T00:00:00"/>
        <d v="2023-01-14T00:00:00"/>
        <d v="2023-10-15T00:00:00"/>
        <d v="2023-04-12T00:00:00"/>
        <d v="2023-11-29T00:00:00"/>
        <d v="2023-12-26T00:00:00"/>
        <d v="2023-08-03T00:00:00"/>
        <d v="2023-04-23T00:00:00"/>
        <d v="2023-08-18T00:00:00"/>
        <d v="2023-10-29T00:00:00"/>
        <d v="2023-05-23T00:00:00"/>
        <d v="2023-01-04T00:00:00"/>
        <d v="2023-03-23T00:00:00"/>
        <d v="2023-12-24T00:00:00"/>
        <d v="2023-06-24T00:00:00"/>
        <d v="2023-03-21T00:00:00"/>
        <d v="2023-04-21T00:00:00"/>
        <d v="2023-06-22T00:00:00"/>
        <d v="2023-07-14T00:00:00"/>
        <d v="2023-02-19T00:00:00"/>
        <d v="2023-07-03T00:00:00"/>
        <d v="2023-06-26T00:00:00"/>
        <d v="2023-11-06T00:00:00"/>
        <d v="2023-05-16T00:00:00"/>
        <d v="2023-01-23T00:00:00"/>
        <d v="2023-08-24T00:00:00"/>
        <d v="2023-10-02T00:00:00"/>
        <d v="2023-03-05T00:00:00"/>
        <d v="2023-07-13T00:00:00"/>
        <d v="2023-02-10T00:00:00"/>
        <d v="2023-10-10T00:00:00"/>
        <d v="2023-05-31T00:00:00"/>
        <d v="2023-11-18T00:00:00"/>
        <d v="2023-11-13T00:00:00"/>
        <d v="2023-07-05T00:00:00"/>
        <d v="2023-10-23T00:00:00"/>
        <d v="2023-04-09T00:00:00"/>
        <d v="2023-12-27T00:00:00"/>
        <d v="2023-02-05T00:00:00"/>
        <d v="2023-01-24T00:00:00"/>
        <d v="2023-12-05T00:00:00"/>
        <d v="2023-04-27T00:00:00"/>
        <d v="2023-05-29T00:00:00"/>
        <d v="2023-02-21T00:00:00"/>
        <d v="2023-08-21T00:00:00"/>
        <d v="2023-11-22T00:00:00"/>
        <d v="2023-07-06T00:00:00"/>
        <d v="2023-03-25T00:00:00"/>
        <d v="2023-07-09T00:00:00"/>
        <d v="2023-07-01T00:00:00"/>
        <d v="2023-04-18T00:00:00"/>
        <d v="2023-12-10T00:00:00"/>
        <d v="2023-05-17T00:00:00"/>
        <d v="2023-12-16T00:00:00"/>
        <d v="2023-11-28T00:00:00"/>
        <d v="2023-02-06T00:00:00"/>
        <d v="2023-11-08T00:00:00"/>
        <d v="2023-03-29T00:00:00"/>
        <d v="2023-10-01T00:00:00"/>
        <d v="2023-08-25T00:00:00"/>
        <d v="2023-05-19T00:00:00"/>
        <d v="2023-12-19T00:00:00"/>
        <d v="2023-10-13T00:00:00"/>
        <d v="2023-12-17T00:00:00"/>
        <d v="2023-06-16T00:00:00"/>
        <d v="2023-01-29T00:00:00"/>
        <d v="2023-04-28T00:00:00"/>
        <d v="2023-06-11T00:00:00"/>
        <d v="2023-07-25T00:00:00"/>
        <d v="2023-05-18T00:00:00"/>
        <d v="2023-02-03T00:00:00"/>
        <d v="2023-04-19T00:00:00"/>
        <d v="2023-10-18T00:00:00"/>
        <d v="2023-12-02T00:00:00"/>
        <d v="2023-09-13T00:00:00"/>
        <d v="2023-07-22T00:00:00"/>
        <d v="2023-11-26T00:00:00"/>
        <d v="2023-08-23T00:00:00"/>
        <d v="2023-03-15T00:00:00"/>
        <d v="2023-05-07T00:00:00"/>
        <d v="2023-10-03T00:00:00"/>
        <d v="2023-05-15T00:00:00"/>
        <d v="2023-10-27T00:00:00"/>
        <d v="2023-08-08T00:00:00"/>
        <d v="2023-10-26T00:00:00"/>
        <d v="2023-07-24T00:00:00"/>
        <d v="2023-03-12T00:00:00"/>
        <d v="2023-09-18T00:00:00"/>
        <d v="2023-09-10T00:00:00"/>
        <d v="2023-02-16T00:00:00"/>
        <d v="2023-01-25T00:00:00"/>
        <d v="2023-02-26T00:00:00"/>
        <d v="2023-03-20T00:00:00"/>
        <d v="2023-12-15T00:00:00"/>
        <d v="2023-11-02T00:00:00"/>
        <d v="2023-02-02T00:00:00"/>
        <d v="2023-07-17T00:00:00"/>
        <d v="2023-07-15T00:00:00"/>
        <d v="2023-08-28T00:00:00"/>
        <d v="2023-09-28T00:00:00"/>
        <d v="2023-05-09T00:00:00"/>
        <d v="2023-10-11T00:00:00"/>
        <d v="2023-01-06T00:00:00"/>
        <d v="2023-02-28T00:00:00"/>
        <d v="2023-11-25T00:00:00"/>
        <d v="2023-08-11T00:00:00"/>
        <d v="2023-03-22T00:00:00"/>
        <d v="2023-01-02T00:00:00"/>
        <d v="2023-09-14T00:00:00"/>
        <d v="2023-04-02T00:00:00"/>
        <d v="2023-09-17T00:00:00"/>
        <d v="2023-02-24T00:00:00"/>
        <d v="2023-11-17T00:00:00"/>
        <d v="2023-06-02T00:00:00"/>
        <d v="2023-07-11T00:00:00"/>
        <d v="2023-03-24T00:00:00"/>
        <d v="2023-10-04T00:00:00"/>
        <d v="2023-09-29T00:00:00"/>
        <d v="2023-01-01T00:00:00"/>
        <d v="2023-11-03T00:00:00"/>
        <d v="2023-06-15T00:00:00"/>
        <d v="2023-09-08T00:00:00"/>
        <d v="2023-01-10T00:00:00"/>
        <d v="2023-06-07T00:00:00"/>
        <d v="2023-05-03T00:00:00"/>
        <d v="2023-01-30T00:00:00"/>
        <d v="2023-05-04T00:00:00"/>
        <d v="2023-02-13T00:00:00"/>
        <d v="2023-09-06T00:00:00"/>
        <d v="2023-09-30T00:00:00"/>
        <d v="2023-03-06T00:00:00"/>
        <d v="2023-03-07T00:00:00"/>
        <d v="2023-12-04T00:00:00"/>
        <d v="2023-09-01T00:00:00"/>
        <d v="2023-10-09T00:00:00"/>
        <d v="2023-03-26T00:00:00"/>
        <d v="2023-11-07T00:00:00"/>
        <d v="2023-12-20T00:00:00"/>
        <d v="2023-04-13T00:00:00"/>
        <d v="2024-01-01T00:00:00"/>
        <d v="2023-06-09T00:00:00"/>
        <d v="2023-08-13T00:00:00"/>
        <d v="2023-09-22T00:00:00"/>
        <d v="2023-08-20T00:00:00"/>
        <d v="2023-03-03T00:00:00"/>
        <d v="2023-04-26T00:00:00"/>
        <d v="2023-06-23T00:00:00"/>
        <d v="2023-01-11T00:00:00"/>
        <d v="2023-12-29T00:00:00"/>
        <d v="2023-11-20T00:00:00"/>
        <d v="2023-01-31T00:00:00"/>
        <d v="2023-02-04T00:00:00"/>
        <d v="2023-06-19T00:00:00"/>
        <d v="2023-09-21T00:00:00"/>
        <d v="2023-05-02T00:00:00"/>
        <d v="2023-12-09T00:00:00"/>
        <d v="2023-04-20T00:00:00"/>
        <d v="2023-03-09T00:00:00"/>
        <d v="2023-10-20T00:00:00"/>
        <d v="2023-08-31T00:00:00"/>
        <d v="2023-05-05T00:00:00"/>
        <d v="2023-07-28T00:00:00"/>
        <d v="2023-04-08T00:00:00"/>
        <d v="2023-02-18T00:00:00"/>
        <d v="2023-08-09T00:00:00"/>
        <d v="2023-07-30T00:00:00"/>
        <d v="2023-01-28T00:00:00"/>
        <d v="2023-12-11T00:00:00"/>
        <d v="2023-12-01T00:00:00"/>
        <d v="2023-11-27T00:00:00"/>
        <d v="2023-02-20T00:00:00"/>
        <d v="2023-02-01T00:00:00"/>
        <d v="2023-07-26T00:00:00"/>
        <d v="2023-02-25T00:00:00"/>
        <d v="2023-05-08T00:00:00"/>
        <d v="2023-04-04T00:00:00"/>
        <d v="2023-02-08T00:00:00"/>
        <d v="2023-08-15T00:00:00"/>
        <d v="2023-01-26T00:00:00"/>
        <d v="2023-11-30T00:00:00"/>
        <d v="2023-01-08T00:00:00"/>
        <d v="2023-03-27T00:00:00"/>
        <d v="2023-09-04T00:00:00"/>
        <d v="2023-07-19T00:00:00"/>
        <d v="2023-05-27T00:00:00"/>
        <d v="2023-12-23T00:00:00"/>
        <d v="2023-10-12T00:00:00"/>
        <d v="2023-09-07T00:00:00"/>
        <d v="2023-06-01T00:00:00"/>
        <d v="2023-10-24T00:00:00"/>
        <d v="2023-10-05T00:00:00"/>
        <d v="2023-06-10T00:00:00"/>
        <d v="2023-09-02T00:00:00"/>
        <d v="2023-09-15T00:00:00"/>
        <d v="2023-02-11T00:00:00"/>
        <d v="2023-04-06T00:00:00"/>
        <d v="2023-11-01T00:00:00"/>
        <d v="2023-12-12T00:00:00"/>
        <d v="2023-05-01T00:00:00"/>
        <d v="2023-10-19T00:00:00"/>
        <d v="2023-01-21T00:00:00"/>
        <d v="2023-11-14T00:00:00"/>
        <d v="2023-12-03T00:00:00"/>
        <d v="2023-10-17T00:00:00"/>
        <d v="2023-09-25T00:00:00"/>
        <d v="2023-05-14T00:00:00"/>
        <d v="2023-04-15T00:00:00"/>
        <d v="2023-06-03T00:00:00"/>
        <d v="2023-02-07T00:00:00"/>
        <d v="2023-01-05T00:00:00"/>
        <d v="2023-11-15T00:00:00"/>
        <d v="2023-10-16T00:00:00"/>
        <d v="2023-06-28T00:00:00"/>
        <d v="2023-05-26T00:00:00"/>
        <d v="2023-10-06T00:00:00"/>
        <d v="2023-06-04T00:00:00"/>
        <d v="2023-11-10T00:00:00"/>
        <d v="2023-12-08T00:00:00"/>
        <d v="2023-12-06T00:00:00"/>
        <d v="2023-02-23T00:00:00"/>
        <d v="2023-03-10T00:00:00"/>
        <d v="2023-03-01T00:00:00"/>
        <d v="2023-05-20T00:00:00"/>
        <d v="2023-05-25T00:00:00"/>
        <d v="2023-06-25T00:00:00"/>
        <d v="2023-12-18T00:00:00"/>
        <d v="2023-11-21T00:00:00"/>
        <d v="2023-01-27T00:00:00"/>
        <d v="2023-05-22T00:00:00"/>
        <d v="2023-06-20T00:00:00"/>
        <d v="2023-03-08T00:00:00"/>
        <d v="2023-11-23T00:00:00"/>
        <d v="2023-12-28T00:00:00"/>
        <d v="2023-08-07T00:00:00"/>
        <d v="2023-03-18T00:00:00"/>
        <d v="2023-01-19T00:00:00"/>
        <d v="2023-03-17T00:00:00"/>
        <d v="2023-01-22T00:00:00"/>
        <d v="2023-10-14T00:00:00"/>
        <d v="2023-04-01T00:00:00"/>
        <d v="2023-07-31T00:00:00"/>
        <d v="2023-01-20T00:00:00"/>
        <d v="2023-08-29T00:00:00"/>
        <d v="2023-04-24T00:00:00"/>
        <d v="2023-06-29T00:00:00"/>
        <d v="2023-06-06T00:00:00"/>
        <d v="2023-06-18T00:00:00"/>
        <d v="2023-12-14T00:00:00"/>
        <d v="2023-01-15T00:00:00"/>
        <d v="2023-10-25T00:00:00"/>
        <d v="2023-08-12T00:00:00"/>
        <d v="2023-09-19T00:00:00"/>
        <d v="2023-05-11T00:00:00"/>
        <d v="2023-09-24T00:00:00"/>
        <d v="2023-04-11T00:00:00"/>
        <d v="2023-12-07T00:00:00"/>
        <d v="2023-11-16T00:00:00"/>
        <d v="2023-06-08T00:00:00"/>
        <d v="2023-07-29T00:00:00"/>
        <d v="2023-06-17T00:00:00"/>
        <d v="2023-08-04T00:00:00"/>
        <d v="2023-03-31T00:00:00"/>
        <d v="2023-11-12T00:00:00"/>
        <d v="2023-07-27T00:00:00"/>
        <d v="2023-10-08T00:00:00"/>
        <d v="2023-06-05T00:00:00"/>
        <d v="2023-06-14T00:00:00"/>
        <d v="2023-08-27T00:00:00"/>
        <d v="2023-03-28T00:00:00"/>
        <d v="2023-06-21T00:00:00"/>
        <d v="2023-11-09T00:00:00"/>
        <d v="2023-08-22T00:00:00"/>
        <d v="2023-08-01T00:00:00"/>
        <d v="2023-11-19T00:00:00"/>
        <d v="2023-10-22T00:00:00"/>
        <d v="2023-04-10T00:00:00"/>
        <d v="2023-07-16T00:00:00"/>
        <d v="2023-09-11T00:00:00"/>
        <d v="2023-01-03T00:00:00"/>
        <d v="2023-08-06T00:00:00"/>
        <d v="2023-09-23T00:00:00"/>
        <d v="2023-08-26T00:00:00"/>
        <d v="2023-03-04T00:00:00"/>
        <d v="2023-06-12T00:00:00"/>
        <d v="2023-08-17T00:00:00"/>
        <d v="2023-08-19T00:00:00"/>
        <d v="2023-05-13T00:00:00"/>
        <d v="2023-08-14T00:00:00"/>
        <d v="2023-02-09T00:00:00"/>
        <d v="2023-06-13T00:00:00"/>
        <d v="2023-03-19T00:00:00"/>
        <d v="2023-04-29T00:00:00"/>
        <d v="2023-12-22T00:00:00"/>
        <d v="2023-04-16T00:00:00"/>
        <d v="2023-06-30T00:00:00"/>
        <d v="2023-07-21T00:00:00"/>
        <d v="2023-10-31T00:00:00"/>
        <d v="2023-02-12T00:00:00"/>
        <d v="2023-03-11T00:00:00"/>
        <d v="2023-05-10T00:00:00"/>
        <d v="2023-12-25T00:00:00"/>
        <d v="2023-05-12T00:00:00"/>
        <d v="2023-07-08T00:00:00"/>
        <d v="2023-07-12T00:00:00"/>
        <d v="2023-07-23T00:00:00"/>
        <d v="2023-11-04T00:00:00"/>
        <d v="2023-06-27T00:00:00"/>
        <d v="2023-01-07T00:00:00"/>
        <d v="2023-08-10T00:00:00"/>
        <d v="2023-09-05T00:00:00"/>
        <d v="2023-05-24T00:00:00"/>
        <d v="2023-12-31T00:00:00"/>
        <d v="2023-09-09T00:00:00"/>
        <d v="2023-01-09T00:00:00"/>
        <d v="2023-12-21T00:00:00"/>
        <d v="2023-04-05T00:00:00"/>
        <d v="2023-09-26T00:00:00"/>
        <d v="2023-07-04T00:00:00"/>
        <d v="2023-05-30T00:00:00"/>
        <d v="2023-10-21T00:00:00"/>
        <d v="2023-09-03T00:00:00"/>
        <d v="2023-03-02T00:00:00"/>
        <d v="2023-08-02T00:00:00"/>
        <d v="2023-04-17T00:00:00"/>
        <d v="2023-03-30T00:00:00"/>
        <d v="2023-05-28T00:00:00"/>
      </sharedItems>
      <fieldGroup par="12"/>
    </cacheField>
    <cacheField name="Customer ID" numFmtId="0">
      <sharedItems/>
    </cacheField>
    <cacheField name="Gender" numFmtId="0">
      <sharedItems count="2">
        <s v="Male"/>
        <s v="Female"/>
      </sharedItems>
    </cacheField>
    <cacheField name="Age" numFmtId="0">
      <sharedItems containsSemiMixedTypes="0" containsString="0" containsNumber="1" containsInteger="1" minValue="18" maxValue="64"/>
    </cacheField>
    <cacheField name="Age_Range" numFmtId="0">
      <sharedItems count="3">
        <s v="Middle"/>
        <s v="Old"/>
        <s v="Young"/>
      </sharedItems>
    </cacheField>
    <cacheField name="Product Category" numFmtId="0">
      <sharedItems count="3">
        <s v="Beauty"/>
        <s v="Clothing"/>
        <s v="Electronics"/>
      </sharedItems>
    </cacheField>
    <cacheField name="Quantity" numFmtId="0">
      <sharedItems containsSemiMixedTypes="0" containsString="0" containsNumber="1" containsInteger="1" minValue="1" maxValue="4" count="4">
        <n v="3"/>
        <n v="2"/>
        <n v="1"/>
        <n v="4"/>
      </sharedItems>
    </cacheField>
    <cacheField name="Price per Unit" numFmtId="0">
      <sharedItems containsSemiMixedTypes="0" containsString="0" containsNumber="1" containsInteger="1" minValue="25" maxValue="500" count="5">
        <n v="50"/>
        <n v="500"/>
        <n v="30"/>
        <n v="25"/>
        <n v="300"/>
      </sharedItems>
    </cacheField>
    <cacheField name="Total Amount" numFmtId="0">
      <sharedItems containsSemiMixedTypes="0" containsString="0" containsNumber="1" containsInteger="1" minValue="25" maxValue="2000" count="18">
        <n v="150"/>
        <n v="1000"/>
        <n v="30"/>
        <n v="500"/>
        <n v="100"/>
        <n v="50"/>
        <n v="600"/>
        <n v="200"/>
        <n v="75"/>
        <n v="1500"/>
        <n v="120"/>
        <n v="2000"/>
        <n v="900"/>
        <n v="300"/>
        <n v="1200"/>
        <n v="90"/>
        <n v="25"/>
        <n v="60"/>
      </sharedItems>
    </cacheField>
    <cacheField name="Months (Date)" numFmtId="0" databaseField="0">
      <fieldGroup base="1">
        <rangePr groupBy="months" startDate="2023-01-01T00:00:00" endDate="2024-01-02T00:00:00"/>
        <groupItems count="14">
          <s v="&lt;01-01-2023"/>
          <s v="Jan"/>
          <s v="Feb"/>
          <s v="Mar"/>
          <s v="Apr"/>
          <s v="May"/>
          <s v="Jun"/>
          <s v="Jul"/>
          <s v="Aug"/>
          <s v="Sep"/>
          <s v="Oct"/>
          <s v="Nov"/>
          <s v="Dec"/>
          <s v="&gt;02-01-2024"/>
        </groupItems>
      </fieldGroup>
    </cacheField>
    <cacheField name="Quarters (Date)" numFmtId="0" databaseField="0">
      <fieldGroup base="1">
        <rangePr groupBy="quarters" startDate="2023-01-01T00:00:00" endDate="2024-01-02T00:00:00"/>
        <groupItems count="6">
          <s v="&lt;01-01-2023"/>
          <s v="Qtr1"/>
          <s v="Qtr2"/>
          <s v="Qtr3"/>
          <s v="Qtr4"/>
          <s v="&gt;02-01-2024"/>
        </groupItems>
      </fieldGroup>
    </cacheField>
    <cacheField name="Years (Date)" numFmtId="0" databaseField="0">
      <fieldGroup base="1">
        <rangePr groupBy="years" startDate="2023-01-01T00:00:00" endDate="2024-01-02T00:00:00"/>
        <groupItems count="4">
          <s v="&lt;01-01-2023"/>
          <s v="2023"/>
          <s v="2024"/>
          <s v="&gt;02-01-2024"/>
        </groupItems>
      </fieldGroup>
    </cacheField>
  </cacheFields>
  <extLst>
    <ext xmlns:x14="http://schemas.microsoft.com/office/spreadsheetml/2009/9/main" uri="{725AE2AE-9491-48be-B2B4-4EB974FC3084}">
      <x14:pivotCacheDefinition pivotCacheId="1250953996"/>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udhvi sai Tallapalem" refreshedDate="45854.698499421298" createdVersion="8" refreshedVersion="8" minRefreshableVersion="3" recordCount="1000" xr:uid="{42300374-B79C-4EEB-8005-75D58A044AF5}">
  <cacheSource type="worksheet">
    <worksheetSource name="Table4"/>
  </cacheSource>
  <cacheFields count="5">
    <cacheField name="Customer ID" numFmtId="0">
      <sharedItems/>
    </cacheField>
    <cacheField name="Product Category" numFmtId="0">
      <sharedItems count="3">
        <s v="Clothing"/>
        <s v="Electronics"/>
        <s v="Beauty"/>
      </sharedItems>
    </cacheField>
    <cacheField name="units" numFmtId="0">
      <sharedItems containsSemiMixedTypes="0" containsString="0" containsNumber="1" containsInteger="1" minValue="1" maxValue="4" count="4">
        <n v="3"/>
        <n v="2"/>
        <n v="1"/>
        <n v="4"/>
      </sharedItems>
    </cacheField>
    <cacheField name="Total Amount" numFmtId="0">
      <sharedItems containsSemiMixedTypes="0" containsString="0" containsNumber="1" containsInteger="1" minValue="25" maxValue="2000"/>
    </cacheField>
    <cacheField name=" " numFmtId="0">
      <sharedItems containsSemiMixedTypes="0" containsString="0" containsNumber="1" containsInteger="1" minValue="25" maxValue="2000"/>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
    <x v="0"/>
    <s v="CUST001"/>
    <x v="0"/>
    <n v="34"/>
    <x v="0"/>
    <x v="0"/>
    <x v="0"/>
    <x v="0"/>
    <x v="0"/>
  </r>
  <r>
    <n v="2"/>
    <x v="1"/>
    <s v="CUST002"/>
    <x v="1"/>
    <n v="26"/>
    <x v="0"/>
    <x v="1"/>
    <x v="1"/>
    <x v="1"/>
    <x v="1"/>
  </r>
  <r>
    <n v="3"/>
    <x v="2"/>
    <s v="CUST003"/>
    <x v="0"/>
    <n v="50"/>
    <x v="0"/>
    <x v="2"/>
    <x v="2"/>
    <x v="2"/>
    <x v="2"/>
  </r>
  <r>
    <n v="4"/>
    <x v="3"/>
    <s v="CUST004"/>
    <x v="0"/>
    <n v="37"/>
    <x v="0"/>
    <x v="1"/>
    <x v="2"/>
    <x v="1"/>
    <x v="3"/>
  </r>
  <r>
    <n v="5"/>
    <x v="4"/>
    <s v="CUST005"/>
    <x v="0"/>
    <n v="30"/>
    <x v="0"/>
    <x v="0"/>
    <x v="1"/>
    <x v="0"/>
    <x v="4"/>
  </r>
  <r>
    <n v="6"/>
    <x v="5"/>
    <s v="CUST006"/>
    <x v="1"/>
    <n v="45"/>
    <x v="0"/>
    <x v="0"/>
    <x v="2"/>
    <x v="2"/>
    <x v="2"/>
  </r>
  <r>
    <n v="7"/>
    <x v="6"/>
    <s v="CUST007"/>
    <x v="0"/>
    <n v="46"/>
    <x v="0"/>
    <x v="1"/>
    <x v="1"/>
    <x v="3"/>
    <x v="5"/>
  </r>
  <r>
    <n v="8"/>
    <x v="7"/>
    <s v="CUST008"/>
    <x v="0"/>
    <n v="30"/>
    <x v="0"/>
    <x v="2"/>
    <x v="3"/>
    <x v="3"/>
    <x v="4"/>
  </r>
  <r>
    <n v="9"/>
    <x v="8"/>
    <s v="CUST009"/>
    <x v="0"/>
    <n v="63"/>
    <x v="1"/>
    <x v="2"/>
    <x v="1"/>
    <x v="4"/>
    <x v="6"/>
  </r>
  <r>
    <n v="10"/>
    <x v="9"/>
    <s v="CUST010"/>
    <x v="1"/>
    <n v="52"/>
    <x v="0"/>
    <x v="1"/>
    <x v="3"/>
    <x v="0"/>
    <x v="7"/>
  </r>
  <r>
    <n v="11"/>
    <x v="10"/>
    <s v="CUST011"/>
    <x v="0"/>
    <n v="23"/>
    <x v="2"/>
    <x v="1"/>
    <x v="1"/>
    <x v="0"/>
    <x v="4"/>
  </r>
  <r>
    <n v="12"/>
    <x v="11"/>
    <s v="CUST012"/>
    <x v="0"/>
    <n v="35"/>
    <x v="0"/>
    <x v="0"/>
    <x v="0"/>
    <x v="3"/>
    <x v="8"/>
  </r>
  <r>
    <n v="13"/>
    <x v="12"/>
    <s v="CUST013"/>
    <x v="0"/>
    <n v="22"/>
    <x v="2"/>
    <x v="2"/>
    <x v="0"/>
    <x v="1"/>
    <x v="9"/>
  </r>
  <r>
    <n v="14"/>
    <x v="13"/>
    <s v="CUST014"/>
    <x v="0"/>
    <n v="64"/>
    <x v="1"/>
    <x v="1"/>
    <x v="3"/>
    <x v="2"/>
    <x v="10"/>
  </r>
  <r>
    <n v="15"/>
    <x v="14"/>
    <s v="CUST015"/>
    <x v="1"/>
    <n v="42"/>
    <x v="0"/>
    <x v="2"/>
    <x v="3"/>
    <x v="1"/>
    <x v="11"/>
  </r>
  <r>
    <n v="16"/>
    <x v="15"/>
    <s v="CUST016"/>
    <x v="0"/>
    <n v="19"/>
    <x v="2"/>
    <x v="1"/>
    <x v="0"/>
    <x v="1"/>
    <x v="9"/>
  </r>
  <r>
    <n v="17"/>
    <x v="16"/>
    <s v="CUST017"/>
    <x v="1"/>
    <n v="27"/>
    <x v="0"/>
    <x v="1"/>
    <x v="3"/>
    <x v="3"/>
    <x v="4"/>
  </r>
  <r>
    <n v="18"/>
    <x v="17"/>
    <s v="CUST018"/>
    <x v="1"/>
    <n v="47"/>
    <x v="0"/>
    <x v="2"/>
    <x v="1"/>
    <x v="3"/>
    <x v="5"/>
  </r>
  <r>
    <n v="19"/>
    <x v="18"/>
    <s v="CUST019"/>
    <x v="1"/>
    <n v="62"/>
    <x v="1"/>
    <x v="1"/>
    <x v="1"/>
    <x v="3"/>
    <x v="5"/>
  </r>
  <r>
    <n v="20"/>
    <x v="19"/>
    <s v="CUST020"/>
    <x v="0"/>
    <n v="22"/>
    <x v="2"/>
    <x v="1"/>
    <x v="0"/>
    <x v="4"/>
    <x v="12"/>
  </r>
  <r>
    <n v="21"/>
    <x v="20"/>
    <s v="CUST021"/>
    <x v="1"/>
    <n v="50"/>
    <x v="0"/>
    <x v="0"/>
    <x v="2"/>
    <x v="1"/>
    <x v="3"/>
  </r>
  <r>
    <n v="22"/>
    <x v="21"/>
    <s v="CUST022"/>
    <x v="0"/>
    <n v="18"/>
    <x v="2"/>
    <x v="1"/>
    <x v="1"/>
    <x v="0"/>
    <x v="4"/>
  </r>
  <r>
    <n v="23"/>
    <x v="22"/>
    <s v="CUST023"/>
    <x v="1"/>
    <n v="35"/>
    <x v="0"/>
    <x v="1"/>
    <x v="3"/>
    <x v="2"/>
    <x v="10"/>
  </r>
  <r>
    <n v="24"/>
    <x v="23"/>
    <s v="CUST024"/>
    <x v="1"/>
    <n v="49"/>
    <x v="0"/>
    <x v="1"/>
    <x v="2"/>
    <x v="4"/>
    <x v="13"/>
  </r>
  <r>
    <n v="25"/>
    <x v="24"/>
    <s v="CUST025"/>
    <x v="1"/>
    <n v="64"/>
    <x v="1"/>
    <x v="0"/>
    <x v="2"/>
    <x v="0"/>
    <x v="5"/>
  </r>
  <r>
    <n v="26"/>
    <x v="9"/>
    <s v="CUST026"/>
    <x v="1"/>
    <n v="28"/>
    <x v="0"/>
    <x v="2"/>
    <x v="1"/>
    <x v="1"/>
    <x v="1"/>
  </r>
  <r>
    <n v="27"/>
    <x v="25"/>
    <s v="CUST027"/>
    <x v="1"/>
    <n v="38"/>
    <x v="0"/>
    <x v="0"/>
    <x v="1"/>
    <x v="3"/>
    <x v="5"/>
  </r>
  <r>
    <n v="28"/>
    <x v="26"/>
    <s v="CUST028"/>
    <x v="1"/>
    <n v="43"/>
    <x v="0"/>
    <x v="0"/>
    <x v="2"/>
    <x v="1"/>
    <x v="3"/>
  </r>
  <r>
    <n v="29"/>
    <x v="27"/>
    <s v="CUST029"/>
    <x v="1"/>
    <n v="42"/>
    <x v="0"/>
    <x v="2"/>
    <x v="2"/>
    <x v="2"/>
    <x v="2"/>
  </r>
  <r>
    <n v="30"/>
    <x v="28"/>
    <s v="CUST030"/>
    <x v="1"/>
    <n v="39"/>
    <x v="0"/>
    <x v="0"/>
    <x v="0"/>
    <x v="4"/>
    <x v="12"/>
  </r>
  <r>
    <n v="31"/>
    <x v="29"/>
    <s v="CUST031"/>
    <x v="0"/>
    <n v="44"/>
    <x v="0"/>
    <x v="2"/>
    <x v="3"/>
    <x v="4"/>
    <x v="14"/>
  </r>
  <r>
    <n v="32"/>
    <x v="30"/>
    <s v="CUST032"/>
    <x v="0"/>
    <n v="30"/>
    <x v="0"/>
    <x v="0"/>
    <x v="0"/>
    <x v="2"/>
    <x v="15"/>
  </r>
  <r>
    <n v="33"/>
    <x v="31"/>
    <s v="CUST033"/>
    <x v="1"/>
    <n v="50"/>
    <x v="0"/>
    <x v="2"/>
    <x v="1"/>
    <x v="0"/>
    <x v="4"/>
  </r>
  <r>
    <n v="34"/>
    <x v="32"/>
    <s v="CUST034"/>
    <x v="1"/>
    <n v="51"/>
    <x v="0"/>
    <x v="1"/>
    <x v="0"/>
    <x v="0"/>
    <x v="0"/>
  </r>
  <r>
    <n v="35"/>
    <x v="12"/>
    <s v="CUST035"/>
    <x v="1"/>
    <n v="58"/>
    <x v="1"/>
    <x v="0"/>
    <x v="0"/>
    <x v="4"/>
    <x v="12"/>
  </r>
  <r>
    <n v="36"/>
    <x v="33"/>
    <s v="CUST036"/>
    <x v="0"/>
    <n v="52"/>
    <x v="0"/>
    <x v="0"/>
    <x v="0"/>
    <x v="4"/>
    <x v="12"/>
  </r>
  <r>
    <n v="37"/>
    <x v="29"/>
    <s v="CUST037"/>
    <x v="1"/>
    <n v="18"/>
    <x v="2"/>
    <x v="0"/>
    <x v="0"/>
    <x v="3"/>
    <x v="8"/>
  </r>
  <r>
    <n v="38"/>
    <x v="34"/>
    <s v="CUST038"/>
    <x v="0"/>
    <n v="38"/>
    <x v="0"/>
    <x v="0"/>
    <x v="3"/>
    <x v="0"/>
    <x v="7"/>
  </r>
  <r>
    <n v="39"/>
    <x v="35"/>
    <s v="CUST039"/>
    <x v="0"/>
    <n v="23"/>
    <x v="2"/>
    <x v="1"/>
    <x v="3"/>
    <x v="2"/>
    <x v="10"/>
  </r>
  <r>
    <n v="40"/>
    <x v="36"/>
    <s v="CUST040"/>
    <x v="0"/>
    <n v="45"/>
    <x v="0"/>
    <x v="0"/>
    <x v="2"/>
    <x v="0"/>
    <x v="5"/>
  </r>
  <r>
    <n v="41"/>
    <x v="7"/>
    <s v="CUST041"/>
    <x v="0"/>
    <n v="34"/>
    <x v="0"/>
    <x v="1"/>
    <x v="1"/>
    <x v="3"/>
    <x v="5"/>
  </r>
  <r>
    <n v="42"/>
    <x v="15"/>
    <s v="CUST042"/>
    <x v="0"/>
    <n v="22"/>
    <x v="2"/>
    <x v="1"/>
    <x v="0"/>
    <x v="4"/>
    <x v="12"/>
  </r>
  <r>
    <n v="43"/>
    <x v="37"/>
    <s v="CUST043"/>
    <x v="1"/>
    <n v="48"/>
    <x v="0"/>
    <x v="1"/>
    <x v="2"/>
    <x v="4"/>
    <x v="13"/>
  </r>
  <r>
    <n v="44"/>
    <x v="38"/>
    <s v="CUST044"/>
    <x v="1"/>
    <n v="22"/>
    <x v="2"/>
    <x v="1"/>
    <x v="2"/>
    <x v="3"/>
    <x v="16"/>
  </r>
  <r>
    <n v="45"/>
    <x v="39"/>
    <s v="CUST045"/>
    <x v="1"/>
    <n v="55"/>
    <x v="0"/>
    <x v="2"/>
    <x v="2"/>
    <x v="2"/>
    <x v="2"/>
  </r>
  <r>
    <n v="46"/>
    <x v="40"/>
    <s v="CUST046"/>
    <x v="1"/>
    <n v="20"/>
    <x v="2"/>
    <x v="2"/>
    <x v="3"/>
    <x v="4"/>
    <x v="14"/>
  </r>
  <r>
    <n v="47"/>
    <x v="41"/>
    <s v="CUST047"/>
    <x v="1"/>
    <n v="40"/>
    <x v="0"/>
    <x v="0"/>
    <x v="0"/>
    <x v="1"/>
    <x v="9"/>
  </r>
  <r>
    <n v="48"/>
    <x v="42"/>
    <s v="CUST048"/>
    <x v="0"/>
    <n v="54"/>
    <x v="0"/>
    <x v="2"/>
    <x v="0"/>
    <x v="4"/>
    <x v="12"/>
  </r>
  <r>
    <n v="49"/>
    <x v="43"/>
    <s v="CUST049"/>
    <x v="1"/>
    <n v="54"/>
    <x v="0"/>
    <x v="2"/>
    <x v="1"/>
    <x v="1"/>
    <x v="1"/>
  </r>
  <r>
    <n v="50"/>
    <x v="44"/>
    <s v="CUST050"/>
    <x v="1"/>
    <n v="27"/>
    <x v="0"/>
    <x v="0"/>
    <x v="0"/>
    <x v="3"/>
    <x v="8"/>
  </r>
  <r>
    <n v="51"/>
    <x v="45"/>
    <s v="CUST051"/>
    <x v="0"/>
    <n v="27"/>
    <x v="0"/>
    <x v="0"/>
    <x v="0"/>
    <x v="3"/>
    <x v="8"/>
  </r>
  <r>
    <n v="52"/>
    <x v="46"/>
    <s v="CUST052"/>
    <x v="1"/>
    <n v="36"/>
    <x v="0"/>
    <x v="0"/>
    <x v="2"/>
    <x v="4"/>
    <x v="13"/>
  </r>
  <r>
    <n v="53"/>
    <x v="47"/>
    <s v="CUST053"/>
    <x v="0"/>
    <n v="34"/>
    <x v="0"/>
    <x v="2"/>
    <x v="1"/>
    <x v="0"/>
    <x v="4"/>
  </r>
  <r>
    <n v="54"/>
    <x v="48"/>
    <s v="CUST054"/>
    <x v="1"/>
    <n v="38"/>
    <x v="0"/>
    <x v="2"/>
    <x v="0"/>
    <x v="1"/>
    <x v="9"/>
  </r>
  <r>
    <n v="55"/>
    <x v="49"/>
    <s v="CUST055"/>
    <x v="0"/>
    <n v="31"/>
    <x v="0"/>
    <x v="0"/>
    <x v="3"/>
    <x v="2"/>
    <x v="10"/>
  </r>
  <r>
    <n v="56"/>
    <x v="50"/>
    <s v="CUST056"/>
    <x v="1"/>
    <n v="26"/>
    <x v="0"/>
    <x v="1"/>
    <x v="0"/>
    <x v="4"/>
    <x v="12"/>
  </r>
  <r>
    <n v="57"/>
    <x v="51"/>
    <s v="CUST057"/>
    <x v="1"/>
    <n v="63"/>
    <x v="1"/>
    <x v="0"/>
    <x v="2"/>
    <x v="2"/>
    <x v="2"/>
  </r>
  <r>
    <n v="58"/>
    <x v="52"/>
    <s v="CUST058"/>
    <x v="0"/>
    <n v="18"/>
    <x v="2"/>
    <x v="1"/>
    <x v="3"/>
    <x v="4"/>
    <x v="14"/>
  </r>
  <r>
    <n v="59"/>
    <x v="53"/>
    <s v="CUST059"/>
    <x v="0"/>
    <n v="62"/>
    <x v="1"/>
    <x v="1"/>
    <x v="2"/>
    <x v="0"/>
    <x v="5"/>
  </r>
  <r>
    <n v="60"/>
    <x v="54"/>
    <s v="CUST060"/>
    <x v="0"/>
    <n v="30"/>
    <x v="0"/>
    <x v="0"/>
    <x v="0"/>
    <x v="0"/>
    <x v="0"/>
  </r>
  <r>
    <n v="61"/>
    <x v="55"/>
    <s v="CUST061"/>
    <x v="0"/>
    <n v="21"/>
    <x v="2"/>
    <x v="0"/>
    <x v="3"/>
    <x v="0"/>
    <x v="7"/>
  </r>
  <r>
    <n v="62"/>
    <x v="56"/>
    <s v="CUST062"/>
    <x v="0"/>
    <n v="18"/>
    <x v="2"/>
    <x v="0"/>
    <x v="1"/>
    <x v="0"/>
    <x v="4"/>
  </r>
  <r>
    <n v="63"/>
    <x v="57"/>
    <s v="CUST063"/>
    <x v="0"/>
    <n v="57"/>
    <x v="1"/>
    <x v="2"/>
    <x v="1"/>
    <x v="3"/>
    <x v="5"/>
  </r>
  <r>
    <n v="64"/>
    <x v="58"/>
    <s v="CUST064"/>
    <x v="0"/>
    <n v="49"/>
    <x v="0"/>
    <x v="1"/>
    <x v="3"/>
    <x v="3"/>
    <x v="4"/>
  </r>
  <r>
    <n v="65"/>
    <x v="59"/>
    <s v="CUST065"/>
    <x v="0"/>
    <n v="51"/>
    <x v="0"/>
    <x v="2"/>
    <x v="3"/>
    <x v="1"/>
    <x v="11"/>
  </r>
  <r>
    <n v="66"/>
    <x v="60"/>
    <s v="CUST066"/>
    <x v="1"/>
    <n v="45"/>
    <x v="0"/>
    <x v="2"/>
    <x v="2"/>
    <x v="2"/>
    <x v="2"/>
  </r>
  <r>
    <n v="67"/>
    <x v="61"/>
    <s v="CUST067"/>
    <x v="1"/>
    <n v="48"/>
    <x v="0"/>
    <x v="0"/>
    <x v="3"/>
    <x v="4"/>
    <x v="14"/>
  </r>
  <r>
    <n v="68"/>
    <x v="48"/>
    <s v="CUST068"/>
    <x v="0"/>
    <n v="25"/>
    <x v="2"/>
    <x v="2"/>
    <x v="2"/>
    <x v="4"/>
    <x v="13"/>
  </r>
  <r>
    <n v="69"/>
    <x v="17"/>
    <s v="CUST069"/>
    <x v="1"/>
    <n v="56"/>
    <x v="1"/>
    <x v="0"/>
    <x v="0"/>
    <x v="3"/>
    <x v="8"/>
  </r>
  <r>
    <n v="70"/>
    <x v="62"/>
    <s v="CUST070"/>
    <x v="1"/>
    <n v="43"/>
    <x v="0"/>
    <x v="1"/>
    <x v="2"/>
    <x v="4"/>
    <x v="13"/>
  </r>
  <r>
    <n v="71"/>
    <x v="37"/>
    <s v="CUST071"/>
    <x v="1"/>
    <n v="51"/>
    <x v="0"/>
    <x v="0"/>
    <x v="3"/>
    <x v="3"/>
    <x v="4"/>
  </r>
  <r>
    <n v="72"/>
    <x v="29"/>
    <s v="CUST072"/>
    <x v="1"/>
    <n v="20"/>
    <x v="2"/>
    <x v="2"/>
    <x v="3"/>
    <x v="1"/>
    <x v="11"/>
  </r>
  <r>
    <n v="73"/>
    <x v="63"/>
    <s v="CUST073"/>
    <x v="0"/>
    <n v="29"/>
    <x v="0"/>
    <x v="2"/>
    <x v="0"/>
    <x v="2"/>
    <x v="15"/>
  </r>
  <r>
    <n v="74"/>
    <x v="64"/>
    <s v="CUST074"/>
    <x v="1"/>
    <n v="18"/>
    <x v="2"/>
    <x v="0"/>
    <x v="3"/>
    <x v="1"/>
    <x v="11"/>
  </r>
  <r>
    <n v="75"/>
    <x v="65"/>
    <s v="CUST075"/>
    <x v="0"/>
    <n v="61"/>
    <x v="1"/>
    <x v="0"/>
    <x v="3"/>
    <x v="0"/>
    <x v="7"/>
  </r>
  <r>
    <n v="76"/>
    <x v="66"/>
    <s v="CUST076"/>
    <x v="1"/>
    <n v="22"/>
    <x v="2"/>
    <x v="2"/>
    <x v="1"/>
    <x v="0"/>
    <x v="4"/>
  </r>
  <r>
    <n v="77"/>
    <x v="67"/>
    <s v="CUST077"/>
    <x v="1"/>
    <n v="47"/>
    <x v="0"/>
    <x v="1"/>
    <x v="1"/>
    <x v="0"/>
    <x v="4"/>
  </r>
  <r>
    <n v="78"/>
    <x v="68"/>
    <s v="CUST078"/>
    <x v="1"/>
    <n v="47"/>
    <x v="0"/>
    <x v="1"/>
    <x v="0"/>
    <x v="1"/>
    <x v="9"/>
  </r>
  <r>
    <n v="79"/>
    <x v="69"/>
    <s v="CUST079"/>
    <x v="0"/>
    <n v="34"/>
    <x v="0"/>
    <x v="0"/>
    <x v="2"/>
    <x v="4"/>
    <x v="13"/>
  </r>
  <r>
    <n v="80"/>
    <x v="70"/>
    <s v="CUST080"/>
    <x v="1"/>
    <n v="64"/>
    <x v="1"/>
    <x v="1"/>
    <x v="1"/>
    <x v="2"/>
    <x v="17"/>
  </r>
  <r>
    <n v="81"/>
    <x v="71"/>
    <s v="CUST081"/>
    <x v="0"/>
    <n v="40"/>
    <x v="0"/>
    <x v="2"/>
    <x v="2"/>
    <x v="0"/>
    <x v="5"/>
  </r>
  <r>
    <n v="82"/>
    <x v="24"/>
    <s v="CUST082"/>
    <x v="1"/>
    <n v="32"/>
    <x v="0"/>
    <x v="0"/>
    <x v="3"/>
    <x v="0"/>
    <x v="7"/>
  </r>
  <r>
    <n v="83"/>
    <x v="72"/>
    <s v="CUST083"/>
    <x v="0"/>
    <n v="54"/>
    <x v="0"/>
    <x v="2"/>
    <x v="1"/>
    <x v="0"/>
    <x v="4"/>
  </r>
  <r>
    <n v="84"/>
    <x v="73"/>
    <s v="CUST084"/>
    <x v="1"/>
    <n v="38"/>
    <x v="0"/>
    <x v="2"/>
    <x v="0"/>
    <x v="2"/>
    <x v="15"/>
  </r>
  <r>
    <n v="85"/>
    <x v="74"/>
    <s v="CUST085"/>
    <x v="0"/>
    <n v="31"/>
    <x v="0"/>
    <x v="1"/>
    <x v="0"/>
    <x v="0"/>
    <x v="0"/>
  </r>
  <r>
    <n v="86"/>
    <x v="75"/>
    <s v="CUST086"/>
    <x v="0"/>
    <n v="19"/>
    <x v="2"/>
    <x v="0"/>
    <x v="0"/>
    <x v="2"/>
    <x v="15"/>
  </r>
  <r>
    <n v="87"/>
    <x v="64"/>
    <s v="CUST087"/>
    <x v="1"/>
    <n v="28"/>
    <x v="0"/>
    <x v="0"/>
    <x v="1"/>
    <x v="0"/>
    <x v="4"/>
  </r>
  <r>
    <n v="88"/>
    <x v="76"/>
    <s v="CUST088"/>
    <x v="0"/>
    <n v="56"/>
    <x v="1"/>
    <x v="1"/>
    <x v="2"/>
    <x v="1"/>
    <x v="3"/>
  </r>
  <r>
    <n v="89"/>
    <x v="77"/>
    <s v="CUST089"/>
    <x v="1"/>
    <n v="55"/>
    <x v="0"/>
    <x v="2"/>
    <x v="3"/>
    <x v="1"/>
    <x v="11"/>
  </r>
  <r>
    <n v="90"/>
    <x v="4"/>
    <s v="CUST090"/>
    <x v="1"/>
    <n v="51"/>
    <x v="0"/>
    <x v="2"/>
    <x v="2"/>
    <x v="2"/>
    <x v="2"/>
  </r>
  <r>
    <n v="91"/>
    <x v="66"/>
    <s v="CUST091"/>
    <x v="1"/>
    <n v="55"/>
    <x v="0"/>
    <x v="2"/>
    <x v="2"/>
    <x v="1"/>
    <x v="3"/>
  </r>
  <r>
    <n v="92"/>
    <x v="78"/>
    <s v="CUST092"/>
    <x v="1"/>
    <n v="51"/>
    <x v="0"/>
    <x v="2"/>
    <x v="3"/>
    <x v="2"/>
    <x v="10"/>
  </r>
  <r>
    <n v="93"/>
    <x v="37"/>
    <s v="CUST093"/>
    <x v="1"/>
    <n v="35"/>
    <x v="0"/>
    <x v="0"/>
    <x v="3"/>
    <x v="1"/>
    <x v="11"/>
  </r>
  <r>
    <n v="94"/>
    <x v="79"/>
    <s v="CUST094"/>
    <x v="1"/>
    <n v="47"/>
    <x v="0"/>
    <x v="0"/>
    <x v="1"/>
    <x v="1"/>
    <x v="1"/>
  </r>
  <r>
    <n v="95"/>
    <x v="0"/>
    <s v="CUST095"/>
    <x v="1"/>
    <n v="32"/>
    <x v="0"/>
    <x v="1"/>
    <x v="1"/>
    <x v="2"/>
    <x v="17"/>
  </r>
  <r>
    <n v="96"/>
    <x v="80"/>
    <s v="CUST096"/>
    <x v="1"/>
    <n v="44"/>
    <x v="0"/>
    <x v="1"/>
    <x v="1"/>
    <x v="4"/>
    <x v="6"/>
  </r>
  <r>
    <n v="97"/>
    <x v="81"/>
    <s v="CUST097"/>
    <x v="1"/>
    <n v="51"/>
    <x v="0"/>
    <x v="0"/>
    <x v="1"/>
    <x v="1"/>
    <x v="1"/>
  </r>
  <r>
    <n v="98"/>
    <x v="26"/>
    <s v="CUST098"/>
    <x v="1"/>
    <n v="55"/>
    <x v="0"/>
    <x v="0"/>
    <x v="1"/>
    <x v="0"/>
    <x v="4"/>
  </r>
  <r>
    <n v="99"/>
    <x v="82"/>
    <s v="CUST099"/>
    <x v="1"/>
    <n v="50"/>
    <x v="0"/>
    <x v="2"/>
    <x v="3"/>
    <x v="4"/>
    <x v="14"/>
  </r>
  <r>
    <n v="100"/>
    <x v="83"/>
    <s v="CUST100"/>
    <x v="0"/>
    <n v="41"/>
    <x v="0"/>
    <x v="2"/>
    <x v="2"/>
    <x v="2"/>
    <x v="2"/>
  </r>
  <r>
    <n v="101"/>
    <x v="84"/>
    <s v="CUST101"/>
    <x v="0"/>
    <n v="32"/>
    <x v="0"/>
    <x v="1"/>
    <x v="1"/>
    <x v="4"/>
    <x v="6"/>
  </r>
  <r>
    <n v="102"/>
    <x v="85"/>
    <s v="CUST102"/>
    <x v="1"/>
    <n v="47"/>
    <x v="0"/>
    <x v="0"/>
    <x v="1"/>
    <x v="3"/>
    <x v="5"/>
  </r>
  <r>
    <n v="103"/>
    <x v="13"/>
    <s v="CUST103"/>
    <x v="1"/>
    <n v="59"/>
    <x v="1"/>
    <x v="1"/>
    <x v="2"/>
    <x v="3"/>
    <x v="16"/>
  </r>
  <r>
    <n v="104"/>
    <x v="86"/>
    <s v="CUST104"/>
    <x v="1"/>
    <n v="34"/>
    <x v="0"/>
    <x v="0"/>
    <x v="1"/>
    <x v="1"/>
    <x v="1"/>
  </r>
  <r>
    <n v="105"/>
    <x v="87"/>
    <s v="CUST105"/>
    <x v="1"/>
    <n v="22"/>
    <x v="2"/>
    <x v="2"/>
    <x v="2"/>
    <x v="1"/>
    <x v="3"/>
  </r>
  <r>
    <n v="106"/>
    <x v="88"/>
    <s v="CUST106"/>
    <x v="1"/>
    <n v="46"/>
    <x v="0"/>
    <x v="1"/>
    <x v="2"/>
    <x v="0"/>
    <x v="5"/>
  </r>
  <r>
    <n v="107"/>
    <x v="89"/>
    <s v="CUST107"/>
    <x v="1"/>
    <n v="21"/>
    <x v="2"/>
    <x v="1"/>
    <x v="3"/>
    <x v="4"/>
    <x v="14"/>
  </r>
  <r>
    <n v="108"/>
    <x v="90"/>
    <s v="CUST108"/>
    <x v="1"/>
    <n v="27"/>
    <x v="0"/>
    <x v="0"/>
    <x v="0"/>
    <x v="3"/>
    <x v="8"/>
  </r>
  <r>
    <n v="109"/>
    <x v="91"/>
    <s v="CUST109"/>
    <x v="1"/>
    <n v="34"/>
    <x v="0"/>
    <x v="2"/>
    <x v="3"/>
    <x v="1"/>
    <x v="11"/>
  </r>
  <r>
    <n v="110"/>
    <x v="86"/>
    <s v="CUST110"/>
    <x v="0"/>
    <n v="27"/>
    <x v="0"/>
    <x v="1"/>
    <x v="0"/>
    <x v="4"/>
    <x v="12"/>
  </r>
  <r>
    <n v="111"/>
    <x v="90"/>
    <s v="CUST111"/>
    <x v="1"/>
    <n v="34"/>
    <x v="0"/>
    <x v="2"/>
    <x v="0"/>
    <x v="1"/>
    <x v="9"/>
  </r>
  <r>
    <n v="112"/>
    <x v="92"/>
    <s v="CUST112"/>
    <x v="0"/>
    <n v="37"/>
    <x v="0"/>
    <x v="1"/>
    <x v="0"/>
    <x v="1"/>
    <x v="9"/>
  </r>
  <r>
    <n v="113"/>
    <x v="93"/>
    <s v="CUST113"/>
    <x v="1"/>
    <n v="41"/>
    <x v="0"/>
    <x v="2"/>
    <x v="1"/>
    <x v="3"/>
    <x v="5"/>
  </r>
  <r>
    <n v="114"/>
    <x v="94"/>
    <s v="CUST114"/>
    <x v="1"/>
    <n v="22"/>
    <x v="2"/>
    <x v="0"/>
    <x v="3"/>
    <x v="3"/>
    <x v="4"/>
  </r>
  <r>
    <n v="115"/>
    <x v="95"/>
    <s v="CUST115"/>
    <x v="0"/>
    <n v="51"/>
    <x v="0"/>
    <x v="1"/>
    <x v="0"/>
    <x v="1"/>
    <x v="9"/>
  </r>
  <r>
    <n v="116"/>
    <x v="96"/>
    <s v="CUST116"/>
    <x v="1"/>
    <n v="23"/>
    <x v="2"/>
    <x v="1"/>
    <x v="2"/>
    <x v="2"/>
    <x v="2"/>
  </r>
  <r>
    <n v="117"/>
    <x v="97"/>
    <s v="CUST117"/>
    <x v="0"/>
    <n v="19"/>
    <x v="2"/>
    <x v="2"/>
    <x v="1"/>
    <x v="1"/>
    <x v="1"/>
  </r>
  <r>
    <n v="118"/>
    <x v="42"/>
    <s v="CUST118"/>
    <x v="1"/>
    <n v="30"/>
    <x v="0"/>
    <x v="2"/>
    <x v="3"/>
    <x v="1"/>
    <x v="11"/>
  </r>
  <r>
    <n v="119"/>
    <x v="6"/>
    <s v="CUST119"/>
    <x v="1"/>
    <n v="60"/>
    <x v="1"/>
    <x v="1"/>
    <x v="0"/>
    <x v="0"/>
    <x v="0"/>
  </r>
  <r>
    <n v="120"/>
    <x v="98"/>
    <s v="CUST120"/>
    <x v="0"/>
    <n v="60"/>
    <x v="1"/>
    <x v="0"/>
    <x v="2"/>
    <x v="0"/>
    <x v="5"/>
  </r>
  <r>
    <n v="121"/>
    <x v="21"/>
    <s v="CUST121"/>
    <x v="1"/>
    <n v="28"/>
    <x v="0"/>
    <x v="2"/>
    <x v="3"/>
    <x v="0"/>
    <x v="7"/>
  </r>
  <r>
    <n v="122"/>
    <x v="99"/>
    <s v="CUST122"/>
    <x v="0"/>
    <n v="64"/>
    <x v="1"/>
    <x v="2"/>
    <x v="3"/>
    <x v="2"/>
    <x v="10"/>
  </r>
  <r>
    <n v="123"/>
    <x v="100"/>
    <s v="CUST123"/>
    <x v="1"/>
    <n v="40"/>
    <x v="0"/>
    <x v="2"/>
    <x v="1"/>
    <x v="2"/>
    <x v="17"/>
  </r>
  <r>
    <n v="124"/>
    <x v="101"/>
    <s v="CUST124"/>
    <x v="0"/>
    <n v="33"/>
    <x v="0"/>
    <x v="1"/>
    <x v="3"/>
    <x v="1"/>
    <x v="11"/>
  </r>
  <r>
    <n v="125"/>
    <x v="102"/>
    <s v="CUST125"/>
    <x v="0"/>
    <n v="48"/>
    <x v="0"/>
    <x v="1"/>
    <x v="1"/>
    <x v="0"/>
    <x v="4"/>
  </r>
  <r>
    <n v="126"/>
    <x v="103"/>
    <s v="CUST126"/>
    <x v="1"/>
    <n v="28"/>
    <x v="0"/>
    <x v="1"/>
    <x v="0"/>
    <x v="2"/>
    <x v="15"/>
  </r>
  <r>
    <n v="127"/>
    <x v="104"/>
    <s v="CUST127"/>
    <x v="1"/>
    <n v="33"/>
    <x v="0"/>
    <x v="1"/>
    <x v="1"/>
    <x v="3"/>
    <x v="5"/>
  </r>
  <r>
    <n v="128"/>
    <x v="53"/>
    <s v="CUST128"/>
    <x v="0"/>
    <n v="25"/>
    <x v="2"/>
    <x v="0"/>
    <x v="2"/>
    <x v="1"/>
    <x v="3"/>
  </r>
  <r>
    <n v="129"/>
    <x v="26"/>
    <s v="CUST129"/>
    <x v="1"/>
    <n v="21"/>
    <x v="2"/>
    <x v="0"/>
    <x v="1"/>
    <x v="4"/>
    <x v="6"/>
  </r>
  <r>
    <n v="130"/>
    <x v="105"/>
    <s v="CUST130"/>
    <x v="1"/>
    <n v="57"/>
    <x v="1"/>
    <x v="1"/>
    <x v="2"/>
    <x v="1"/>
    <x v="3"/>
  </r>
  <r>
    <n v="131"/>
    <x v="106"/>
    <s v="CUST131"/>
    <x v="1"/>
    <n v="21"/>
    <x v="2"/>
    <x v="0"/>
    <x v="1"/>
    <x v="4"/>
    <x v="6"/>
  </r>
  <r>
    <n v="132"/>
    <x v="107"/>
    <s v="CUST132"/>
    <x v="0"/>
    <n v="42"/>
    <x v="0"/>
    <x v="2"/>
    <x v="3"/>
    <x v="0"/>
    <x v="7"/>
  </r>
  <r>
    <n v="133"/>
    <x v="108"/>
    <s v="CUST133"/>
    <x v="0"/>
    <n v="20"/>
    <x v="2"/>
    <x v="2"/>
    <x v="0"/>
    <x v="4"/>
    <x v="12"/>
  </r>
  <r>
    <n v="134"/>
    <x v="109"/>
    <s v="CUST134"/>
    <x v="0"/>
    <n v="49"/>
    <x v="0"/>
    <x v="2"/>
    <x v="2"/>
    <x v="0"/>
    <x v="5"/>
  </r>
  <r>
    <n v="135"/>
    <x v="110"/>
    <s v="CUST135"/>
    <x v="0"/>
    <n v="20"/>
    <x v="2"/>
    <x v="1"/>
    <x v="1"/>
    <x v="3"/>
    <x v="5"/>
  </r>
  <r>
    <n v="136"/>
    <x v="111"/>
    <s v="CUST136"/>
    <x v="0"/>
    <n v="44"/>
    <x v="0"/>
    <x v="2"/>
    <x v="1"/>
    <x v="4"/>
    <x v="6"/>
  </r>
  <r>
    <n v="137"/>
    <x v="51"/>
    <s v="CUST137"/>
    <x v="0"/>
    <n v="46"/>
    <x v="0"/>
    <x v="0"/>
    <x v="1"/>
    <x v="1"/>
    <x v="1"/>
  </r>
  <r>
    <n v="138"/>
    <x v="31"/>
    <s v="CUST138"/>
    <x v="0"/>
    <n v="49"/>
    <x v="0"/>
    <x v="1"/>
    <x v="3"/>
    <x v="0"/>
    <x v="7"/>
  </r>
  <r>
    <n v="139"/>
    <x v="112"/>
    <s v="CUST139"/>
    <x v="0"/>
    <n v="36"/>
    <x v="0"/>
    <x v="0"/>
    <x v="3"/>
    <x v="1"/>
    <x v="11"/>
  </r>
  <r>
    <n v="140"/>
    <x v="12"/>
    <s v="CUST140"/>
    <x v="0"/>
    <n v="38"/>
    <x v="0"/>
    <x v="2"/>
    <x v="2"/>
    <x v="2"/>
    <x v="2"/>
  </r>
  <r>
    <n v="141"/>
    <x v="113"/>
    <s v="CUST141"/>
    <x v="1"/>
    <n v="22"/>
    <x v="2"/>
    <x v="2"/>
    <x v="2"/>
    <x v="0"/>
    <x v="5"/>
  </r>
  <r>
    <n v="142"/>
    <x v="114"/>
    <s v="CUST142"/>
    <x v="0"/>
    <n v="35"/>
    <x v="0"/>
    <x v="2"/>
    <x v="3"/>
    <x v="4"/>
    <x v="14"/>
  </r>
  <r>
    <n v="143"/>
    <x v="115"/>
    <s v="CUST143"/>
    <x v="1"/>
    <n v="45"/>
    <x v="0"/>
    <x v="1"/>
    <x v="2"/>
    <x v="0"/>
    <x v="5"/>
  </r>
  <r>
    <n v="144"/>
    <x v="116"/>
    <s v="CUST144"/>
    <x v="1"/>
    <n v="59"/>
    <x v="1"/>
    <x v="0"/>
    <x v="0"/>
    <x v="1"/>
    <x v="9"/>
  </r>
  <r>
    <n v="145"/>
    <x v="113"/>
    <s v="CUST145"/>
    <x v="1"/>
    <n v="39"/>
    <x v="0"/>
    <x v="1"/>
    <x v="0"/>
    <x v="3"/>
    <x v="8"/>
  </r>
  <r>
    <n v="146"/>
    <x v="117"/>
    <s v="CUST146"/>
    <x v="0"/>
    <n v="38"/>
    <x v="0"/>
    <x v="1"/>
    <x v="3"/>
    <x v="0"/>
    <x v="7"/>
  </r>
  <r>
    <n v="147"/>
    <x v="118"/>
    <s v="CUST147"/>
    <x v="0"/>
    <n v="23"/>
    <x v="2"/>
    <x v="2"/>
    <x v="2"/>
    <x v="4"/>
    <x v="13"/>
  </r>
  <r>
    <n v="148"/>
    <x v="119"/>
    <s v="CUST148"/>
    <x v="0"/>
    <n v="18"/>
    <x v="2"/>
    <x v="1"/>
    <x v="1"/>
    <x v="2"/>
    <x v="17"/>
  </r>
  <r>
    <n v="149"/>
    <x v="120"/>
    <s v="CUST149"/>
    <x v="0"/>
    <n v="22"/>
    <x v="2"/>
    <x v="1"/>
    <x v="0"/>
    <x v="3"/>
    <x v="8"/>
  </r>
  <r>
    <n v="150"/>
    <x v="121"/>
    <s v="CUST150"/>
    <x v="1"/>
    <n v="58"/>
    <x v="1"/>
    <x v="2"/>
    <x v="3"/>
    <x v="2"/>
    <x v="10"/>
  </r>
  <r>
    <n v="151"/>
    <x v="112"/>
    <s v="CUST151"/>
    <x v="0"/>
    <n v="29"/>
    <x v="0"/>
    <x v="1"/>
    <x v="2"/>
    <x v="0"/>
    <x v="5"/>
  </r>
  <r>
    <n v="152"/>
    <x v="122"/>
    <s v="CUST152"/>
    <x v="0"/>
    <n v="43"/>
    <x v="0"/>
    <x v="2"/>
    <x v="3"/>
    <x v="1"/>
    <x v="11"/>
  </r>
  <r>
    <n v="153"/>
    <x v="72"/>
    <s v="CUST153"/>
    <x v="0"/>
    <n v="63"/>
    <x v="1"/>
    <x v="2"/>
    <x v="1"/>
    <x v="1"/>
    <x v="1"/>
  </r>
  <r>
    <n v="154"/>
    <x v="45"/>
    <s v="CUST154"/>
    <x v="0"/>
    <n v="51"/>
    <x v="0"/>
    <x v="2"/>
    <x v="0"/>
    <x v="4"/>
    <x v="12"/>
  </r>
  <r>
    <n v="155"/>
    <x v="71"/>
    <s v="CUST155"/>
    <x v="0"/>
    <n v="31"/>
    <x v="0"/>
    <x v="2"/>
    <x v="3"/>
    <x v="1"/>
    <x v="11"/>
  </r>
  <r>
    <n v="156"/>
    <x v="123"/>
    <s v="CUST156"/>
    <x v="1"/>
    <n v="43"/>
    <x v="0"/>
    <x v="1"/>
    <x v="3"/>
    <x v="3"/>
    <x v="4"/>
  </r>
  <r>
    <n v="157"/>
    <x v="33"/>
    <s v="CUST157"/>
    <x v="0"/>
    <n v="62"/>
    <x v="1"/>
    <x v="2"/>
    <x v="3"/>
    <x v="1"/>
    <x v="11"/>
  </r>
  <r>
    <n v="158"/>
    <x v="1"/>
    <s v="CUST158"/>
    <x v="1"/>
    <n v="44"/>
    <x v="0"/>
    <x v="2"/>
    <x v="1"/>
    <x v="4"/>
    <x v="6"/>
  </r>
  <r>
    <n v="159"/>
    <x v="50"/>
    <s v="CUST159"/>
    <x v="0"/>
    <n v="26"/>
    <x v="0"/>
    <x v="1"/>
    <x v="3"/>
    <x v="0"/>
    <x v="7"/>
  </r>
  <r>
    <n v="160"/>
    <x v="124"/>
    <s v="CUST160"/>
    <x v="1"/>
    <n v="43"/>
    <x v="0"/>
    <x v="1"/>
    <x v="1"/>
    <x v="0"/>
    <x v="4"/>
  </r>
  <r>
    <n v="161"/>
    <x v="125"/>
    <s v="CUST161"/>
    <x v="0"/>
    <n v="64"/>
    <x v="1"/>
    <x v="0"/>
    <x v="1"/>
    <x v="1"/>
    <x v="1"/>
  </r>
  <r>
    <n v="162"/>
    <x v="63"/>
    <s v="CUST162"/>
    <x v="0"/>
    <n v="39"/>
    <x v="0"/>
    <x v="1"/>
    <x v="1"/>
    <x v="2"/>
    <x v="17"/>
  </r>
  <r>
    <n v="163"/>
    <x v="126"/>
    <s v="CUST163"/>
    <x v="1"/>
    <n v="64"/>
    <x v="1"/>
    <x v="1"/>
    <x v="0"/>
    <x v="0"/>
    <x v="0"/>
  </r>
  <r>
    <n v="164"/>
    <x v="100"/>
    <s v="CUST164"/>
    <x v="1"/>
    <n v="47"/>
    <x v="0"/>
    <x v="0"/>
    <x v="0"/>
    <x v="1"/>
    <x v="9"/>
  </r>
  <r>
    <n v="165"/>
    <x v="127"/>
    <s v="CUST165"/>
    <x v="1"/>
    <n v="60"/>
    <x v="1"/>
    <x v="1"/>
    <x v="3"/>
    <x v="4"/>
    <x v="14"/>
  </r>
  <r>
    <n v="166"/>
    <x v="128"/>
    <s v="CUST166"/>
    <x v="0"/>
    <n v="34"/>
    <x v="0"/>
    <x v="1"/>
    <x v="3"/>
    <x v="1"/>
    <x v="11"/>
  </r>
  <r>
    <n v="167"/>
    <x v="129"/>
    <s v="CUST167"/>
    <x v="1"/>
    <n v="43"/>
    <x v="0"/>
    <x v="1"/>
    <x v="0"/>
    <x v="0"/>
    <x v="0"/>
  </r>
  <r>
    <n v="168"/>
    <x v="130"/>
    <s v="CUST168"/>
    <x v="0"/>
    <n v="53"/>
    <x v="0"/>
    <x v="1"/>
    <x v="2"/>
    <x v="4"/>
    <x v="13"/>
  </r>
  <r>
    <n v="169"/>
    <x v="131"/>
    <s v="CUST169"/>
    <x v="0"/>
    <n v="18"/>
    <x v="2"/>
    <x v="0"/>
    <x v="0"/>
    <x v="1"/>
    <x v="9"/>
  </r>
  <r>
    <n v="170"/>
    <x v="132"/>
    <s v="CUST170"/>
    <x v="1"/>
    <n v="25"/>
    <x v="2"/>
    <x v="1"/>
    <x v="1"/>
    <x v="3"/>
    <x v="5"/>
  </r>
  <r>
    <n v="171"/>
    <x v="0"/>
    <s v="CUST171"/>
    <x v="1"/>
    <n v="52"/>
    <x v="0"/>
    <x v="1"/>
    <x v="0"/>
    <x v="4"/>
    <x v="12"/>
  </r>
  <r>
    <n v="172"/>
    <x v="129"/>
    <s v="CUST172"/>
    <x v="0"/>
    <n v="32"/>
    <x v="0"/>
    <x v="0"/>
    <x v="1"/>
    <x v="3"/>
    <x v="5"/>
  </r>
  <r>
    <n v="173"/>
    <x v="75"/>
    <s v="CUST173"/>
    <x v="0"/>
    <n v="64"/>
    <x v="1"/>
    <x v="2"/>
    <x v="3"/>
    <x v="2"/>
    <x v="10"/>
  </r>
  <r>
    <n v="174"/>
    <x v="22"/>
    <s v="CUST174"/>
    <x v="1"/>
    <n v="39"/>
    <x v="0"/>
    <x v="0"/>
    <x v="2"/>
    <x v="4"/>
    <x v="13"/>
  </r>
  <r>
    <n v="175"/>
    <x v="111"/>
    <s v="CUST175"/>
    <x v="1"/>
    <n v="31"/>
    <x v="0"/>
    <x v="2"/>
    <x v="3"/>
    <x v="3"/>
    <x v="4"/>
  </r>
  <r>
    <n v="176"/>
    <x v="133"/>
    <s v="CUST176"/>
    <x v="1"/>
    <n v="43"/>
    <x v="0"/>
    <x v="0"/>
    <x v="1"/>
    <x v="0"/>
    <x v="4"/>
  </r>
  <r>
    <n v="177"/>
    <x v="134"/>
    <s v="CUST177"/>
    <x v="0"/>
    <n v="45"/>
    <x v="0"/>
    <x v="0"/>
    <x v="1"/>
    <x v="0"/>
    <x v="4"/>
  </r>
  <r>
    <n v="178"/>
    <x v="135"/>
    <s v="CUST178"/>
    <x v="0"/>
    <n v="40"/>
    <x v="0"/>
    <x v="1"/>
    <x v="1"/>
    <x v="2"/>
    <x v="17"/>
  </r>
  <r>
    <n v="179"/>
    <x v="136"/>
    <s v="CUST179"/>
    <x v="0"/>
    <n v="31"/>
    <x v="0"/>
    <x v="2"/>
    <x v="2"/>
    <x v="4"/>
    <x v="13"/>
  </r>
  <r>
    <n v="180"/>
    <x v="137"/>
    <s v="CUST180"/>
    <x v="0"/>
    <n v="41"/>
    <x v="0"/>
    <x v="1"/>
    <x v="0"/>
    <x v="4"/>
    <x v="12"/>
  </r>
  <r>
    <n v="181"/>
    <x v="138"/>
    <s v="CUST181"/>
    <x v="0"/>
    <n v="19"/>
    <x v="2"/>
    <x v="2"/>
    <x v="3"/>
    <x v="4"/>
    <x v="14"/>
  </r>
  <r>
    <n v="182"/>
    <x v="139"/>
    <s v="CUST182"/>
    <x v="0"/>
    <n v="62"/>
    <x v="1"/>
    <x v="0"/>
    <x v="3"/>
    <x v="2"/>
    <x v="10"/>
  </r>
  <r>
    <n v="183"/>
    <x v="140"/>
    <s v="CUST183"/>
    <x v="1"/>
    <n v="43"/>
    <x v="0"/>
    <x v="0"/>
    <x v="0"/>
    <x v="4"/>
    <x v="12"/>
  </r>
  <r>
    <n v="184"/>
    <x v="141"/>
    <s v="CUST184"/>
    <x v="0"/>
    <n v="31"/>
    <x v="0"/>
    <x v="2"/>
    <x v="3"/>
    <x v="0"/>
    <x v="7"/>
  </r>
  <r>
    <n v="185"/>
    <x v="1"/>
    <s v="CUST185"/>
    <x v="0"/>
    <n v="24"/>
    <x v="2"/>
    <x v="1"/>
    <x v="2"/>
    <x v="3"/>
    <x v="16"/>
  </r>
  <r>
    <n v="186"/>
    <x v="53"/>
    <s v="CUST186"/>
    <x v="0"/>
    <n v="20"/>
    <x v="2"/>
    <x v="1"/>
    <x v="3"/>
    <x v="0"/>
    <x v="7"/>
  </r>
  <r>
    <n v="187"/>
    <x v="142"/>
    <s v="CUST187"/>
    <x v="1"/>
    <n v="64"/>
    <x v="1"/>
    <x v="1"/>
    <x v="1"/>
    <x v="0"/>
    <x v="4"/>
  </r>
  <r>
    <n v="188"/>
    <x v="143"/>
    <s v="CUST188"/>
    <x v="0"/>
    <n v="40"/>
    <x v="0"/>
    <x v="1"/>
    <x v="0"/>
    <x v="3"/>
    <x v="8"/>
  </r>
  <r>
    <n v="189"/>
    <x v="144"/>
    <s v="CUST189"/>
    <x v="0"/>
    <n v="63"/>
    <x v="1"/>
    <x v="0"/>
    <x v="2"/>
    <x v="0"/>
    <x v="5"/>
  </r>
  <r>
    <n v="190"/>
    <x v="145"/>
    <s v="CUST190"/>
    <x v="1"/>
    <n v="60"/>
    <x v="1"/>
    <x v="0"/>
    <x v="0"/>
    <x v="2"/>
    <x v="15"/>
  </r>
  <r>
    <n v="191"/>
    <x v="91"/>
    <s v="CUST191"/>
    <x v="0"/>
    <n v="64"/>
    <x v="1"/>
    <x v="0"/>
    <x v="2"/>
    <x v="3"/>
    <x v="16"/>
  </r>
  <r>
    <n v="192"/>
    <x v="48"/>
    <s v="CUST192"/>
    <x v="0"/>
    <n v="62"/>
    <x v="1"/>
    <x v="0"/>
    <x v="1"/>
    <x v="0"/>
    <x v="4"/>
  </r>
  <r>
    <n v="193"/>
    <x v="146"/>
    <s v="CUST193"/>
    <x v="0"/>
    <n v="35"/>
    <x v="0"/>
    <x v="0"/>
    <x v="0"/>
    <x v="1"/>
    <x v="9"/>
  </r>
  <r>
    <n v="194"/>
    <x v="147"/>
    <s v="CUST194"/>
    <x v="0"/>
    <n v="55"/>
    <x v="0"/>
    <x v="1"/>
    <x v="3"/>
    <x v="0"/>
    <x v="7"/>
  </r>
  <r>
    <n v="195"/>
    <x v="57"/>
    <s v="CUST195"/>
    <x v="0"/>
    <n v="52"/>
    <x v="0"/>
    <x v="1"/>
    <x v="2"/>
    <x v="2"/>
    <x v="2"/>
  </r>
  <r>
    <n v="196"/>
    <x v="148"/>
    <s v="CUST196"/>
    <x v="1"/>
    <n v="32"/>
    <x v="0"/>
    <x v="1"/>
    <x v="0"/>
    <x v="4"/>
    <x v="12"/>
  </r>
  <r>
    <n v="197"/>
    <x v="149"/>
    <s v="CUST197"/>
    <x v="1"/>
    <n v="42"/>
    <x v="0"/>
    <x v="1"/>
    <x v="3"/>
    <x v="0"/>
    <x v="7"/>
  </r>
  <r>
    <n v="198"/>
    <x v="150"/>
    <s v="CUST198"/>
    <x v="1"/>
    <n v="54"/>
    <x v="0"/>
    <x v="0"/>
    <x v="0"/>
    <x v="4"/>
    <x v="12"/>
  </r>
  <r>
    <n v="199"/>
    <x v="151"/>
    <s v="CUST199"/>
    <x v="0"/>
    <n v="45"/>
    <x v="0"/>
    <x v="0"/>
    <x v="0"/>
    <x v="1"/>
    <x v="9"/>
  </r>
  <r>
    <n v="200"/>
    <x v="152"/>
    <s v="CUST200"/>
    <x v="0"/>
    <n v="27"/>
    <x v="0"/>
    <x v="0"/>
    <x v="0"/>
    <x v="0"/>
    <x v="0"/>
  </r>
  <r>
    <n v="201"/>
    <x v="153"/>
    <s v="CUST201"/>
    <x v="0"/>
    <n v="56"/>
    <x v="1"/>
    <x v="2"/>
    <x v="2"/>
    <x v="3"/>
    <x v="16"/>
  </r>
  <r>
    <n v="202"/>
    <x v="154"/>
    <s v="CUST202"/>
    <x v="1"/>
    <n v="34"/>
    <x v="0"/>
    <x v="1"/>
    <x v="3"/>
    <x v="4"/>
    <x v="14"/>
  </r>
  <r>
    <n v="203"/>
    <x v="42"/>
    <s v="CUST203"/>
    <x v="0"/>
    <n v="56"/>
    <x v="1"/>
    <x v="1"/>
    <x v="1"/>
    <x v="1"/>
    <x v="1"/>
  </r>
  <r>
    <n v="204"/>
    <x v="118"/>
    <s v="CUST204"/>
    <x v="0"/>
    <n v="39"/>
    <x v="0"/>
    <x v="0"/>
    <x v="2"/>
    <x v="3"/>
    <x v="16"/>
  </r>
  <r>
    <n v="205"/>
    <x v="155"/>
    <s v="CUST205"/>
    <x v="1"/>
    <n v="43"/>
    <x v="0"/>
    <x v="1"/>
    <x v="2"/>
    <x v="3"/>
    <x v="16"/>
  </r>
  <r>
    <n v="206"/>
    <x v="12"/>
    <s v="CUST206"/>
    <x v="0"/>
    <n v="61"/>
    <x v="1"/>
    <x v="1"/>
    <x v="2"/>
    <x v="3"/>
    <x v="16"/>
  </r>
  <r>
    <n v="207"/>
    <x v="90"/>
    <s v="CUST207"/>
    <x v="1"/>
    <n v="42"/>
    <x v="0"/>
    <x v="0"/>
    <x v="1"/>
    <x v="3"/>
    <x v="5"/>
  </r>
  <r>
    <n v="208"/>
    <x v="135"/>
    <s v="CUST208"/>
    <x v="1"/>
    <n v="34"/>
    <x v="0"/>
    <x v="2"/>
    <x v="3"/>
    <x v="0"/>
    <x v="7"/>
  </r>
  <r>
    <n v="209"/>
    <x v="156"/>
    <s v="CUST209"/>
    <x v="1"/>
    <n v="30"/>
    <x v="0"/>
    <x v="2"/>
    <x v="3"/>
    <x v="0"/>
    <x v="7"/>
  </r>
  <r>
    <n v="210"/>
    <x v="157"/>
    <s v="CUST210"/>
    <x v="0"/>
    <n v="37"/>
    <x v="0"/>
    <x v="2"/>
    <x v="3"/>
    <x v="0"/>
    <x v="7"/>
  </r>
  <r>
    <n v="211"/>
    <x v="158"/>
    <s v="CUST211"/>
    <x v="0"/>
    <n v="42"/>
    <x v="0"/>
    <x v="0"/>
    <x v="0"/>
    <x v="1"/>
    <x v="9"/>
  </r>
  <r>
    <n v="212"/>
    <x v="159"/>
    <s v="CUST212"/>
    <x v="0"/>
    <n v="21"/>
    <x v="2"/>
    <x v="1"/>
    <x v="0"/>
    <x v="1"/>
    <x v="9"/>
  </r>
  <r>
    <n v="213"/>
    <x v="104"/>
    <s v="CUST213"/>
    <x v="0"/>
    <n v="27"/>
    <x v="0"/>
    <x v="0"/>
    <x v="0"/>
    <x v="1"/>
    <x v="9"/>
  </r>
  <r>
    <n v="214"/>
    <x v="70"/>
    <s v="CUST214"/>
    <x v="0"/>
    <n v="20"/>
    <x v="2"/>
    <x v="0"/>
    <x v="1"/>
    <x v="2"/>
    <x v="17"/>
  </r>
  <r>
    <n v="215"/>
    <x v="23"/>
    <s v="CUST215"/>
    <x v="0"/>
    <n v="58"/>
    <x v="1"/>
    <x v="1"/>
    <x v="0"/>
    <x v="1"/>
    <x v="9"/>
  </r>
  <r>
    <n v="216"/>
    <x v="133"/>
    <s v="CUST216"/>
    <x v="0"/>
    <n v="62"/>
    <x v="1"/>
    <x v="2"/>
    <x v="1"/>
    <x v="0"/>
    <x v="4"/>
  </r>
  <r>
    <n v="217"/>
    <x v="160"/>
    <s v="CUST217"/>
    <x v="1"/>
    <n v="35"/>
    <x v="0"/>
    <x v="2"/>
    <x v="3"/>
    <x v="0"/>
    <x v="7"/>
  </r>
  <r>
    <n v="218"/>
    <x v="161"/>
    <s v="CUST218"/>
    <x v="0"/>
    <n v="64"/>
    <x v="1"/>
    <x v="0"/>
    <x v="0"/>
    <x v="2"/>
    <x v="15"/>
  </r>
  <r>
    <n v="219"/>
    <x v="162"/>
    <s v="CUST219"/>
    <x v="1"/>
    <n v="53"/>
    <x v="0"/>
    <x v="2"/>
    <x v="0"/>
    <x v="2"/>
    <x v="15"/>
  </r>
  <r>
    <n v="220"/>
    <x v="163"/>
    <s v="CUST220"/>
    <x v="0"/>
    <n v="64"/>
    <x v="1"/>
    <x v="0"/>
    <x v="2"/>
    <x v="1"/>
    <x v="3"/>
  </r>
  <r>
    <n v="221"/>
    <x v="98"/>
    <s v="CUST221"/>
    <x v="0"/>
    <n v="39"/>
    <x v="0"/>
    <x v="0"/>
    <x v="1"/>
    <x v="4"/>
    <x v="6"/>
  </r>
  <r>
    <n v="222"/>
    <x v="164"/>
    <s v="CUST222"/>
    <x v="0"/>
    <n v="51"/>
    <x v="0"/>
    <x v="1"/>
    <x v="3"/>
    <x v="2"/>
    <x v="10"/>
  </r>
  <r>
    <n v="223"/>
    <x v="114"/>
    <s v="CUST223"/>
    <x v="1"/>
    <n v="64"/>
    <x v="1"/>
    <x v="1"/>
    <x v="2"/>
    <x v="3"/>
    <x v="16"/>
  </r>
  <r>
    <n v="224"/>
    <x v="165"/>
    <s v="CUST224"/>
    <x v="1"/>
    <n v="25"/>
    <x v="2"/>
    <x v="1"/>
    <x v="2"/>
    <x v="0"/>
    <x v="5"/>
  </r>
  <r>
    <n v="225"/>
    <x v="166"/>
    <s v="CUST225"/>
    <x v="1"/>
    <n v="57"/>
    <x v="1"/>
    <x v="0"/>
    <x v="3"/>
    <x v="3"/>
    <x v="4"/>
  </r>
  <r>
    <n v="226"/>
    <x v="28"/>
    <s v="CUST226"/>
    <x v="1"/>
    <n v="61"/>
    <x v="1"/>
    <x v="1"/>
    <x v="2"/>
    <x v="0"/>
    <x v="5"/>
  </r>
  <r>
    <n v="227"/>
    <x v="120"/>
    <s v="CUST227"/>
    <x v="0"/>
    <n v="36"/>
    <x v="0"/>
    <x v="2"/>
    <x v="1"/>
    <x v="0"/>
    <x v="4"/>
  </r>
  <r>
    <n v="228"/>
    <x v="85"/>
    <s v="CUST228"/>
    <x v="1"/>
    <n v="59"/>
    <x v="1"/>
    <x v="2"/>
    <x v="1"/>
    <x v="2"/>
    <x v="17"/>
  </r>
  <r>
    <n v="229"/>
    <x v="28"/>
    <s v="CUST229"/>
    <x v="0"/>
    <n v="58"/>
    <x v="1"/>
    <x v="0"/>
    <x v="0"/>
    <x v="2"/>
    <x v="15"/>
  </r>
  <r>
    <n v="230"/>
    <x v="26"/>
    <s v="CUST230"/>
    <x v="0"/>
    <n v="54"/>
    <x v="0"/>
    <x v="0"/>
    <x v="2"/>
    <x v="3"/>
    <x v="16"/>
  </r>
  <r>
    <n v="231"/>
    <x v="30"/>
    <s v="CUST231"/>
    <x v="1"/>
    <n v="23"/>
    <x v="2"/>
    <x v="1"/>
    <x v="0"/>
    <x v="0"/>
    <x v="0"/>
  </r>
  <r>
    <n v="232"/>
    <x v="74"/>
    <s v="CUST232"/>
    <x v="1"/>
    <n v="43"/>
    <x v="0"/>
    <x v="0"/>
    <x v="2"/>
    <x v="3"/>
    <x v="16"/>
  </r>
  <r>
    <n v="233"/>
    <x v="167"/>
    <s v="CUST233"/>
    <x v="1"/>
    <n v="51"/>
    <x v="0"/>
    <x v="0"/>
    <x v="1"/>
    <x v="4"/>
    <x v="6"/>
  </r>
  <r>
    <n v="234"/>
    <x v="168"/>
    <s v="CUST234"/>
    <x v="1"/>
    <n v="62"/>
    <x v="1"/>
    <x v="2"/>
    <x v="1"/>
    <x v="3"/>
    <x v="5"/>
  </r>
  <r>
    <n v="235"/>
    <x v="169"/>
    <s v="CUST235"/>
    <x v="1"/>
    <n v="23"/>
    <x v="2"/>
    <x v="2"/>
    <x v="1"/>
    <x v="1"/>
    <x v="1"/>
  </r>
  <r>
    <n v="236"/>
    <x v="85"/>
    <s v="CUST236"/>
    <x v="1"/>
    <n v="54"/>
    <x v="0"/>
    <x v="1"/>
    <x v="2"/>
    <x v="3"/>
    <x v="16"/>
  </r>
  <r>
    <n v="237"/>
    <x v="170"/>
    <s v="CUST237"/>
    <x v="1"/>
    <n v="50"/>
    <x v="0"/>
    <x v="0"/>
    <x v="1"/>
    <x v="1"/>
    <x v="1"/>
  </r>
  <r>
    <n v="238"/>
    <x v="13"/>
    <s v="CUST238"/>
    <x v="1"/>
    <n v="39"/>
    <x v="0"/>
    <x v="0"/>
    <x v="2"/>
    <x v="1"/>
    <x v="3"/>
  </r>
  <r>
    <n v="239"/>
    <x v="171"/>
    <s v="CUST239"/>
    <x v="0"/>
    <n v="38"/>
    <x v="0"/>
    <x v="2"/>
    <x v="0"/>
    <x v="1"/>
    <x v="9"/>
  </r>
  <r>
    <n v="240"/>
    <x v="74"/>
    <s v="CUST240"/>
    <x v="1"/>
    <n v="23"/>
    <x v="2"/>
    <x v="0"/>
    <x v="2"/>
    <x v="4"/>
    <x v="13"/>
  </r>
  <r>
    <n v="241"/>
    <x v="172"/>
    <s v="CUST241"/>
    <x v="1"/>
    <n v="23"/>
    <x v="2"/>
    <x v="2"/>
    <x v="0"/>
    <x v="3"/>
    <x v="8"/>
  </r>
  <r>
    <n v="242"/>
    <x v="173"/>
    <s v="CUST242"/>
    <x v="0"/>
    <n v="21"/>
    <x v="2"/>
    <x v="1"/>
    <x v="2"/>
    <x v="3"/>
    <x v="16"/>
  </r>
  <r>
    <n v="243"/>
    <x v="29"/>
    <s v="CUST243"/>
    <x v="1"/>
    <n v="47"/>
    <x v="0"/>
    <x v="2"/>
    <x v="0"/>
    <x v="4"/>
    <x v="12"/>
  </r>
  <r>
    <n v="244"/>
    <x v="174"/>
    <s v="CUST244"/>
    <x v="0"/>
    <n v="28"/>
    <x v="0"/>
    <x v="0"/>
    <x v="1"/>
    <x v="0"/>
    <x v="4"/>
  </r>
  <r>
    <n v="245"/>
    <x v="147"/>
    <s v="CUST245"/>
    <x v="0"/>
    <n v="47"/>
    <x v="0"/>
    <x v="1"/>
    <x v="0"/>
    <x v="2"/>
    <x v="15"/>
  </r>
  <r>
    <n v="246"/>
    <x v="175"/>
    <s v="CUST246"/>
    <x v="1"/>
    <n v="48"/>
    <x v="0"/>
    <x v="2"/>
    <x v="1"/>
    <x v="3"/>
    <x v="5"/>
  </r>
  <r>
    <n v="247"/>
    <x v="135"/>
    <s v="CUST247"/>
    <x v="0"/>
    <n v="41"/>
    <x v="0"/>
    <x v="2"/>
    <x v="1"/>
    <x v="2"/>
    <x v="17"/>
  </r>
  <r>
    <n v="248"/>
    <x v="176"/>
    <s v="CUST248"/>
    <x v="0"/>
    <n v="26"/>
    <x v="0"/>
    <x v="1"/>
    <x v="0"/>
    <x v="4"/>
    <x v="12"/>
  </r>
  <r>
    <n v="249"/>
    <x v="177"/>
    <s v="CUST249"/>
    <x v="0"/>
    <n v="20"/>
    <x v="2"/>
    <x v="1"/>
    <x v="2"/>
    <x v="0"/>
    <x v="5"/>
  </r>
  <r>
    <n v="250"/>
    <x v="54"/>
    <s v="CUST250"/>
    <x v="0"/>
    <n v="48"/>
    <x v="0"/>
    <x v="2"/>
    <x v="2"/>
    <x v="0"/>
    <x v="5"/>
  </r>
  <r>
    <n v="251"/>
    <x v="178"/>
    <s v="CUST251"/>
    <x v="1"/>
    <n v="57"/>
    <x v="1"/>
    <x v="0"/>
    <x v="3"/>
    <x v="0"/>
    <x v="7"/>
  </r>
  <r>
    <n v="252"/>
    <x v="179"/>
    <s v="CUST252"/>
    <x v="0"/>
    <n v="54"/>
    <x v="0"/>
    <x v="2"/>
    <x v="2"/>
    <x v="4"/>
    <x v="13"/>
  </r>
  <r>
    <n v="253"/>
    <x v="178"/>
    <s v="CUST253"/>
    <x v="1"/>
    <n v="53"/>
    <x v="0"/>
    <x v="1"/>
    <x v="3"/>
    <x v="1"/>
    <x v="11"/>
  </r>
  <r>
    <n v="254"/>
    <x v="180"/>
    <s v="CUST254"/>
    <x v="0"/>
    <n v="41"/>
    <x v="0"/>
    <x v="2"/>
    <x v="2"/>
    <x v="1"/>
    <x v="3"/>
  </r>
  <r>
    <n v="255"/>
    <x v="181"/>
    <s v="CUST255"/>
    <x v="0"/>
    <n v="48"/>
    <x v="0"/>
    <x v="1"/>
    <x v="2"/>
    <x v="2"/>
    <x v="2"/>
  </r>
  <r>
    <n v="256"/>
    <x v="182"/>
    <s v="CUST256"/>
    <x v="0"/>
    <n v="23"/>
    <x v="2"/>
    <x v="1"/>
    <x v="1"/>
    <x v="1"/>
    <x v="1"/>
  </r>
  <r>
    <n v="257"/>
    <x v="38"/>
    <s v="CUST257"/>
    <x v="0"/>
    <n v="19"/>
    <x v="2"/>
    <x v="0"/>
    <x v="3"/>
    <x v="1"/>
    <x v="11"/>
  </r>
  <r>
    <n v="258"/>
    <x v="151"/>
    <s v="CUST258"/>
    <x v="1"/>
    <n v="37"/>
    <x v="0"/>
    <x v="1"/>
    <x v="2"/>
    <x v="0"/>
    <x v="5"/>
  </r>
  <r>
    <n v="259"/>
    <x v="183"/>
    <s v="CUST259"/>
    <x v="1"/>
    <n v="45"/>
    <x v="0"/>
    <x v="1"/>
    <x v="3"/>
    <x v="0"/>
    <x v="7"/>
  </r>
  <r>
    <n v="260"/>
    <x v="68"/>
    <s v="CUST260"/>
    <x v="0"/>
    <n v="28"/>
    <x v="0"/>
    <x v="0"/>
    <x v="1"/>
    <x v="2"/>
    <x v="17"/>
  </r>
  <r>
    <n v="261"/>
    <x v="12"/>
    <s v="CUST261"/>
    <x v="0"/>
    <n v="21"/>
    <x v="2"/>
    <x v="1"/>
    <x v="1"/>
    <x v="3"/>
    <x v="5"/>
  </r>
  <r>
    <n v="262"/>
    <x v="184"/>
    <s v="CUST262"/>
    <x v="1"/>
    <n v="32"/>
    <x v="0"/>
    <x v="0"/>
    <x v="3"/>
    <x v="2"/>
    <x v="10"/>
  </r>
  <r>
    <n v="263"/>
    <x v="117"/>
    <s v="CUST263"/>
    <x v="0"/>
    <n v="23"/>
    <x v="2"/>
    <x v="0"/>
    <x v="1"/>
    <x v="2"/>
    <x v="17"/>
  </r>
  <r>
    <n v="264"/>
    <x v="185"/>
    <s v="CUST264"/>
    <x v="0"/>
    <n v="47"/>
    <x v="0"/>
    <x v="1"/>
    <x v="0"/>
    <x v="4"/>
    <x v="12"/>
  </r>
  <r>
    <n v="265"/>
    <x v="186"/>
    <s v="CUST265"/>
    <x v="0"/>
    <n v="55"/>
    <x v="0"/>
    <x v="1"/>
    <x v="0"/>
    <x v="4"/>
    <x v="12"/>
  </r>
  <r>
    <n v="266"/>
    <x v="187"/>
    <s v="CUST266"/>
    <x v="1"/>
    <n v="19"/>
    <x v="2"/>
    <x v="2"/>
    <x v="1"/>
    <x v="2"/>
    <x v="17"/>
  </r>
  <r>
    <n v="267"/>
    <x v="188"/>
    <s v="CUST267"/>
    <x v="1"/>
    <n v="32"/>
    <x v="0"/>
    <x v="0"/>
    <x v="0"/>
    <x v="2"/>
    <x v="15"/>
  </r>
  <r>
    <n v="268"/>
    <x v="189"/>
    <s v="CUST268"/>
    <x v="1"/>
    <n v="28"/>
    <x v="0"/>
    <x v="2"/>
    <x v="2"/>
    <x v="2"/>
    <x v="2"/>
  </r>
  <r>
    <n v="269"/>
    <x v="190"/>
    <s v="CUST269"/>
    <x v="0"/>
    <n v="25"/>
    <x v="2"/>
    <x v="1"/>
    <x v="3"/>
    <x v="1"/>
    <x v="11"/>
  </r>
  <r>
    <n v="270"/>
    <x v="191"/>
    <s v="CUST270"/>
    <x v="0"/>
    <n v="43"/>
    <x v="0"/>
    <x v="2"/>
    <x v="2"/>
    <x v="4"/>
    <x v="13"/>
  </r>
  <r>
    <n v="271"/>
    <x v="165"/>
    <s v="CUST271"/>
    <x v="1"/>
    <n v="62"/>
    <x v="1"/>
    <x v="0"/>
    <x v="3"/>
    <x v="2"/>
    <x v="10"/>
  </r>
  <r>
    <n v="272"/>
    <x v="192"/>
    <s v="CUST272"/>
    <x v="1"/>
    <n v="61"/>
    <x v="1"/>
    <x v="2"/>
    <x v="1"/>
    <x v="0"/>
    <x v="4"/>
  </r>
  <r>
    <n v="273"/>
    <x v="193"/>
    <s v="CUST273"/>
    <x v="1"/>
    <n v="22"/>
    <x v="2"/>
    <x v="0"/>
    <x v="2"/>
    <x v="0"/>
    <x v="5"/>
  </r>
  <r>
    <n v="274"/>
    <x v="55"/>
    <s v="CUST274"/>
    <x v="1"/>
    <n v="23"/>
    <x v="2"/>
    <x v="1"/>
    <x v="1"/>
    <x v="1"/>
    <x v="1"/>
  </r>
  <r>
    <n v="275"/>
    <x v="181"/>
    <s v="CUST275"/>
    <x v="0"/>
    <n v="43"/>
    <x v="0"/>
    <x v="1"/>
    <x v="1"/>
    <x v="1"/>
    <x v="1"/>
  </r>
  <r>
    <n v="276"/>
    <x v="45"/>
    <s v="CUST276"/>
    <x v="1"/>
    <n v="21"/>
    <x v="2"/>
    <x v="0"/>
    <x v="3"/>
    <x v="3"/>
    <x v="4"/>
  </r>
  <r>
    <n v="277"/>
    <x v="27"/>
    <s v="CUST277"/>
    <x v="0"/>
    <n v="36"/>
    <x v="0"/>
    <x v="1"/>
    <x v="3"/>
    <x v="3"/>
    <x v="4"/>
  </r>
  <r>
    <n v="278"/>
    <x v="6"/>
    <s v="CUST278"/>
    <x v="1"/>
    <n v="37"/>
    <x v="0"/>
    <x v="1"/>
    <x v="3"/>
    <x v="3"/>
    <x v="4"/>
  </r>
  <r>
    <n v="279"/>
    <x v="12"/>
    <s v="CUST279"/>
    <x v="0"/>
    <n v="50"/>
    <x v="0"/>
    <x v="1"/>
    <x v="2"/>
    <x v="1"/>
    <x v="3"/>
  </r>
  <r>
    <n v="280"/>
    <x v="194"/>
    <s v="CUST280"/>
    <x v="1"/>
    <n v="37"/>
    <x v="0"/>
    <x v="1"/>
    <x v="0"/>
    <x v="1"/>
    <x v="9"/>
  </r>
  <r>
    <n v="281"/>
    <x v="29"/>
    <s v="CUST281"/>
    <x v="1"/>
    <n v="29"/>
    <x v="0"/>
    <x v="0"/>
    <x v="3"/>
    <x v="1"/>
    <x v="11"/>
  </r>
  <r>
    <n v="282"/>
    <x v="78"/>
    <s v="CUST282"/>
    <x v="1"/>
    <n v="64"/>
    <x v="1"/>
    <x v="2"/>
    <x v="3"/>
    <x v="0"/>
    <x v="7"/>
  </r>
  <r>
    <n v="283"/>
    <x v="193"/>
    <s v="CUST283"/>
    <x v="1"/>
    <n v="18"/>
    <x v="2"/>
    <x v="2"/>
    <x v="2"/>
    <x v="1"/>
    <x v="3"/>
  </r>
  <r>
    <n v="284"/>
    <x v="195"/>
    <s v="CUST284"/>
    <x v="0"/>
    <n v="43"/>
    <x v="0"/>
    <x v="1"/>
    <x v="3"/>
    <x v="0"/>
    <x v="7"/>
  </r>
  <r>
    <n v="285"/>
    <x v="196"/>
    <s v="CUST285"/>
    <x v="1"/>
    <n v="31"/>
    <x v="0"/>
    <x v="2"/>
    <x v="2"/>
    <x v="3"/>
    <x v="16"/>
  </r>
  <r>
    <n v="286"/>
    <x v="153"/>
    <s v="CUST286"/>
    <x v="0"/>
    <n v="55"/>
    <x v="0"/>
    <x v="2"/>
    <x v="1"/>
    <x v="3"/>
    <x v="5"/>
  </r>
  <r>
    <n v="287"/>
    <x v="189"/>
    <s v="CUST287"/>
    <x v="0"/>
    <n v="54"/>
    <x v="0"/>
    <x v="1"/>
    <x v="3"/>
    <x v="3"/>
    <x v="4"/>
  </r>
  <r>
    <n v="288"/>
    <x v="197"/>
    <s v="CUST288"/>
    <x v="0"/>
    <n v="28"/>
    <x v="0"/>
    <x v="1"/>
    <x v="3"/>
    <x v="2"/>
    <x v="10"/>
  </r>
  <r>
    <n v="289"/>
    <x v="198"/>
    <s v="CUST289"/>
    <x v="0"/>
    <n v="53"/>
    <x v="0"/>
    <x v="2"/>
    <x v="1"/>
    <x v="2"/>
    <x v="17"/>
  </r>
  <r>
    <n v="290"/>
    <x v="135"/>
    <s v="CUST290"/>
    <x v="1"/>
    <n v="30"/>
    <x v="0"/>
    <x v="0"/>
    <x v="1"/>
    <x v="4"/>
    <x v="6"/>
  </r>
  <r>
    <n v="291"/>
    <x v="199"/>
    <s v="CUST291"/>
    <x v="0"/>
    <n v="60"/>
    <x v="1"/>
    <x v="1"/>
    <x v="1"/>
    <x v="4"/>
    <x v="6"/>
  </r>
  <r>
    <n v="292"/>
    <x v="15"/>
    <s v="CUST292"/>
    <x v="0"/>
    <n v="20"/>
    <x v="2"/>
    <x v="0"/>
    <x v="3"/>
    <x v="4"/>
    <x v="14"/>
  </r>
  <r>
    <n v="293"/>
    <x v="173"/>
    <s v="CUST293"/>
    <x v="0"/>
    <n v="50"/>
    <x v="0"/>
    <x v="2"/>
    <x v="0"/>
    <x v="2"/>
    <x v="15"/>
  </r>
  <r>
    <n v="294"/>
    <x v="200"/>
    <s v="CUST294"/>
    <x v="1"/>
    <n v="23"/>
    <x v="2"/>
    <x v="1"/>
    <x v="0"/>
    <x v="2"/>
    <x v="15"/>
  </r>
  <r>
    <n v="295"/>
    <x v="180"/>
    <s v="CUST295"/>
    <x v="1"/>
    <n v="27"/>
    <x v="0"/>
    <x v="0"/>
    <x v="0"/>
    <x v="4"/>
    <x v="12"/>
  </r>
  <r>
    <n v="296"/>
    <x v="147"/>
    <s v="CUST296"/>
    <x v="1"/>
    <n v="22"/>
    <x v="2"/>
    <x v="1"/>
    <x v="3"/>
    <x v="4"/>
    <x v="14"/>
  </r>
  <r>
    <n v="297"/>
    <x v="201"/>
    <s v="CUST297"/>
    <x v="1"/>
    <n v="40"/>
    <x v="0"/>
    <x v="2"/>
    <x v="1"/>
    <x v="1"/>
    <x v="1"/>
  </r>
  <r>
    <n v="298"/>
    <x v="175"/>
    <s v="CUST298"/>
    <x v="0"/>
    <n v="27"/>
    <x v="0"/>
    <x v="0"/>
    <x v="3"/>
    <x v="4"/>
    <x v="14"/>
  </r>
  <r>
    <n v="299"/>
    <x v="87"/>
    <s v="CUST299"/>
    <x v="0"/>
    <n v="61"/>
    <x v="1"/>
    <x v="2"/>
    <x v="1"/>
    <x v="1"/>
    <x v="1"/>
  </r>
  <r>
    <n v="300"/>
    <x v="169"/>
    <s v="CUST300"/>
    <x v="1"/>
    <n v="19"/>
    <x v="2"/>
    <x v="2"/>
    <x v="3"/>
    <x v="0"/>
    <x v="7"/>
  </r>
  <r>
    <n v="301"/>
    <x v="154"/>
    <s v="CUST301"/>
    <x v="0"/>
    <n v="30"/>
    <x v="0"/>
    <x v="1"/>
    <x v="3"/>
    <x v="2"/>
    <x v="10"/>
  </r>
  <r>
    <n v="302"/>
    <x v="37"/>
    <s v="CUST302"/>
    <x v="0"/>
    <n v="57"/>
    <x v="1"/>
    <x v="0"/>
    <x v="1"/>
    <x v="4"/>
    <x v="6"/>
  </r>
  <r>
    <n v="303"/>
    <x v="126"/>
    <s v="CUST303"/>
    <x v="0"/>
    <n v="19"/>
    <x v="2"/>
    <x v="2"/>
    <x v="0"/>
    <x v="2"/>
    <x v="15"/>
  </r>
  <r>
    <n v="304"/>
    <x v="202"/>
    <s v="CUST304"/>
    <x v="1"/>
    <n v="37"/>
    <x v="0"/>
    <x v="2"/>
    <x v="1"/>
    <x v="2"/>
    <x v="17"/>
  </r>
  <r>
    <n v="305"/>
    <x v="42"/>
    <s v="CUST305"/>
    <x v="1"/>
    <n v="18"/>
    <x v="2"/>
    <x v="0"/>
    <x v="2"/>
    <x v="2"/>
    <x v="2"/>
  </r>
  <r>
    <n v="306"/>
    <x v="63"/>
    <s v="CUST306"/>
    <x v="0"/>
    <n v="54"/>
    <x v="0"/>
    <x v="2"/>
    <x v="2"/>
    <x v="0"/>
    <x v="5"/>
  </r>
  <r>
    <n v="307"/>
    <x v="203"/>
    <s v="CUST307"/>
    <x v="1"/>
    <n v="26"/>
    <x v="0"/>
    <x v="2"/>
    <x v="1"/>
    <x v="3"/>
    <x v="5"/>
  </r>
  <r>
    <n v="308"/>
    <x v="12"/>
    <s v="CUST308"/>
    <x v="1"/>
    <n v="34"/>
    <x v="0"/>
    <x v="0"/>
    <x v="3"/>
    <x v="4"/>
    <x v="14"/>
  </r>
  <r>
    <n v="309"/>
    <x v="204"/>
    <s v="CUST309"/>
    <x v="1"/>
    <n v="26"/>
    <x v="0"/>
    <x v="0"/>
    <x v="2"/>
    <x v="3"/>
    <x v="16"/>
  </r>
  <r>
    <n v="310"/>
    <x v="205"/>
    <s v="CUST310"/>
    <x v="1"/>
    <n v="28"/>
    <x v="0"/>
    <x v="0"/>
    <x v="2"/>
    <x v="3"/>
    <x v="16"/>
  </r>
  <r>
    <n v="311"/>
    <x v="59"/>
    <s v="CUST311"/>
    <x v="1"/>
    <n v="32"/>
    <x v="0"/>
    <x v="0"/>
    <x v="3"/>
    <x v="3"/>
    <x v="4"/>
  </r>
  <r>
    <n v="312"/>
    <x v="206"/>
    <s v="CUST312"/>
    <x v="0"/>
    <n v="41"/>
    <x v="0"/>
    <x v="1"/>
    <x v="3"/>
    <x v="2"/>
    <x v="10"/>
  </r>
  <r>
    <n v="313"/>
    <x v="34"/>
    <s v="CUST313"/>
    <x v="1"/>
    <n v="55"/>
    <x v="0"/>
    <x v="0"/>
    <x v="0"/>
    <x v="1"/>
    <x v="9"/>
  </r>
  <r>
    <n v="314"/>
    <x v="181"/>
    <s v="CUST314"/>
    <x v="0"/>
    <n v="52"/>
    <x v="0"/>
    <x v="1"/>
    <x v="3"/>
    <x v="2"/>
    <x v="10"/>
  </r>
  <r>
    <n v="315"/>
    <x v="207"/>
    <s v="CUST315"/>
    <x v="0"/>
    <n v="47"/>
    <x v="0"/>
    <x v="1"/>
    <x v="1"/>
    <x v="2"/>
    <x v="17"/>
  </r>
  <r>
    <n v="316"/>
    <x v="16"/>
    <s v="CUST316"/>
    <x v="1"/>
    <n v="48"/>
    <x v="0"/>
    <x v="1"/>
    <x v="1"/>
    <x v="3"/>
    <x v="5"/>
  </r>
  <r>
    <n v="317"/>
    <x v="144"/>
    <s v="CUST317"/>
    <x v="0"/>
    <n v="22"/>
    <x v="2"/>
    <x v="2"/>
    <x v="0"/>
    <x v="2"/>
    <x v="15"/>
  </r>
  <r>
    <n v="318"/>
    <x v="208"/>
    <s v="CUST318"/>
    <x v="0"/>
    <n v="61"/>
    <x v="1"/>
    <x v="1"/>
    <x v="2"/>
    <x v="3"/>
    <x v="16"/>
  </r>
  <r>
    <n v="319"/>
    <x v="209"/>
    <s v="CUST319"/>
    <x v="0"/>
    <n v="31"/>
    <x v="0"/>
    <x v="1"/>
    <x v="2"/>
    <x v="1"/>
    <x v="3"/>
  </r>
  <r>
    <n v="320"/>
    <x v="190"/>
    <s v="CUST320"/>
    <x v="1"/>
    <n v="28"/>
    <x v="0"/>
    <x v="2"/>
    <x v="3"/>
    <x v="4"/>
    <x v="14"/>
  </r>
  <r>
    <n v="321"/>
    <x v="210"/>
    <s v="CUST321"/>
    <x v="1"/>
    <n v="26"/>
    <x v="0"/>
    <x v="2"/>
    <x v="1"/>
    <x v="3"/>
    <x v="5"/>
  </r>
  <r>
    <n v="322"/>
    <x v="144"/>
    <s v="CUST322"/>
    <x v="0"/>
    <n v="51"/>
    <x v="0"/>
    <x v="2"/>
    <x v="2"/>
    <x v="1"/>
    <x v="3"/>
  </r>
  <r>
    <n v="323"/>
    <x v="197"/>
    <s v="CUST323"/>
    <x v="1"/>
    <n v="29"/>
    <x v="0"/>
    <x v="0"/>
    <x v="0"/>
    <x v="4"/>
    <x v="12"/>
  </r>
  <r>
    <n v="324"/>
    <x v="101"/>
    <s v="CUST324"/>
    <x v="1"/>
    <n v="52"/>
    <x v="0"/>
    <x v="2"/>
    <x v="0"/>
    <x v="0"/>
    <x v="0"/>
  </r>
  <r>
    <n v="325"/>
    <x v="211"/>
    <s v="CUST325"/>
    <x v="1"/>
    <n v="52"/>
    <x v="0"/>
    <x v="2"/>
    <x v="1"/>
    <x v="3"/>
    <x v="5"/>
  </r>
  <r>
    <n v="326"/>
    <x v="212"/>
    <s v="CUST326"/>
    <x v="1"/>
    <n v="18"/>
    <x v="2"/>
    <x v="1"/>
    <x v="0"/>
    <x v="3"/>
    <x v="8"/>
  </r>
  <r>
    <n v="327"/>
    <x v="136"/>
    <s v="CUST327"/>
    <x v="0"/>
    <n v="57"/>
    <x v="1"/>
    <x v="2"/>
    <x v="0"/>
    <x v="0"/>
    <x v="0"/>
  </r>
  <r>
    <n v="328"/>
    <x v="125"/>
    <s v="CUST328"/>
    <x v="0"/>
    <n v="39"/>
    <x v="0"/>
    <x v="0"/>
    <x v="1"/>
    <x v="0"/>
    <x v="4"/>
  </r>
  <r>
    <n v="329"/>
    <x v="144"/>
    <s v="CUST329"/>
    <x v="1"/>
    <n v="46"/>
    <x v="0"/>
    <x v="2"/>
    <x v="3"/>
    <x v="3"/>
    <x v="4"/>
  </r>
  <r>
    <n v="330"/>
    <x v="106"/>
    <s v="CUST330"/>
    <x v="1"/>
    <n v="25"/>
    <x v="2"/>
    <x v="0"/>
    <x v="3"/>
    <x v="0"/>
    <x v="7"/>
  </r>
  <r>
    <n v="331"/>
    <x v="213"/>
    <s v="CUST331"/>
    <x v="0"/>
    <n v="28"/>
    <x v="0"/>
    <x v="2"/>
    <x v="0"/>
    <x v="2"/>
    <x v="15"/>
  </r>
  <r>
    <n v="332"/>
    <x v="214"/>
    <s v="CUST332"/>
    <x v="0"/>
    <n v="58"/>
    <x v="1"/>
    <x v="2"/>
    <x v="3"/>
    <x v="4"/>
    <x v="14"/>
  </r>
  <r>
    <n v="333"/>
    <x v="57"/>
    <s v="CUST333"/>
    <x v="1"/>
    <n v="54"/>
    <x v="0"/>
    <x v="2"/>
    <x v="3"/>
    <x v="4"/>
    <x v="14"/>
  </r>
  <r>
    <n v="334"/>
    <x v="215"/>
    <s v="CUST334"/>
    <x v="0"/>
    <n v="31"/>
    <x v="0"/>
    <x v="2"/>
    <x v="0"/>
    <x v="4"/>
    <x v="12"/>
  </r>
  <r>
    <n v="335"/>
    <x v="170"/>
    <s v="CUST335"/>
    <x v="1"/>
    <n v="47"/>
    <x v="0"/>
    <x v="0"/>
    <x v="3"/>
    <x v="2"/>
    <x v="10"/>
  </r>
  <r>
    <n v="336"/>
    <x v="216"/>
    <s v="CUST336"/>
    <x v="1"/>
    <n v="52"/>
    <x v="0"/>
    <x v="0"/>
    <x v="0"/>
    <x v="0"/>
    <x v="0"/>
  </r>
  <r>
    <n v="337"/>
    <x v="217"/>
    <s v="CUST337"/>
    <x v="0"/>
    <n v="38"/>
    <x v="0"/>
    <x v="1"/>
    <x v="2"/>
    <x v="1"/>
    <x v="3"/>
  </r>
  <r>
    <n v="338"/>
    <x v="191"/>
    <s v="CUST338"/>
    <x v="0"/>
    <n v="54"/>
    <x v="0"/>
    <x v="0"/>
    <x v="1"/>
    <x v="0"/>
    <x v="4"/>
  </r>
  <r>
    <n v="339"/>
    <x v="163"/>
    <s v="CUST339"/>
    <x v="1"/>
    <n v="22"/>
    <x v="2"/>
    <x v="2"/>
    <x v="1"/>
    <x v="3"/>
    <x v="5"/>
  </r>
  <r>
    <n v="340"/>
    <x v="218"/>
    <s v="CUST340"/>
    <x v="1"/>
    <n v="36"/>
    <x v="0"/>
    <x v="1"/>
    <x v="3"/>
    <x v="4"/>
    <x v="14"/>
  </r>
  <r>
    <n v="341"/>
    <x v="98"/>
    <s v="CUST341"/>
    <x v="0"/>
    <n v="31"/>
    <x v="0"/>
    <x v="1"/>
    <x v="3"/>
    <x v="0"/>
    <x v="7"/>
  </r>
  <r>
    <n v="342"/>
    <x v="208"/>
    <s v="CUST342"/>
    <x v="1"/>
    <n v="43"/>
    <x v="0"/>
    <x v="1"/>
    <x v="3"/>
    <x v="1"/>
    <x v="11"/>
  </r>
  <r>
    <n v="343"/>
    <x v="215"/>
    <s v="CUST343"/>
    <x v="0"/>
    <n v="21"/>
    <x v="2"/>
    <x v="2"/>
    <x v="1"/>
    <x v="3"/>
    <x v="5"/>
  </r>
  <r>
    <n v="344"/>
    <x v="219"/>
    <s v="CUST344"/>
    <x v="1"/>
    <n v="42"/>
    <x v="0"/>
    <x v="0"/>
    <x v="2"/>
    <x v="2"/>
    <x v="2"/>
  </r>
  <r>
    <n v="345"/>
    <x v="220"/>
    <s v="CUST345"/>
    <x v="0"/>
    <n v="62"/>
    <x v="1"/>
    <x v="2"/>
    <x v="2"/>
    <x v="2"/>
    <x v="2"/>
  </r>
  <r>
    <n v="346"/>
    <x v="213"/>
    <s v="CUST346"/>
    <x v="0"/>
    <n v="59"/>
    <x v="1"/>
    <x v="1"/>
    <x v="1"/>
    <x v="1"/>
    <x v="1"/>
  </r>
  <r>
    <n v="347"/>
    <x v="25"/>
    <s v="CUST347"/>
    <x v="0"/>
    <n v="42"/>
    <x v="0"/>
    <x v="2"/>
    <x v="2"/>
    <x v="3"/>
    <x v="16"/>
  </r>
  <r>
    <n v="348"/>
    <x v="221"/>
    <s v="CUST348"/>
    <x v="1"/>
    <n v="35"/>
    <x v="0"/>
    <x v="2"/>
    <x v="1"/>
    <x v="4"/>
    <x v="6"/>
  </r>
  <r>
    <n v="349"/>
    <x v="103"/>
    <s v="CUST349"/>
    <x v="1"/>
    <n v="57"/>
    <x v="1"/>
    <x v="0"/>
    <x v="2"/>
    <x v="0"/>
    <x v="5"/>
  </r>
  <r>
    <n v="350"/>
    <x v="222"/>
    <s v="CUST350"/>
    <x v="0"/>
    <n v="25"/>
    <x v="2"/>
    <x v="0"/>
    <x v="0"/>
    <x v="3"/>
    <x v="8"/>
  </r>
  <r>
    <n v="351"/>
    <x v="223"/>
    <s v="CUST351"/>
    <x v="1"/>
    <n v="56"/>
    <x v="1"/>
    <x v="1"/>
    <x v="0"/>
    <x v="2"/>
    <x v="15"/>
  </r>
  <r>
    <n v="352"/>
    <x v="86"/>
    <s v="CUST352"/>
    <x v="0"/>
    <n v="57"/>
    <x v="1"/>
    <x v="2"/>
    <x v="1"/>
    <x v="1"/>
    <x v="1"/>
  </r>
  <r>
    <n v="353"/>
    <x v="224"/>
    <s v="CUST353"/>
    <x v="0"/>
    <n v="31"/>
    <x v="0"/>
    <x v="2"/>
    <x v="2"/>
    <x v="1"/>
    <x v="3"/>
  </r>
  <r>
    <n v="354"/>
    <x v="225"/>
    <s v="CUST354"/>
    <x v="1"/>
    <n v="49"/>
    <x v="0"/>
    <x v="0"/>
    <x v="3"/>
    <x v="0"/>
    <x v="7"/>
  </r>
  <r>
    <n v="355"/>
    <x v="174"/>
    <s v="CUST355"/>
    <x v="1"/>
    <n v="55"/>
    <x v="0"/>
    <x v="2"/>
    <x v="2"/>
    <x v="1"/>
    <x v="3"/>
  </r>
  <r>
    <n v="356"/>
    <x v="210"/>
    <s v="CUST356"/>
    <x v="0"/>
    <n v="50"/>
    <x v="0"/>
    <x v="2"/>
    <x v="0"/>
    <x v="1"/>
    <x v="9"/>
  </r>
  <r>
    <n v="357"/>
    <x v="143"/>
    <s v="CUST357"/>
    <x v="1"/>
    <n v="40"/>
    <x v="0"/>
    <x v="2"/>
    <x v="0"/>
    <x v="3"/>
    <x v="8"/>
  </r>
  <r>
    <n v="358"/>
    <x v="42"/>
    <s v="CUST358"/>
    <x v="1"/>
    <n v="32"/>
    <x v="0"/>
    <x v="0"/>
    <x v="2"/>
    <x v="4"/>
    <x v="13"/>
  </r>
  <r>
    <n v="359"/>
    <x v="94"/>
    <s v="CUST359"/>
    <x v="0"/>
    <n v="50"/>
    <x v="0"/>
    <x v="1"/>
    <x v="2"/>
    <x v="0"/>
    <x v="5"/>
  </r>
  <r>
    <n v="360"/>
    <x v="176"/>
    <s v="CUST360"/>
    <x v="0"/>
    <n v="42"/>
    <x v="0"/>
    <x v="1"/>
    <x v="3"/>
    <x v="3"/>
    <x v="4"/>
  </r>
  <r>
    <n v="361"/>
    <x v="70"/>
    <s v="CUST361"/>
    <x v="1"/>
    <n v="34"/>
    <x v="0"/>
    <x v="2"/>
    <x v="3"/>
    <x v="4"/>
    <x v="14"/>
  </r>
  <r>
    <n v="362"/>
    <x v="188"/>
    <s v="CUST362"/>
    <x v="0"/>
    <n v="50"/>
    <x v="0"/>
    <x v="1"/>
    <x v="2"/>
    <x v="3"/>
    <x v="16"/>
  </r>
  <r>
    <n v="363"/>
    <x v="226"/>
    <s v="CUST363"/>
    <x v="0"/>
    <n v="64"/>
    <x v="1"/>
    <x v="0"/>
    <x v="2"/>
    <x v="3"/>
    <x v="16"/>
  </r>
  <r>
    <n v="364"/>
    <x v="96"/>
    <s v="CUST364"/>
    <x v="1"/>
    <n v="19"/>
    <x v="2"/>
    <x v="0"/>
    <x v="2"/>
    <x v="1"/>
    <x v="3"/>
  </r>
  <r>
    <n v="365"/>
    <x v="86"/>
    <s v="CUST365"/>
    <x v="0"/>
    <n v="31"/>
    <x v="0"/>
    <x v="1"/>
    <x v="2"/>
    <x v="4"/>
    <x v="13"/>
  </r>
  <r>
    <n v="366"/>
    <x v="227"/>
    <s v="CUST366"/>
    <x v="0"/>
    <n v="57"/>
    <x v="1"/>
    <x v="1"/>
    <x v="1"/>
    <x v="0"/>
    <x v="4"/>
  </r>
  <r>
    <n v="367"/>
    <x v="228"/>
    <s v="CUST367"/>
    <x v="1"/>
    <n v="57"/>
    <x v="1"/>
    <x v="2"/>
    <x v="2"/>
    <x v="0"/>
    <x v="5"/>
  </r>
  <r>
    <n v="368"/>
    <x v="96"/>
    <s v="CUST368"/>
    <x v="1"/>
    <n v="56"/>
    <x v="1"/>
    <x v="1"/>
    <x v="3"/>
    <x v="4"/>
    <x v="14"/>
  </r>
  <r>
    <n v="369"/>
    <x v="229"/>
    <s v="CUST369"/>
    <x v="0"/>
    <n v="23"/>
    <x v="2"/>
    <x v="2"/>
    <x v="0"/>
    <x v="1"/>
    <x v="9"/>
  </r>
  <r>
    <n v="370"/>
    <x v="230"/>
    <s v="CUST370"/>
    <x v="0"/>
    <n v="23"/>
    <x v="2"/>
    <x v="2"/>
    <x v="1"/>
    <x v="2"/>
    <x v="17"/>
  </r>
  <r>
    <n v="371"/>
    <x v="62"/>
    <s v="CUST371"/>
    <x v="1"/>
    <n v="20"/>
    <x v="2"/>
    <x v="0"/>
    <x v="2"/>
    <x v="3"/>
    <x v="16"/>
  </r>
  <r>
    <n v="372"/>
    <x v="227"/>
    <s v="CUST372"/>
    <x v="1"/>
    <n v="24"/>
    <x v="2"/>
    <x v="0"/>
    <x v="0"/>
    <x v="1"/>
    <x v="9"/>
  </r>
  <r>
    <n v="373"/>
    <x v="99"/>
    <s v="CUST373"/>
    <x v="1"/>
    <n v="25"/>
    <x v="2"/>
    <x v="0"/>
    <x v="1"/>
    <x v="4"/>
    <x v="6"/>
  </r>
  <r>
    <n v="374"/>
    <x v="175"/>
    <s v="CUST374"/>
    <x v="1"/>
    <n v="59"/>
    <x v="1"/>
    <x v="0"/>
    <x v="0"/>
    <x v="3"/>
    <x v="8"/>
  </r>
  <r>
    <n v="375"/>
    <x v="129"/>
    <s v="CUST375"/>
    <x v="0"/>
    <n v="32"/>
    <x v="0"/>
    <x v="1"/>
    <x v="2"/>
    <x v="0"/>
    <x v="5"/>
  </r>
  <r>
    <n v="376"/>
    <x v="42"/>
    <s v="CUST376"/>
    <x v="1"/>
    <n v="64"/>
    <x v="1"/>
    <x v="0"/>
    <x v="2"/>
    <x v="2"/>
    <x v="2"/>
  </r>
  <r>
    <n v="377"/>
    <x v="176"/>
    <s v="CUST377"/>
    <x v="1"/>
    <n v="46"/>
    <x v="0"/>
    <x v="1"/>
    <x v="3"/>
    <x v="0"/>
    <x v="7"/>
  </r>
  <r>
    <n v="378"/>
    <x v="231"/>
    <s v="CUST378"/>
    <x v="0"/>
    <n v="50"/>
    <x v="0"/>
    <x v="0"/>
    <x v="2"/>
    <x v="4"/>
    <x v="13"/>
  </r>
  <r>
    <n v="379"/>
    <x v="57"/>
    <s v="CUST379"/>
    <x v="1"/>
    <n v="47"/>
    <x v="0"/>
    <x v="1"/>
    <x v="2"/>
    <x v="3"/>
    <x v="16"/>
  </r>
  <r>
    <n v="380"/>
    <x v="4"/>
    <s v="CUST380"/>
    <x v="0"/>
    <n v="56"/>
    <x v="1"/>
    <x v="2"/>
    <x v="1"/>
    <x v="4"/>
    <x v="6"/>
  </r>
  <r>
    <n v="381"/>
    <x v="67"/>
    <s v="CUST381"/>
    <x v="1"/>
    <n v="44"/>
    <x v="0"/>
    <x v="1"/>
    <x v="3"/>
    <x v="3"/>
    <x v="4"/>
  </r>
  <r>
    <n v="382"/>
    <x v="232"/>
    <s v="CUST382"/>
    <x v="1"/>
    <n v="53"/>
    <x v="0"/>
    <x v="1"/>
    <x v="1"/>
    <x v="1"/>
    <x v="1"/>
  </r>
  <r>
    <n v="383"/>
    <x v="125"/>
    <s v="CUST383"/>
    <x v="1"/>
    <n v="46"/>
    <x v="0"/>
    <x v="0"/>
    <x v="0"/>
    <x v="2"/>
    <x v="15"/>
  </r>
  <r>
    <n v="384"/>
    <x v="160"/>
    <s v="CUST384"/>
    <x v="0"/>
    <n v="55"/>
    <x v="0"/>
    <x v="1"/>
    <x v="2"/>
    <x v="1"/>
    <x v="3"/>
  </r>
  <r>
    <n v="385"/>
    <x v="233"/>
    <s v="CUST385"/>
    <x v="0"/>
    <n v="50"/>
    <x v="0"/>
    <x v="2"/>
    <x v="0"/>
    <x v="1"/>
    <x v="9"/>
  </r>
  <r>
    <n v="386"/>
    <x v="56"/>
    <s v="CUST386"/>
    <x v="1"/>
    <n v="54"/>
    <x v="0"/>
    <x v="2"/>
    <x v="1"/>
    <x v="4"/>
    <x v="6"/>
  </r>
  <r>
    <n v="387"/>
    <x v="234"/>
    <s v="CUST387"/>
    <x v="0"/>
    <n v="44"/>
    <x v="0"/>
    <x v="0"/>
    <x v="2"/>
    <x v="2"/>
    <x v="2"/>
  </r>
  <r>
    <n v="388"/>
    <x v="235"/>
    <s v="CUST388"/>
    <x v="0"/>
    <n v="50"/>
    <x v="0"/>
    <x v="2"/>
    <x v="2"/>
    <x v="3"/>
    <x v="16"/>
  </r>
  <r>
    <n v="389"/>
    <x v="187"/>
    <s v="CUST389"/>
    <x v="0"/>
    <n v="21"/>
    <x v="2"/>
    <x v="1"/>
    <x v="1"/>
    <x v="3"/>
    <x v="5"/>
  </r>
  <r>
    <n v="390"/>
    <x v="118"/>
    <s v="CUST390"/>
    <x v="0"/>
    <n v="39"/>
    <x v="0"/>
    <x v="2"/>
    <x v="1"/>
    <x v="0"/>
    <x v="4"/>
  </r>
  <r>
    <n v="391"/>
    <x v="228"/>
    <s v="CUST391"/>
    <x v="0"/>
    <n v="19"/>
    <x v="2"/>
    <x v="0"/>
    <x v="1"/>
    <x v="3"/>
    <x v="5"/>
  </r>
  <r>
    <n v="392"/>
    <x v="236"/>
    <s v="CUST392"/>
    <x v="0"/>
    <n v="27"/>
    <x v="0"/>
    <x v="1"/>
    <x v="1"/>
    <x v="4"/>
    <x v="6"/>
  </r>
  <r>
    <n v="393"/>
    <x v="120"/>
    <s v="CUST393"/>
    <x v="1"/>
    <n v="22"/>
    <x v="2"/>
    <x v="0"/>
    <x v="1"/>
    <x v="1"/>
    <x v="1"/>
  </r>
  <r>
    <n v="394"/>
    <x v="226"/>
    <s v="CUST394"/>
    <x v="1"/>
    <n v="27"/>
    <x v="0"/>
    <x v="1"/>
    <x v="2"/>
    <x v="1"/>
    <x v="3"/>
  </r>
  <r>
    <n v="395"/>
    <x v="237"/>
    <s v="CUST395"/>
    <x v="0"/>
    <n v="50"/>
    <x v="0"/>
    <x v="2"/>
    <x v="1"/>
    <x v="1"/>
    <x v="1"/>
  </r>
  <r>
    <n v="396"/>
    <x v="238"/>
    <s v="CUST396"/>
    <x v="1"/>
    <n v="55"/>
    <x v="0"/>
    <x v="0"/>
    <x v="2"/>
    <x v="2"/>
    <x v="2"/>
  </r>
  <r>
    <n v="397"/>
    <x v="239"/>
    <s v="CUST397"/>
    <x v="1"/>
    <n v="30"/>
    <x v="0"/>
    <x v="0"/>
    <x v="2"/>
    <x v="3"/>
    <x v="16"/>
  </r>
  <r>
    <n v="398"/>
    <x v="42"/>
    <s v="CUST398"/>
    <x v="1"/>
    <n v="48"/>
    <x v="0"/>
    <x v="1"/>
    <x v="1"/>
    <x v="4"/>
    <x v="6"/>
  </r>
  <r>
    <n v="399"/>
    <x v="240"/>
    <s v="CUST399"/>
    <x v="1"/>
    <n v="64"/>
    <x v="1"/>
    <x v="0"/>
    <x v="1"/>
    <x v="2"/>
    <x v="17"/>
  </r>
  <r>
    <n v="400"/>
    <x v="130"/>
    <s v="CUST400"/>
    <x v="0"/>
    <n v="53"/>
    <x v="0"/>
    <x v="1"/>
    <x v="3"/>
    <x v="0"/>
    <x v="7"/>
  </r>
  <r>
    <n v="401"/>
    <x v="120"/>
    <s v="CUST401"/>
    <x v="1"/>
    <n v="62"/>
    <x v="1"/>
    <x v="1"/>
    <x v="2"/>
    <x v="4"/>
    <x v="13"/>
  </r>
  <r>
    <n v="402"/>
    <x v="34"/>
    <s v="CUST402"/>
    <x v="1"/>
    <n v="41"/>
    <x v="0"/>
    <x v="1"/>
    <x v="1"/>
    <x v="4"/>
    <x v="6"/>
  </r>
  <r>
    <n v="403"/>
    <x v="241"/>
    <s v="CUST403"/>
    <x v="0"/>
    <n v="32"/>
    <x v="0"/>
    <x v="1"/>
    <x v="1"/>
    <x v="4"/>
    <x v="6"/>
  </r>
  <r>
    <n v="404"/>
    <x v="242"/>
    <s v="CUST404"/>
    <x v="0"/>
    <n v="46"/>
    <x v="0"/>
    <x v="2"/>
    <x v="1"/>
    <x v="1"/>
    <x v="1"/>
  </r>
  <r>
    <n v="405"/>
    <x v="41"/>
    <s v="CUST405"/>
    <x v="1"/>
    <n v="25"/>
    <x v="2"/>
    <x v="1"/>
    <x v="3"/>
    <x v="4"/>
    <x v="14"/>
  </r>
  <r>
    <n v="406"/>
    <x v="69"/>
    <s v="CUST406"/>
    <x v="1"/>
    <n v="22"/>
    <x v="2"/>
    <x v="0"/>
    <x v="3"/>
    <x v="3"/>
    <x v="4"/>
  </r>
  <r>
    <n v="407"/>
    <x v="243"/>
    <s v="CUST407"/>
    <x v="1"/>
    <n v="46"/>
    <x v="0"/>
    <x v="2"/>
    <x v="0"/>
    <x v="4"/>
    <x v="12"/>
  </r>
  <r>
    <n v="408"/>
    <x v="225"/>
    <s v="CUST408"/>
    <x v="1"/>
    <n v="64"/>
    <x v="1"/>
    <x v="0"/>
    <x v="2"/>
    <x v="1"/>
    <x v="3"/>
  </r>
  <r>
    <n v="409"/>
    <x v="244"/>
    <s v="CUST409"/>
    <x v="1"/>
    <n v="21"/>
    <x v="2"/>
    <x v="2"/>
    <x v="0"/>
    <x v="4"/>
    <x v="12"/>
  </r>
  <r>
    <n v="410"/>
    <x v="245"/>
    <s v="CUST410"/>
    <x v="1"/>
    <n v="29"/>
    <x v="0"/>
    <x v="1"/>
    <x v="1"/>
    <x v="0"/>
    <x v="4"/>
  </r>
  <r>
    <n v="411"/>
    <x v="42"/>
    <s v="CUST411"/>
    <x v="0"/>
    <n v="62"/>
    <x v="1"/>
    <x v="2"/>
    <x v="3"/>
    <x v="0"/>
    <x v="7"/>
  </r>
  <r>
    <n v="412"/>
    <x v="18"/>
    <s v="CUST412"/>
    <x v="1"/>
    <n v="19"/>
    <x v="2"/>
    <x v="2"/>
    <x v="3"/>
    <x v="1"/>
    <x v="11"/>
  </r>
  <r>
    <n v="413"/>
    <x v="140"/>
    <s v="CUST413"/>
    <x v="1"/>
    <n v="44"/>
    <x v="0"/>
    <x v="0"/>
    <x v="0"/>
    <x v="3"/>
    <x v="8"/>
  </r>
  <r>
    <n v="414"/>
    <x v="119"/>
    <s v="CUST414"/>
    <x v="0"/>
    <n v="48"/>
    <x v="0"/>
    <x v="0"/>
    <x v="3"/>
    <x v="3"/>
    <x v="4"/>
  </r>
  <r>
    <n v="415"/>
    <x v="246"/>
    <s v="CUST415"/>
    <x v="0"/>
    <n v="53"/>
    <x v="0"/>
    <x v="1"/>
    <x v="1"/>
    <x v="2"/>
    <x v="17"/>
  </r>
  <r>
    <n v="416"/>
    <x v="15"/>
    <s v="CUST416"/>
    <x v="0"/>
    <n v="53"/>
    <x v="0"/>
    <x v="2"/>
    <x v="3"/>
    <x v="1"/>
    <x v="11"/>
  </r>
  <r>
    <n v="417"/>
    <x v="245"/>
    <s v="CUST417"/>
    <x v="0"/>
    <n v="43"/>
    <x v="0"/>
    <x v="2"/>
    <x v="0"/>
    <x v="4"/>
    <x v="12"/>
  </r>
  <r>
    <n v="418"/>
    <x v="12"/>
    <s v="CUST418"/>
    <x v="1"/>
    <n v="60"/>
    <x v="1"/>
    <x v="2"/>
    <x v="1"/>
    <x v="1"/>
    <x v="1"/>
  </r>
  <r>
    <n v="419"/>
    <x v="247"/>
    <s v="CUST419"/>
    <x v="1"/>
    <n v="44"/>
    <x v="0"/>
    <x v="1"/>
    <x v="0"/>
    <x v="2"/>
    <x v="15"/>
  </r>
  <r>
    <n v="420"/>
    <x v="43"/>
    <s v="CUST420"/>
    <x v="1"/>
    <n v="22"/>
    <x v="2"/>
    <x v="1"/>
    <x v="3"/>
    <x v="1"/>
    <x v="11"/>
  </r>
  <r>
    <n v="421"/>
    <x v="126"/>
    <s v="CUST421"/>
    <x v="1"/>
    <n v="37"/>
    <x v="0"/>
    <x v="1"/>
    <x v="0"/>
    <x v="1"/>
    <x v="9"/>
  </r>
  <r>
    <n v="422"/>
    <x v="248"/>
    <s v="CUST422"/>
    <x v="1"/>
    <n v="28"/>
    <x v="0"/>
    <x v="1"/>
    <x v="0"/>
    <x v="2"/>
    <x v="15"/>
  </r>
  <r>
    <n v="423"/>
    <x v="249"/>
    <s v="CUST423"/>
    <x v="1"/>
    <n v="27"/>
    <x v="0"/>
    <x v="1"/>
    <x v="2"/>
    <x v="3"/>
    <x v="16"/>
  </r>
  <r>
    <n v="424"/>
    <x v="250"/>
    <s v="CUST424"/>
    <x v="0"/>
    <n v="57"/>
    <x v="1"/>
    <x v="0"/>
    <x v="3"/>
    <x v="4"/>
    <x v="14"/>
  </r>
  <r>
    <n v="425"/>
    <x v="100"/>
    <s v="CUST425"/>
    <x v="1"/>
    <n v="55"/>
    <x v="0"/>
    <x v="2"/>
    <x v="3"/>
    <x v="2"/>
    <x v="10"/>
  </r>
  <r>
    <n v="426"/>
    <x v="134"/>
    <s v="CUST426"/>
    <x v="0"/>
    <n v="23"/>
    <x v="2"/>
    <x v="2"/>
    <x v="0"/>
    <x v="0"/>
    <x v="0"/>
  </r>
  <r>
    <n v="427"/>
    <x v="196"/>
    <s v="CUST427"/>
    <x v="0"/>
    <n v="25"/>
    <x v="2"/>
    <x v="2"/>
    <x v="2"/>
    <x v="3"/>
    <x v="16"/>
  </r>
  <r>
    <n v="428"/>
    <x v="49"/>
    <s v="CUST428"/>
    <x v="1"/>
    <n v="40"/>
    <x v="0"/>
    <x v="2"/>
    <x v="3"/>
    <x v="0"/>
    <x v="7"/>
  </r>
  <r>
    <n v="429"/>
    <x v="251"/>
    <s v="CUST429"/>
    <x v="0"/>
    <n v="64"/>
    <x v="1"/>
    <x v="2"/>
    <x v="1"/>
    <x v="3"/>
    <x v="5"/>
  </r>
  <r>
    <n v="430"/>
    <x v="252"/>
    <s v="CUST430"/>
    <x v="1"/>
    <n v="43"/>
    <x v="0"/>
    <x v="2"/>
    <x v="0"/>
    <x v="4"/>
    <x v="12"/>
  </r>
  <r>
    <n v="431"/>
    <x v="21"/>
    <s v="CUST431"/>
    <x v="0"/>
    <n v="63"/>
    <x v="1"/>
    <x v="2"/>
    <x v="3"/>
    <x v="4"/>
    <x v="14"/>
  </r>
  <r>
    <n v="432"/>
    <x v="228"/>
    <s v="CUST432"/>
    <x v="1"/>
    <n v="60"/>
    <x v="1"/>
    <x v="2"/>
    <x v="1"/>
    <x v="1"/>
    <x v="1"/>
  </r>
  <r>
    <n v="433"/>
    <x v="1"/>
    <s v="CUST433"/>
    <x v="0"/>
    <n v="29"/>
    <x v="0"/>
    <x v="0"/>
    <x v="3"/>
    <x v="0"/>
    <x v="7"/>
  </r>
  <r>
    <n v="434"/>
    <x v="195"/>
    <s v="CUST434"/>
    <x v="1"/>
    <n v="43"/>
    <x v="0"/>
    <x v="2"/>
    <x v="1"/>
    <x v="3"/>
    <x v="5"/>
  </r>
  <r>
    <n v="435"/>
    <x v="156"/>
    <s v="CUST435"/>
    <x v="1"/>
    <n v="30"/>
    <x v="0"/>
    <x v="0"/>
    <x v="0"/>
    <x v="4"/>
    <x v="12"/>
  </r>
  <r>
    <n v="436"/>
    <x v="253"/>
    <s v="CUST436"/>
    <x v="1"/>
    <n v="57"/>
    <x v="1"/>
    <x v="1"/>
    <x v="3"/>
    <x v="2"/>
    <x v="10"/>
  </r>
  <r>
    <n v="437"/>
    <x v="9"/>
    <s v="CUST437"/>
    <x v="1"/>
    <n v="35"/>
    <x v="0"/>
    <x v="2"/>
    <x v="3"/>
    <x v="4"/>
    <x v="14"/>
  </r>
  <r>
    <n v="438"/>
    <x v="254"/>
    <s v="CUST438"/>
    <x v="1"/>
    <n v="42"/>
    <x v="0"/>
    <x v="1"/>
    <x v="2"/>
    <x v="2"/>
    <x v="2"/>
  </r>
  <r>
    <n v="439"/>
    <x v="67"/>
    <s v="CUST439"/>
    <x v="0"/>
    <n v="50"/>
    <x v="0"/>
    <x v="1"/>
    <x v="0"/>
    <x v="3"/>
    <x v="8"/>
  </r>
  <r>
    <n v="440"/>
    <x v="103"/>
    <s v="CUST440"/>
    <x v="0"/>
    <n v="64"/>
    <x v="1"/>
    <x v="1"/>
    <x v="1"/>
    <x v="4"/>
    <x v="6"/>
  </r>
  <r>
    <n v="441"/>
    <x v="49"/>
    <s v="CUST441"/>
    <x v="0"/>
    <n v="57"/>
    <x v="1"/>
    <x v="0"/>
    <x v="3"/>
    <x v="4"/>
    <x v="14"/>
  </r>
  <r>
    <n v="442"/>
    <x v="255"/>
    <s v="CUST442"/>
    <x v="1"/>
    <n v="60"/>
    <x v="1"/>
    <x v="1"/>
    <x v="3"/>
    <x v="3"/>
    <x v="4"/>
  </r>
  <r>
    <n v="443"/>
    <x v="183"/>
    <s v="CUST443"/>
    <x v="0"/>
    <n v="29"/>
    <x v="0"/>
    <x v="1"/>
    <x v="1"/>
    <x v="4"/>
    <x v="6"/>
  </r>
  <r>
    <n v="444"/>
    <x v="150"/>
    <s v="CUST444"/>
    <x v="1"/>
    <n v="61"/>
    <x v="1"/>
    <x v="1"/>
    <x v="0"/>
    <x v="2"/>
    <x v="15"/>
  </r>
  <r>
    <n v="445"/>
    <x v="256"/>
    <s v="CUST445"/>
    <x v="1"/>
    <n v="53"/>
    <x v="0"/>
    <x v="2"/>
    <x v="2"/>
    <x v="4"/>
    <x v="13"/>
  </r>
  <r>
    <n v="446"/>
    <x v="142"/>
    <s v="CUST446"/>
    <x v="0"/>
    <n v="21"/>
    <x v="2"/>
    <x v="2"/>
    <x v="2"/>
    <x v="0"/>
    <x v="5"/>
  </r>
  <r>
    <n v="447"/>
    <x v="65"/>
    <s v="CUST447"/>
    <x v="0"/>
    <n v="22"/>
    <x v="2"/>
    <x v="0"/>
    <x v="3"/>
    <x v="1"/>
    <x v="11"/>
  </r>
  <r>
    <n v="448"/>
    <x v="219"/>
    <s v="CUST448"/>
    <x v="1"/>
    <n v="54"/>
    <x v="0"/>
    <x v="0"/>
    <x v="1"/>
    <x v="2"/>
    <x v="17"/>
  </r>
  <r>
    <n v="449"/>
    <x v="39"/>
    <s v="CUST449"/>
    <x v="0"/>
    <n v="25"/>
    <x v="2"/>
    <x v="2"/>
    <x v="3"/>
    <x v="0"/>
    <x v="7"/>
  </r>
  <r>
    <n v="450"/>
    <x v="69"/>
    <s v="CUST450"/>
    <x v="1"/>
    <n v="59"/>
    <x v="1"/>
    <x v="0"/>
    <x v="1"/>
    <x v="3"/>
    <x v="5"/>
  </r>
  <r>
    <n v="451"/>
    <x v="72"/>
    <s v="CUST451"/>
    <x v="1"/>
    <n v="45"/>
    <x v="0"/>
    <x v="2"/>
    <x v="2"/>
    <x v="2"/>
    <x v="2"/>
  </r>
  <r>
    <n v="452"/>
    <x v="193"/>
    <s v="CUST452"/>
    <x v="1"/>
    <n v="48"/>
    <x v="0"/>
    <x v="1"/>
    <x v="0"/>
    <x v="1"/>
    <x v="9"/>
  </r>
  <r>
    <n v="453"/>
    <x v="236"/>
    <s v="CUST453"/>
    <x v="1"/>
    <n v="26"/>
    <x v="0"/>
    <x v="1"/>
    <x v="1"/>
    <x v="1"/>
    <x v="1"/>
  </r>
  <r>
    <n v="454"/>
    <x v="7"/>
    <s v="CUST454"/>
    <x v="1"/>
    <n v="46"/>
    <x v="0"/>
    <x v="0"/>
    <x v="2"/>
    <x v="3"/>
    <x v="16"/>
  </r>
  <r>
    <n v="455"/>
    <x v="68"/>
    <s v="CUST455"/>
    <x v="0"/>
    <n v="31"/>
    <x v="0"/>
    <x v="2"/>
    <x v="3"/>
    <x v="3"/>
    <x v="4"/>
  </r>
  <r>
    <n v="456"/>
    <x v="257"/>
    <s v="CUST456"/>
    <x v="0"/>
    <n v="57"/>
    <x v="1"/>
    <x v="2"/>
    <x v="1"/>
    <x v="2"/>
    <x v="17"/>
  </r>
  <r>
    <n v="457"/>
    <x v="180"/>
    <s v="CUST457"/>
    <x v="1"/>
    <n v="58"/>
    <x v="1"/>
    <x v="0"/>
    <x v="0"/>
    <x v="4"/>
    <x v="12"/>
  </r>
  <r>
    <n v="458"/>
    <x v="220"/>
    <s v="CUST458"/>
    <x v="1"/>
    <n v="39"/>
    <x v="0"/>
    <x v="2"/>
    <x v="3"/>
    <x v="3"/>
    <x v="4"/>
  </r>
  <r>
    <n v="459"/>
    <x v="34"/>
    <s v="CUST459"/>
    <x v="0"/>
    <n v="28"/>
    <x v="0"/>
    <x v="1"/>
    <x v="3"/>
    <x v="4"/>
    <x v="14"/>
  </r>
  <r>
    <n v="460"/>
    <x v="173"/>
    <s v="CUST460"/>
    <x v="0"/>
    <n v="40"/>
    <x v="0"/>
    <x v="0"/>
    <x v="2"/>
    <x v="0"/>
    <x v="5"/>
  </r>
  <r>
    <n v="461"/>
    <x v="66"/>
    <s v="CUST461"/>
    <x v="1"/>
    <n v="18"/>
    <x v="2"/>
    <x v="0"/>
    <x v="1"/>
    <x v="1"/>
    <x v="1"/>
  </r>
  <r>
    <n v="462"/>
    <x v="258"/>
    <s v="CUST462"/>
    <x v="0"/>
    <n v="63"/>
    <x v="1"/>
    <x v="2"/>
    <x v="3"/>
    <x v="4"/>
    <x v="14"/>
  </r>
  <r>
    <n v="463"/>
    <x v="259"/>
    <s v="CUST463"/>
    <x v="1"/>
    <n v="54"/>
    <x v="0"/>
    <x v="0"/>
    <x v="0"/>
    <x v="1"/>
    <x v="9"/>
  </r>
  <r>
    <n v="464"/>
    <x v="2"/>
    <s v="CUST464"/>
    <x v="0"/>
    <n v="38"/>
    <x v="0"/>
    <x v="2"/>
    <x v="1"/>
    <x v="4"/>
    <x v="6"/>
  </r>
  <r>
    <n v="465"/>
    <x v="128"/>
    <s v="CUST465"/>
    <x v="1"/>
    <n v="43"/>
    <x v="0"/>
    <x v="2"/>
    <x v="0"/>
    <x v="0"/>
    <x v="0"/>
  </r>
  <r>
    <n v="466"/>
    <x v="248"/>
    <s v="CUST466"/>
    <x v="0"/>
    <n v="63"/>
    <x v="1"/>
    <x v="2"/>
    <x v="3"/>
    <x v="3"/>
    <x v="4"/>
  </r>
  <r>
    <n v="467"/>
    <x v="184"/>
    <s v="CUST467"/>
    <x v="1"/>
    <n v="53"/>
    <x v="0"/>
    <x v="2"/>
    <x v="0"/>
    <x v="0"/>
    <x v="0"/>
  </r>
  <r>
    <n v="468"/>
    <x v="174"/>
    <s v="CUST468"/>
    <x v="0"/>
    <n v="40"/>
    <x v="0"/>
    <x v="2"/>
    <x v="2"/>
    <x v="3"/>
    <x v="16"/>
  </r>
  <r>
    <n v="469"/>
    <x v="193"/>
    <s v="CUST469"/>
    <x v="0"/>
    <n v="18"/>
    <x v="2"/>
    <x v="0"/>
    <x v="0"/>
    <x v="3"/>
    <x v="8"/>
  </r>
  <r>
    <n v="470"/>
    <x v="71"/>
    <s v="CUST470"/>
    <x v="1"/>
    <n v="57"/>
    <x v="1"/>
    <x v="1"/>
    <x v="1"/>
    <x v="1"/>
    <x v="1"/>
  </r>
  <r>
    <n v="471"/>
    <x v="31"/>
    <s v="CUST471"/>
    <x v="0"/>
    <n v="32"/>
    <x v="0"/>
    <x v="1"/>
    <x v="0"/>
    <x v="0"/>
    <x v="0"/>
  </r>
  <r>
    <n v="472"/>
    <x v="24"/>
    <s v="CUST472"/>
    <x v="1"/>
    <n v="38"/>
    <x v="0"/>
    <x v="0"/>
    <x v="0"/>
    <x v="4"/>
    <x v="12"/>
  </r>
  <r>
    <n v="473"/>
    <x v="192"/>
    <s v="CUST473"/>
    <x v="0"/>
    <n v="64"/>
    <x v="1"/>
    <x v="0"/>
    <x v="2"/>
    <x v="0"/>
    <x v="5"/>
  </r>
  <r>
    <n v="474"/>
    <x v="116"/>
    <s v="CUST474"/>
    <x v="1"/>
    <n v="26"/>
    <x v="0"/>
    <x v="1"/>
    <x v="0"/>
    <x v="1"/>
    <x v="9"/>
  </r>
  <r>
    <n v="475"/>
    <x v="260"/>
    <s v="CUST475"/>
    <x v="0"/>
    <n v="26"/>
    <x v="0"/>
    <x v="1"/>
    <x v="0"/>
    <x v="3"/>
    <x v="8"/>
  </r>
  <r>
    <n v="476"/>
    <x v="261"/>
    <s v="CUST476"/>
    <x v="1"/>
    <n v="27"/>
    <x v="0"/>
    <x v="1"/>
    <x v="3"/>
    <x v="1"/>
    <x v="11"/>
  </r>
  <r>
    <n v="477"/>
    <x v="262"/>
    <s v="CUST477"/>
    <x v="0"/>
    <n v="43"/>
    <x v="0"/>
    <x v="1"/>
    <x v="3"/>
    <x v="2"/>
    <x v="10"/>
  </r>
  <r>
    <n v="478"/>
    <x v="157"/>
    <s v="CUST478"/>
    <x v="1"/>
    <n v="58"/>
    <x v="1"/>
    <x v="1"/>
    <x v="1"/>
    <x v="2"/>
    <x v="17"/>
  </r>
  <r>
    <n v="479"/>
    <x v="44"/>
    <s v="CUST479"/>
    <x v="0"/>
    <n v="52"/>
    <x v="0"/>
    <x v="2"/>
    <x v="3"/>
    <x v="4"/>
    <x v="14"/>
  </r>
  <r>
    <n v="480"/>
    <x v="263"/>
    <s v="CUST480"/>
    <x v="1"/>
    <n v="42"/>
    <x v="0"/>
    <x v="0"/>
    <x v="3"/>
    <x v="1"/>
    <x v="11"/>
  </r>
  <r>
    <n v="481"/>
    <x v="264"/>
    <s v="CUST481"/>
    <x v="1"/>
    <n v="43"/>
    <x v="0"/>
    <x v="2"/>
    <x v="3"/>
    <x v="4"/>
    <x v="14"/>
  </r>
  <r>
    <n v="482"/>
    <x v="60"/>
    <s v="CUST482"/>
    <x v="1"/>
    <n v="28"/>
    <x v="0"/>
    <x v="1"/>
    <x v="3"/>
    <x v="4"/>
    <x v="14"/>
  </r>
  <r>
    <n v="483"/>
    <x v="5"/>
    <s v="CUST483"/>
    <x v="0"/>
    <n v="55"/>
    <x v="0"/>
    <x v="1"/>
    <x v="2"/>
    <x v="2"/>
    <x v="2"/>
  </r>
  <r>
    <n v="484"/>
    <x v="2"/>
    <s v="CUST484"/>
    <x v="1"/>
    <n v="19"/>
    <x v="2"/>
    <x v="1"/>
    <x v="3"/>
    <x v="4"/>
    <x v="14"/>
  </r>
  <r>
    <n v="485"/>
    <x v="151"/>
    <s v="CUST485"/>
    <x v="0"/>
    <n v="24"/>
    <x v="2"/>
    <x v="2"/>
    <x v="2"/>
    <x v="2"/>
    <x v="2"/>
  </r>
  <r>
    <n v="486"/>
    <x v="55"/>
    <s v="CUST486"/>
    <x v="1"/>
    <n v="35"/>
    <x v="0"/>
    <x v="2"/>
    <x v="2"/>
    <x v="3"/>
    <x v="16"/>
  </r>
  <r>
    <n v="487"/>
    <x v="104"/>
    <s v="CUST487"/>
    <x v="0"/>
    <n v="44"/>
    <x v="0"/>
    <x v="1"/>
    <x v="3"/>
    <x v="1"/>
    <x v="11"/>
  </r>
  <r>
    <n v="488"/>
    <x v="265"/>
    <s v="CUST488"/>
    <x v="1"/>
    <n v="51"/>
    <x v="0"/>
    <x v="2"/>
    <x v="0"/>
    <x v="4"/>
    <x v="12"/>
  </r>
  <r>
    <n v="489"/>
    <x v="29"/>
    <s v="CUST489"/>
    <x v="0"/>
    <n v="44"/>
    <x v="0"/>
    <x v="2"/>
    <x v="2"/>
    <x v="2"/>
    <x v="2"/>
  </r>
  <r>
    <n v="490"/>
    <x v="57"/>
    <s v="CUST490"/>
    <x v="0"/>
    <n v="34"/>
    <x v="0"/>
    <x v="1"/>
    <x v="0"/>
    <x v="0"/>
    <x v="0"/>
  </r>
  <r>
    <n v="491"/>
    <x v="29"/>
    <s v="CUST491"/>
    <x v="1"/>
    <n v="60"/>
    <x v="1"/>
    <x v="2"/>
    <x v="0"/>
    <x v="4"/>
    <x v="12"/>
  </r>
  <r>
    <n v="492"/>
    <x v="263"/>
    <s v="CUST492"/>
    <x v="0"/>
    <n v="61"/>
    <x v="1"/>
    <x v="0"/>
    <x v="3"/>
    <x v="3"/>
    <x v="4"/>
  </r>
  <r>
    <n v="493"/>
    <x v="123"/>
    <s v="CUST493"/>
    <x v="0"/>
    <n v="41"/>
    <x v="0"/>
    <x v="0"/>
    <x v="1"/>
    <x v="3"/>
    <x v="5"/>
  </r>
  <r>
    <n v="494"/>
    <x v="106"/>
    <s v="CUST494"/>
    <x v="1"/>
    <n v="42"/>
    <x v="0"/>
    <x v="0"/>
    <x v="3"/>
    <x v="0"/>
    <x v="7"/>
  </r>
  <r>
    <n v="495"/>
    <x v="104"/>
    <s v="CUST495"/>
    <x v="0"/>
    <n v="24"/>
    <x v="2"/>
    <x v="0"/>
    <x v="1"/>
    <x v="2"/>
    <x v="17"/>
  </r>
  <r>
    <n v="496"/>
    <x v="266"/>
    <s v="CUST496"/>
    <x v="0"/>
    <n v="23"/>
    <x v="2"/>
    <x v="1"/>
    <x v="1"/>
    <x v="4"/>
    <x v="6"/>
  </r>
  <r>
    <n v="497"/>
    <x v="45"/>
    <s v="CUST497"/>
    <x v="0"/>
    <n v="41"/>
    <x v="0"/>
    <x v="1"/>
    <x v="3"/>
    <x v="2"/>
    <x v="10"/>
  </r>
  <r>
    <n v="498"/>
    <x v="171"/>
    <s v="CUST498"/>
    <x v="1"/>
    <n v="50"/>
    <x v="0"/>
    <x v="1"/>
    <x v="3"/>
    <x v="3"/>
    <x v="4"/>
  </r>
  <r>
    <n v="499"/>
    <x v="267"/>
    <s v="CUST499"/>
    <x v="0"/>
    <n v="46"/>
    <x v="0"/>
    <x v="0"/>
    <x v="1"/>
    <x v="2"/>
    <x v="17"/>
  </r>
  <r>
    <n v="500"/>
    <x v="240"/>
    <s v="CUST500"/>
    <x v="1"/>
    <n v="60"/>
    <x v="1"/>
    <x v="0"/>
    <x v="3"/>
    <x v="3"/>
    <x v="4"/>
  </r>
  <r>
    <n v="501"/>
    <x v="224"/>
    <s v="CUST501"/>
    <x v="0"/>
    <n v="39"/>
    <x v="0"/>
    <x v="2"/>
    <x v="1"/>
    <x v="2"/>
    <x v="17"/>
  </r>
  <r>
    <n v="502"/>
    <x v="128"/>
    <s v="CUST502"/>
    <x v="0"/>
    <n v="43"/>
    <x v="0"/>
    <x v="2"/>
    <x v="0"/>
    <x v="0"/>
    <x v="0"/>
  </r>
  <r>
    <n v="503"/>
    <x v="268"/>
    <s v="CUST503"/>
    <x v="0"/>
    <n v="45"/>
    <x v="0"/>
    <x v="0"/>
    <x v="3"/>
    <x v="1"/>
    <x v="11"/>
  </r>
  <r>
    <n v="504"/>
    <x v="42"/>
    <s v="CUST504"/>
    <x v="1"/>
    <n v="38"/>
    <x v="0"/>
    <x v="0"/>
    <x v="0"/>
    <x v="0"/>
    <x v="0"/>
  </r>
  <r>
    <n v="505"/>
    <x v="260"/>
    <s v="CUST505"/>
    <x v="0"/>
    <n v="24"/>
    <x v="2"/>
    <x v="0"/>
    <x v="2"/>
    <x v="0"/>
    <x v="5"/>
  </r>
  <r>
    <n v="506"/>
    <x v="192"/>
    <s v="CUST506"/>
    <x v="0"/>
    <n v="34"/>
    <x v="0"/>
    <x v="0"/>
    <x v="0"/>
    <x v="1"/>
    <x v="9"/>
  </r>
  <r>
    <n v="507"/>
    <x v="113"/>
    <s v="CUST507"/>
    <x v="1"/>
    <n v="37"/>
    <x v="0"/>
    <x v="2"/>
    <x v="0"/>
    <x v="1"/>
    <x v="9"/>
  </r>
  <r>
    <n v="508"/>
    <x v="124"/>
    <s v="CUST508"/>
    <x v="0"/>
    <n v="58"/>
    <x v="1"/>
    <x v="0"/>
    <x v="1"/>
    <x v="4"/>
    <x v="6"/>
  </r>
  <r>
    <n v="509"/>
    <x v="40"/>
    <s v="CUST509"/>
    <x v="1"/>
    <n v="37"/>
    <x v="0"/>
    <x v="2"/>
    <x v="0"/>
    <x v="4"/>
    <x v="12"/>
  </r>
  <r>
    <n v="510"/>
    <x v="210"/>
    <s v="CUST510"/>
    <x v="1"/>
    <n v="39"/>
    <x v="0"/>
    <x v="0"/>
    <x v="3"/>
    <x v="0"/>
    <x v="7"/>
  </r>
  <r>
    <n v="511"/>
    <x v="269"/>
    <s v="CUST511"/>
    <x v="0"/>
    <n v="45"/>
    <x v="0"/>
    <x v="0"/>
    <x v="1"/>
    <x v="0"/>
    <x v="4"/>
  </r>
  <r>
    <n v="512"/>
    <x v="155"/>
    <s v="CUST512"/>
    <x v="1"/>
    <n v="57"/>
    <x v="1"/>
    <x v="0"/>
    <x v="2"/>
    <x v="3"/>
    <x v="16"/>
  </r>
  <r>
    <n v="513"/>
    <x v="270"/>
    <s v="CUST513"/>
    <x v="0"/>
    <n v="24"/>
    <x v="2"/>
    <x v="2"/>
    <x v="3"/>
    <x v="3"/>
    <x v="4"/>
  </r>
  <r>
    <n v="514"/>
    <x v="240"/>
    <s v="CUST514"/>
    <x v="1"/>
    <n v="18"/>
    <x v="2"/>
    <x v="2"/>
    <x v="2"/>
    <x v="4"/>
    <x v="13"/>
  </r>
  <r>
    <n v="515"/>
    <x v="115"/>
    <s v="CUST515"/>
    <x v="1"/>
    <n v="49"/>
    <x v="0"/>
    <x v="1"/>
    <x v="0"/>
    <x v="4"/>
    <x v="12"/>
  </r>
  <r>
    <n v="516"/>
    <x v="54"/>
    <s v="CUST516"/>
    <x v="0"/>
    <n v="30"/>
    <x v="0"/>
    <x v="0"/>
    <x v="3"/>
    <x v="3"/>
    <x v="4"/>
  </r>
  <r>
    <n v="517"/>
    <x v="181"/>
    <s v="CUST517"/>
    <x v="1"/>
    <n v="47"/>
    <x v="0"/>
    <x v="1"/>
    <x v="3"/>
    <x v="3"/>
    <x v="4"/>
  </r>
  <r>
    <n v="518"/>
    <x v="271"/>
    <s v="CUST518"/>
    <x v="1"/>
    <n v="40"/>
    <x v="0"/>
    <x v="1"/>
    <x v="2"/>
    <x v="2"/>
    <x v="2"/>
  </r>
  <r>
    <n v="519"/>
    <x v="43"/>
    <s v="CUST519"/>
    <x v="1"/>
    <n v="36"/>
    <x v="0"/>
    <x v="2"/>
    <x v="3"/>
    <x v="2"/>
    <x v="10"/>
  </r>
  <r>
    <n v="520"/>
    <x v="167"/>
    <s v="CUST520"/>
    <x v="1"/>
    <n v="49"/>
    <x v="0"/>
    <x v="2"/>
    <x v="3"/>
    <x v="3"/>
    <x v="4"/>
  </r>
  <r>
    <n v="521"/>
    <x v="269"/>
    <s v="CUST521"/>
    <x v="1"/>
    <n v="47"/>
    <x v="0"/>
    <x v="1"/>
    <x v="3"/>
    <x v="2"/>
    <x v="10"/>
  </r>
  <r>
    <n v="522"/>
    <x v="137"/>
    <s v="CUST522"/>
    <x v="0"/>
    <n v="46"/>
    <x v="0"/>
    <x v="0"/>
    <x v="0"/>
    <x v="1"/>
    <x v="9"/>
  </r>
  <r>
    <n v="523"/>
    <x v="272"/>
    <s v="CUST523"/>
    <x v="1"/>
    <n v="62"/>
    <x v="1"/>
    <x v="2"/>
    <x v="2"/>
    <x v="4"/>
    <x v="13"/>
  </r>
  <r>
    <n v="524"/>
    <x v="99"/>
    <s v="CUST524"/>
    <x v="0"/>
    <n v="46"/>
    <x v="0"/>
    <x v="0"/>
    <x v="3"/>
    <x v="4"/>
    <x v="14"/>
  </r>
  <r>
    <n v="525"/>
    <x v="244"/>
    <s v="CUST525"/>
    <x v="1"/>
    <n v="47"/>
    <x v="0"/>
    <x v="0"/>
    <x v="1"/>
    <x v="3"/>
    <x v="5"/>
  </r>
  <r>
    <n v="526"/>
    <x v="70"/>
    <s v="CUST526"/>
    <x v="0"/>
    <n v="33"/>
    <x v="0"/>
    <x v="1"/>
    <x v="1"/>
    <x v="0"/>
    <x v="4"/>
  </r>
  <r>
    <n v="527"/>
    <x v="273"/>
    <s v="CUST527"/>
    <x v="0"/>
    <n v="57"/>
    <x v="1"/>
    <x v="1"/>
    <x v="1"/>
    <x v="3"/>
    <x v="5"/>
  </r>
  <r>
    <n v="528"/>
    <x v="65"/>
    <s v="CUST528"/>
    <x v="1"/>
    <n v="36"/>
    <x v="0"/>
    <x v="1"/>
    <x v="1"/>
    <x v="2"/>
    <x v="17"/>
  </r>
  <r>
    <n v="529"/>
    <x v="183"/>
    <s v="CUST529"/>
    <x v="1"/>
    <n v="35"/>
    <x v="0"/>
    <x v="1"/>
    <x v="0"/>
    <x v="0"/>
    <x v="0"/>
  </r>
  <r>
    <n v="530"/>
    <x v="57"/>
    <s v="CUST530"/>
    <x v="1"/>
    <n v="18"/>
    <x v="2"/>
    <x v="2"/>
    <x v="3"/>
    <x v="2"/>
    <x v="10"/>
  </r>
  <r>
    <n v="531"/>
    <x v="274"/>
    <s v="CUST531"/>
    <x v="0"/>
    <n v="31"/>
    <x v="0"/>
    <x v="2"/>
    <x v="2"/>
    <x v="1"/>
    <x v="3"/>
  </r>
  <r>
    <n v="532"/>
    <x v="171"/>
    <s v="CUST532"/>
    <x v="1"/>
    <n v="64"/>
    <x v="1"/>
    <x v="1"/>
    <x v="3"/>
    <x v="2"/>
    <x v="10"/>
  </r>
  <r>
    <n v="533"/>
    <x v="275"/>
    <s v="CUST533"/>
    <x v="0"/>
    <n v="19"/>
    <x v="2"/>
    <x v="2"/>
    <x v="0"/>
    <x v="1"/>
    <x v="9"/>
  </r>
  <r>
    <n v="534"/>
    <x v="210"/>
    <s v="CUST534"/>
    <x v="0"/>
    <n v="45"/>
    <x v="0"/>
    <x v="1"/>
    <x v="1"/>
    <x v="1"/>
    <x v="1"/>
  </r>
  <r>
    <n v="535"/>
    <x v="237"/>
    <s v="CUST535"/>
    <x v="0"/>
    <n v="47"/>
    <x v="0"/>
    <x v="0"/>
    <x v="0"/>
    <x v="2"/>
    <x v="15"/>
  </r>
  <r>
    <n v="536"/>
    <x v="46"/>
    <s v="CUST536"/>
    <x v="1"/>
    <n v="55"/>
    <x v="0"/>
    <x v="0"/>
    <x v="3"/>
    <x v="2"/>
    <x v="10"/>
  </r>
  <r>
    <n v="537"/>
    <x v="226"/>
    <s v="CUST537"/>
    <x v="1"/>
    <n v="21"/>
    <x v="2"/>
    <x v="0"/>
    <x v="2"/>
    <x v="1"/>
    <x v="3"/>
  </r>
  <r>
    <n v="538"/>
    <x v="129"/>
    <s v="CUST538"/>
    <x v="0"/>
    <n v="18"/>
    <x v="2"/>
    <x v="1"/>
    <x v="0"/>
    <x v="0"/>
    <x v="0"/>
  </r>
  <r>
    <n v="539"/>
    <x v="276"/>
    <s v="CUST539"/>
    <x v="0"/>
    <n v="25"/>
    <x v="2"/>
    <x v="0"/>
    <x v="2"/>
    <x v="1"/>
    <x v="3"/>
  </r>
  <r>
    <n v="540"/>
    <x v="236"/>
    <s v="CUST540"/>
    <x v="1"/>
    <n v="46"/>
    <x v="0"/>
    <x v="2"/>
    <x v="0"/>
    <x v="4"/>
    <x v="12"/>
  </r>
  <r>
    <n v="541"/>
    <x v="277"/>
    <s v="CUST541"/>
    <x v="0"/>
    <n v="56"/>
    <x v="1"/>
    <x v="0"/>
    <x v="2"/>
    <x v="1"/>
    <x v="3"/>
  </r>
  <r>
    <n v="542"/>
    <x v="278"/>
    <s v="CUST542"/>
    <x v="1"/>
    <n v="20"/>
    <x v="2"/>
    <x v="0"/>
    <x v="2"/>
    <x v="0"/>
    <x v="5"/>
  </r>
  <r>
    <n v="543"/>
    <x v="191"/>
    <s v="CUST543"/>
    <x v="0"/>
    <n v="49"/>
    <x v="0"/>
    <x v="0"/>
    <x v="1"/>
    <x v="4"/>
    <x v="6"/>
  </r>
  <r>
    <n v="544"/>
    <x v="204"/>
    <s v="CUST544"/>
    <x v="1"/>
    <n v="27"/>
    <x v="0"/>
    <x v="2"/>
    <x v="2"/>
    <x v="3"/>
    <x v="16"/>
  </r>
  <r>
    <n v="545"/>
    <x v="207"/>
    <s v="CUST545"/>
    <x v="0"/>
    <n v="27"/>
    <x v="0"/>
    <x v="1"/>
    <x v="1"/>
    <x v="3"/>
    <x v="5"/>
  </r>
  <r>
    <n v="546"/>
    <x v="120"/>
    <s v="CUST546"/>
    <x v="1"/>
    <n v="36"/>
    <x v="0"/>
    <x v="2"/>
    <x v="3"/>
    <x v="0"/>
    <x v="7"/>
  </r>
  <r>
    <n v="547"/>
    <x v="150"/>
    <s v="CUST547"/>
    <x v="0"/>
    <n v="63"/>
    <x v="1"/>
    <x v="1"/>
    <x v="3"/>
    <x v="1"/>
    <x v="11"/>
  </r>
  <r>
    <n v="548"/>
    <x v="55"/>
    <s v="CUST548"/>
    <x v="1"/>
    <n v="51"/>
    <x v="0"/>
    <x v="1"/>
    <x v="1"/>
    <x v="2"/>
    <x v="17"/>
  </r>
  <r>
    <n v="549"/>
    <x v="279"/>
    <s v="CUST549"/>
    <x v="1"/>
    <n v="50"/>
    <x v="0"/>
    <x v="0"/>
    <x v="1"/>
    <x v="0"/>
    <x v="4"/>
  </r>
  <r>
    <n v="550"/>
    <x v="274"/>
    <s v="CUST550"/>
    <x v="0"/>
    <n v="40"/>
    <x v="0"/>
    <x v="1"/>
    <x v="0"/>
    <x v="4"/>
    <x v="12"/>
  </r>
  <r>
    <n v="551"/>
    <x v="37"/>
    <s v="CUST551"/>
    <x v="0"/>
    <n v="45"/>
    <x v="0"/>
    <x v="2"/>
    <x v="0"/>
    <x v="4"/>
    <x v="12"/>
  </r>
  <r>
    <n v="552"/>
    <x v="8"/>
    <s v="CUST552"/>
    <x v="1"/>
    <n v="49"/>
    <x v="0"/>
    <x v="2"/>
    <x v="0"/>
    <x v="3"/>
    <x v="8"/>
  </r>
  <r>
    <n v="553"/>
    <x v="280"/>
    <s v="CUST553"/>
    <x v="0"/>
    <n v="24"/>
    <x v="2"/>
    <x v="1"/>
    <x v="3"/>
    <x v="4"/>
    <x v="14"/>
  </r>
  <r>
    <n v="554"/>
    <x v="281"/>
    <s v="CUST554"/>
    <x v="1"/>
    <n v="46"/>
    <x v="0"/>
    <x v="0"/>
    <x v="0"/>
    <x v="0"/>
    <x v="0"/>
  </r>
  <r>
    <n v="555"/>
    <x v="218"/>
    <s v="CUST555"/>
    <x v="0"/>
    <n v="25"/>
    <x v="2"/>
    <x v="0"/>
    <x v="2"/>
    <x v="4"/>
    <x v="13"/>
  </r>
  <r>
    <n v="556"/>
    <x v="234"/>
    <s v="CUST556"/>
    <x v="1"/>
    <n v="18"/>
    <x v="2"/>
    <x v="2"/>
    <x v="2"/>
    <x v="0"/>
    <x v="5"/>
  </r>
  <r>
    <n v="557"/>
    <x v="282"/>
    <s v="CUST557"/>
    <x v="1"/>
    <n v="20"/>
    <x v="2"/>
    <x v="0"/>
    <x v="0"/>
    <x v="2"/>
    <x v="15"/>
  </r>
  <r>
    <n v="558"/>
    <x v="283"/>
    <s v="CUST558"/>
    <x v="1"/>
    <n v="41"/>
    <x v="0"/>
    <x v="1"/>
    <x v="2"/>
    <x v="3"/>
    <x v="16"/>
  </r>
  <r>
    <n v="559"/>
    <x v="137"/>
    <s v="CUST559"/>
    <x v="1"/>
    <n v="40"/>
    <x v="0"/>
    <x v="1"/>
    <x v="3"/>
    <x v="4"/>
    <x v="14"/>
  </r>
  <r>
    <n v="560"/>
    <x v="284"/>
    <s v="CUST560"/>
    <x v="1"/>
    <n v="25"/>
    <x v="2"/>
    <x v="2"/>
    <x v="2"/>
    <x v="0"/>
    <x v="5"/>
  </r>
  <r>
    <n v="561"/>
    <x v="203"/>
    <s v="CUST561"/>
    <x v="1"/>
    <n v="64"/>
    <x v="1"/>
    <x v="1"/>
    <x v="3"/>
    <x v="1"/>
    <x v="11"/>
  </r>
  <r>
    <n v="562"/>
    <x v="69"/>
    <s v="CUST562"/>
    <x v="0"/>
    <n v="54"/>
    <x v="0"/>
    <x v="2"/>
    <x v="1"/>
    <x v="3"/>
    <x v="5"/>
  </r>
  <r>
    <n v="563"/>
    <x v="183"/>
    <s v="CUST563"/>
    <x v="0"/>
    <n v="20"/>
    <x v="2"/>
    <x v="1"/>
    <x v="1"/>
    <x v="2"/>
    <x v="17"/>
  </r>
  <r>
    <n v="564"/>
    <x v="208"/>
    <s v="CUST564"/>
    <x v="0"/>
    <n v="50"/>
    <x v="0"/>
    <x v="2"/>
    <x v="1"/>
    <x v="0"/>
    <x v="4"/>
  </r>
  <r>
    <n v="565"/>
    <x v="155"/>
    <s v="CUST565"/>
    <x v="1"/>
    <n v="45"/>
    <x v="0"/>
    <x v="0"/>
    <x v="1"/>
    <x v="2"/>
    <x v="17"/>
  </r>
  <r>
    <n v="566"/>
    <x v="92"/>
    <s v="CUST566"/>
    <x v="1"/>
    <n v="64"/>
    <x v="1"/>
    <x v="1"/>
    <x v="2"/>
    <x v="2"/>
    <x v="2"/>
  </r>
  <r>
    <n v="567"/>
    <x v="285"/>
    <s v="CUST567"/>
    <x v="1"/>
    <n v="25"/>
    <x v="2"/>
    <x v="1"/>
    <x v="0"/>
    <x v="4"/>
    <x v="12"/>
  </r>
  <r>
    <n v="568"/>
    <x v="286"/>
    <s v="CUST568"/>
    <x v="1"/>
    <n v="51"/>
    <x v="0"/>
    <x v="2"/>
    <x v="2"/>
    <x v="4"/>
    <x v="13"/>
  </r>
  <r>
    <n v="569"/>
    <x v="196"/>
    <s v="CUST569"/>
    <x v="0"/>
    <n v="52"/>
    <x v="0"/>
    <x v="2"/>
    <x v="3"/>
    <x v="0"/>
    <x v="7"/>
  </r>
  <r>
    <n v="570"/>
    <x v="196"/>
    <s v="CUST570"/>
    <x v="0"/>
    <n v="49"/>
    <x v="0"/>
    <x v="1"/>
    <x v="2"/>
    <x v="1"/>
    <x v="3"/>
  </r>
  <r>
    <n v="571"/>
    <x v="216"/>
    <s v="CUST571"/>
    <x v="1"/>
    <n v="41"/>
    <x v="0"/>
    <x v="2"/>
    <x v="2"/>
    <x v="0"/>
    <x v="5"/>
  </r>
  <r>
    <n v="572"/>
    <x v="175"/>
    <s v="CUST572"/>
    <x v="0"/>
    <n v="31"/>
    <x v="0"/>
    <x v="1"/>
    <x v="3"/>
    <x v="1"/>
    <x v="11"/>
  </r>
  <r>
    <n v="573"/>
    <x v="270"/>
    <s v="CUST573"/>
    <x v="0"/>
    <n v="49"/>
    <x v="0"/>
    <x v="0"/>
    <x v="1"/>
    <x v="2"/>
    <x v="17"/>
  </r>
  <r>
    <n v="574"/>
    <x v="178"/>
    <s v="CUST574"/>
    <x v="1"/>
    <n v="63"/>
    <x v="1"/>
    <x v="2"/>
    <x v="1"/>
    <x v="3"/>
    <x v="5"/>
  </r>
  <r>
    <n v="575"/>
    <x v="287"/>
    <s v="CUST575"/>
    <x v="0"/>
    <n v="60"/>
    <x v="1"/>
    <x v="1"/>
    <x v="1"/>
    <x v="0"/>
    <x v="4"/>
  </r>
  <r>
    <n v="576"/>
    <x v="151"/>
    <s v="CUST576"/>
    <x v="1"/>
    <n v="33"/>
    <x v="0"/>
    <x v="0"/>
    <x v="0"/>
    <x v="0"/>
    <x v="0"/>
  </r>
  <r>
    <n v="577"/>
    <x v="146"/>
    <s v="CUST577"/>
    <x v="0"/>
    <n v="21"/>
    <x v="2"/>
    <x v="0"/>
    <x v="3"/>
    <x v="1"/>
    <x v="11"/>
  </r>
  <r>
    <n v="578"/>
    <x v="232"/>
    <s v="CUST578"/>
    <x v="1"/>
    <n v="54"/>
    <x v="0"/>
    <x v="1"/>
    <x v="3"/>
    <x v="2"/>
    <x v="10"/>
  </r>
  <r>
    <n v="579"/>
    <x v="172"/>
    <s v="CUST579"/>
    <x v="1"/>
    <n v="38"/>
    <x v="0"/>
    <x v="2"/>
    <x v="2"/>
    <x v="2"/>
    <x v="2"/>
  </r>
  <r>
    <n v="580"/>
    <x v="237"/>
    <s v="CUST580"/>
    <x v="1"/>
    <n v="31"/>
    <x v="0"/>
    <x v="1"/>
    <x v="0"/>
    <x v="1"/>
    <x v="9"/>
  </r>
  <r>
    <n v="581"/>
    <x v="245"/>
    <s v="CUST581"/>
    <x v="1"/>
    <n v="48"/>
    <x v="0"/>
    <x v="0"/>
    <x v="1"/>
    <x v="2"/>
    <x v="17"/>
  </r>
  <r>
    <n v="582"/>
    <x v="220"/>
    <s v="CUST582"/>
    <x v="0"/>
    <n v="35"/>
    <x v="0"/>
    <x v="1"/>
    <x v="0"/>
    <x v="4"/>
    <x v="12"/>
  </r>
  <r>
    <n v="583"/>
    <x v="288"/>
    <s v="CUST583"/>
    <x v="1"/>
    <n v="24"/>
    <x v="2"/>
    <x v="2"/>
    <x v="3"/>
    <x v="3"/>
    <x v="4"/>
  </r>
  <r>
    <n v="584"/>
    <x v="15"/>
    <s v="CUST584"/>
    <x v="1"/>
    <n v="27"/>
    <x v="0"/>
    <x v="0"/>
    <x v="3"/>
    <x v="0"/>
    <x v="7"/>
  </r>
  <r>
    <n v="585"/>
    <x v="217"/>
    <s v="CUST585"/>
    <x v="1"/>
    <n v="24"/>
    <x v="2"/>
    <x v="1"/>
    <x v="2"/>
    <x v="3"/>
    <x v="16"/>
  </r>
  <r>
    <n v="586"/>
    <x v="186"/>
    <s v="CUST586"/>
    <x v="0"/>
    <n v="50"/>
    <x v="0"/>
    <x v="2"/>
    <x v="2"/>
    <x v="0"/>
    <x v="5"/>
  </r>
  <r>
    <n v="587"/>
    <x v="276"/>
    <s v="CUST587"/>
    <x v="1"/>
    <n v="40"/>
    <x v="0"/>
    <x v="0"/>
    <x v="3"/>
    <x v="4"/>
    <x v="14"/>
  </r>
  <r>
    <n v="588"/>
    <x v="164"/>
    <s v="CUST588"/>
    <x v="0"/>
    <n v="38"/>
    <x v="0"/>
    <x v="2"/>
    <x v="1"/>
    <x v="2"/>
    <x v="17"/>
  </r>
  <r>
    <n v="589"/>
    <x v="22"/>
    <s v="CUST589"/>
    <x v="1"/>
    <n v="36"/>
    <x v="0"/>
    <x v="0"/>
    <x v="1"/>
    <x v="1"/>
    <x v="1"/>
  </r>
  <r>
    <n v="590"/>
    <x v="255"/>
    <s v="CUST590"/>
    <x v="0"/>
    <n v="36"/>
    <x v="0"/>
    <x v="1"/>
    <x v="0"/>
    <x v="4"/>
    <x v="12"/>
  </r>
  <r>
    <n v="591"/>
    <x v="2"/>
    <s v="CUST591"/>
    <x v="0"/>
    <n v="53"/>
    <x v="0"/>
    <x v="2"/>
    <x v="3"/>
    <x v="3"/>
    <x v="4"/>
  </r>
  <r>
    <n v="592"/>
    <x v="58"/>
    <s v="CUST592"/>
    <x v="1"/>
    <n v="46"/>
    <x v="0"/>
    <x v="0"/>
    <x v="3"/>
    <x v="1"/>
    <x v="11"/>
  </r>
  <r>
    <n v="593"/>
    <x v="4"/>
    <s v="CUST593"/>
    <x v="0"/>
    <n v="35"/>
    <x v="0"/>
    <x v="2"/>
    <x v="1"/>
    <x v="2"/>
    <x v="17"/>
  </r>
  <r>
    <n v="594"/>
    <x v="152"/>
    <s v="CUST594"/>
    <x v="1"/>
    <n v="19"/>
    <x v="2"/>
    <x v="2"/>
    <x v="1"/>
    <x v="4"/>
    <x v="6"/>
  </r>
  <r>
    <n v="595"/>
    <x v="289"/>
    <s v="CUST595"/>
    <x v="1"/>
    <n v="18"/>
    <x v="2"/>
    <x v="1"/>
    <x v="3"/>
    <x v="1"/>
    <x v="11"/>
  </r>
  <r>
    <n v="596"/>
    <x v="227"/>
    <s v="CUST596"/>
    <x v="1"/>
    <n v="64"/>
    <x v="1"/>
    <x v="2"/>
    <x v="2"/>
    <x v="4"/>
    <x v="13"/>
  </r>
  <r>
    <n v="597"/>
    <x v="290"/>
    <s v="CUST597"/>
    <x v="0"/>
    <n v="22"/>
    <x v="2"/>
    <x v="0"/>
    <x v="3"/>
    <x v="4"/>
    <x v="14"/>
  </r>
  <r>
    <n v="598"/>
    <x v="291"/>
    <s v="CUST598"/>
    <x v="0"/>
    <n v="37"/>
    <x v="0"/>
    <x v="0"/>
    <x v="3"/>
    <x v="2"/>
    <x v="10"/>
  </r>
  <r>
    <n v="599"/>
    <x v="292"/>
    <s v="CUST599"/>
    <x v="1"/>
    <n v="28"/>
    <x v="0"/>
    <x v="0"/>
    <x v="1"/>
    <x v="0"/>
    <x v="4"/>
  </r>
  <r>
    <n v="600"/>
    <x v="293"/>
    <s v="CUST600"/>
    <x v="1"/>
    <n v="59"/>
    <x v="1"/>
    <x v="0"/>
    <x v="1"/>
    <x v="1"/>
    <x v="1"/>
  </r>
  <r>
    <n v="601"/>
    <x v="294"/>
    <s v="CUST601"/>
    <x v="0"/>
    <n v="19"/>
    <x v="2"/>
    <x v="1"/>
    <x v="2"/>
    <x v="2"/>
    <x v="2"/>
  </r>
  <r>
    <n v="602"/>
    <x v="204"/>
    <s v="CUST602"/>
    <x v="1"/>
    <n v="20"/>
    <x v="2"/>
    <x v="2"/>
    <x v="2"/>
    <x v="4"/>
    <x v="13"/>
  </r>
  <r>
    <n v="603"/>
    <x v="295"/>
    <s v="CUST603"/>
    <x v="1"/>
    <n v="40"/>
    <x v="0"/>
    <x v="1"/>
    <x v="0"/>
    <x v="2"/>
    <x v="15"/>
  </r>
  <r>
    <n v="604"/>
    <x v="296"/>
    <s v="CUST604"/>
    <x v="1"/>
    <n v="29"/>
    <x v="0"/>
    <x v="2"/>
    <x v="3"/>
    <x v="0"/>
    <x v="7"/>
  </r>
  <r>
    <n v="605"/>
    <x v="104"/>
    <s v="CUST605"/>
    <x v="0"/>
    <n v="37"/>
    <x v="0"/>
    <x v="2"/>
    <x v="1"/>
    <x v="1"/>
    <x v="1"/>
  </r>
  <r>
    <n v="606"/>
    <x v="179"/>
    <s v="CUST606"/>
    <x v="0"/>
    <n v="22"/>
    <x v="2"/>
    <x v="2"/>
    <x v="2"/>
    <x v="0"/>
    <x v="5"/>
  </r>
  <r>
    <n v="607"/>
    <x v="255"/>
    <s v="CUST607"/>
    <x v="0"/>
    <n v="54"/>
    <x v="0"/>
    <x v="1"/>
    <x v="0"/>
    <x v="3"/>
    <x v="8"/>
  </r>
  <r>
    <n v="608"/>
    <x v="92"/>
    <s v="CUST608"/>
    <x v="1"/>
    <n v="55"/>
    <x v="0"/>
    <x v="2"/>
    <x v="0"/>
    <x v="1"/>
    <x v="9"/>
  </r>
  <r>
    <n v="609"/>
    <x v="80"/>
    <s v="CUST609"/>
    <x v="1"/>
    <n v="47"/>
    <x v="0"/>
    <x v="1"/>
    <x v="1"/>
    <x v="0"/>
    <x v="4"/>
  </r>
  <r>
    <n v="610"/>
    <x v="297"/>
    <s v="CUST610"/>
    <x v="1"/>
    <n v="26"/>
    <x v="0"/>
    <x v="0"/>
    <x v="1"/>
    <x v="4"/>
    <x v="6"/>
  </r>
  <r>
    <n v="611"/>
    <x v="130"/>
    <s v="CUST611"/>
    <x v="0"/>
    <n v="51"/>
    <x v="0"/>
    <x v="0"/>
    <x v="0"/>
    <x v="1"/>
    <x v="9"/>
  </r>
  <r>
    <n v="612"/>
    <x v="298"/>
    <s v="CUST612"/>
    <x v="1"/>
    <n v="61"/>
    <x v="1"/>
    <x v="2"/>
    <x v="2"/>
    <x v="1"/>
    <x v="3"/>
  </r>
  <r>
    <n v="613"/>
    <x v="26"/>
    <s v="CUST613"/>
    <x v="1"/>
    <n v="52"/>
    <x v="0"/>
    <x v="1"/>
    <x v="0"/>
    <x v="2"/>
    <x v="15"/>
  </r>
  <r>
    <n v="614"/>
    <x v="258"/>
    <s v="CUST614"/>
    <x v="1"/>
    <n v="39"/>
    <x v="0"/>
    <x v="0"/>
    <x v="3"/>
    <x v="4"/>
    <x v="14"/>
  </r>
  <r>
    <n v="615"/>
    <x v="204"/>
    <s v="CUST615"/>
    <x v="1"/>
    <n v="61"/>
    <x v="1"/>
    <x v="1"/>
    <x v="3"/>
    <x v="3"/>
    <x v="4"/>
  </r>
  <r>
    <n v="616"/>
    <x v="299"/>
    <s v="CUST616"/>
    <x v="0"/>
    <n v="41"/>
    <x v="0"/>
    <x v="1"/>
    <x v="1"/>
    <x v="0"/>
    <x v="4"/>
  </r>
  <r>
    <n v="617"/>
    <x v="300"/>
    <s v="CUST617"/>
    <x v="0"/>
    <n v="34"/>
    <x v="0"/>
    <x v="2"/>
    <x v="2"/>
    <x v="2"/>
    <x v="2"/>
  </r>
  <r>
    <n v="618"/>
    <x v="197"/>
    <s v="CUST618"/>
    <x v="1"/>
    <n v="27"/>
    <x v="0"/>
    <x v="0"/>
    <x v="2"/>
    <x v="0"/>
    <x v="5"/>
  </r>
  <r>
    <n v="619"/>
    <x v="81"/>
    <s v="CUST619"/>
    <x v="0"/>
    <n v="47"/>
    <x v="0"/>
    <x v="2"/>
    <x v="3"/>
    <x v="3"/>
    <x v="4"/>
  </r>
  <r>
    <n v="620"/>
    <x v="193"/>
    <s v="CUST620"/>
    <x v="0"/>
    <n v="63"/>
    <x v="1"/>
    <x v="2"/>
    <x v="0"/>
    <x v="3"/>
    <x v="8"/>
  </r>
  <r>
    <n v="621"/>
    <x v="301"/>
    <s v="CUST621"/>
    <x v="1"/>
    <n v="40"/>
    <x v="0"/>
    <x v="0"/>
    <x v="1"/>
    <x v="1"/>
    <x v="1"/>
  </r>
  <r>
    <n v="622"/>
    <x v="290"/>
    <s v="CUST622"/>
    <x v="1"/>
    <n v="49"/>
    <x v="0"/>
    <x v="0"/>
    <x v="0"/>
    <x v="3"/>
    <x v="8"/>
  </r>
  <r>
    <n v="623"/>
    <x v="239"/>
    <s v="CUST623"/>
    <x v="0"/>
    <n v="34"/>
    <x v="0"/>
    <x v="1"/>
    <x v="0"/>
    <x v="0"/>
    <x v="0"/>
  </r>
  <r>
    <n v="624"/>
    <x v="300"/>
    <s v="CUST624"/>
    <x v="1"/>
    <n v="34"/>
    <x v="0"/>
    <x v="0"/>
    <x v="0"/>
    <x v="4"/>
    <x v="12"/>
  </r>
  <r>
    <n v="625"/>
    <x v="236"/>
    <s v="CUST625"/>
    <x v="0"/>
    <n v="31"/>
    <x v="0"/>
    <x v="1"/>
    <x v="2"/>
    <x v="4"/>
    <x v="13"/>
  </r>
  <r>
    <n v="626"/>
    <x v="136"/>
    <s v="CUST626"/>
    <x v="1"/>
    <n v="26"/>
    <x v="0"/>
    <x v="1"/>
    <x v="3"/>
    <x v="1"/>
    <x v="11"/>
  </r>
  <r>
    <n v="627"/>
    <x v="257"/>
    <s v="CUST627"/>
    <x v="0"/>
    <n v="57"/>
    <x v="1"/>
    <x v="1"/>
    <x v="2"/>
    <x v="0"/>
    <x v="5"/>
  </r>
  <r>
    <n v="628"/>
    <x v="215"/>
    <s v="CUST628"/>
    <x v="1"/>
    <n v="19"/>
    <x v="2"/>
    <x v="0"/>
    <x v="3"/>
    <x v="0"/>
    <x v="7"/>
  </r>
  <r>
    <n v="629"/>
    <x v="302"/>
    <s v="CUST629"/>
    <x v="0"/>
    <n v="62"/>
    <x v="1"/>
    <x v="2"/>
    <x v="1"/>
    <x v="3"/>
    <x v="5"/>
  </r>
  <r>
    <n v="630"/>
    <x v="196"/>
    <s v="CUST630"/>
    <x v="0"/>
    <n v="42"/>
    <x v="0"/>
    <x v="1"/>
    <x v="1"/>
    <x v="0"/>
    <x v="4"/>
  </r>
  <r>
    <n v="631"/>
    <x v="235"/>
    <s v="CUST631"/>
    <x v="0"/>
    <n v="56"/>
    <x v="1"/>
    <x v="2"/>
    <x v="0"/>
    <x v="2"/>
    <x v="15"/>
  </r>
  <r>
    <n v="632"/>
    <x v="18"/>
    <s v="CUST632"/>
    <x v="1"/>
    <n v="26"/>
    <x v="0"/>
    <x v="2"/>
    <x v="3"/>
    <x v="3"/>
    <x v="4"/>
  </r>
  <r>
    <n v="633"/>
    <x v="252"/>
    <s v="CUST633"/>
    <x v="0"/>
    <n v="39"/>
    <x v="0"/>
    <x v="0"/>
    <x v="3"/>
    <x v="2"/>
    <x v="10"/>
  </r>
  <r>
    <n v="634"/>
    <x v="283"/>
    <s v="CUST634"/>
    <x v="0"/>
    <n v="60"/>
    <x v="1"/>
    <x v="2"/>
    <x v="3"/>
    <x v="1"/>
    <x v="11"/>
  </r>
  <r>
    <n v="635"/>
    <x v="303"/>
    <s v="CUST635"/>
    <x v="1"/>
    <n v="63"/>
    <x v="1"/>
    <x v="2"/>
    <x v="0"/>
    <x v="4"/>
    <x v="12"/>
  </r>
  <r>
    <n v="636"/>
    <x v="31"/>
    <s v="CUST636"/>
    <x v="1"/>
    <n v="21"/>
    <x v="2"/>
    <x v="0"/>
    <x v="0"/>
    <x v="1"/>
    <x v="9"/>
  </r>
  <r>
    <n v="637"/>
    <x v="152"/>
    <s v="CUST637"/>
    <x v="0"/>
    <n v="43"/>
    <x v="0"/>
    <x v="1"/>
    <x v="1"/>
    <x v="4"/>
    <x v="6"/>
  </r>
  <r>
    <n v="638"/>
    <x v="304"/>
    <s v="CUST638"/>
    <x v="0"/>
    <n v="46"/>
    <x v="0"/>
    <x v="2"/>
    <x v="2"/>
    <x v="1"/>
    <x v="3"/>
  </r>
  <r>
    <n v="639"/>
    <x v="305"/>
    <s v="CUST639"/>
    <x v="1"/>
    <n v="62"/>
    <x v="1"/>
    <x v="0"/>
    <x v="3"/>
    <x v="0"/>
    <x v="7"/>
  </r>
  <r>
    <n v="640"/>
    <x v="98"/>
    <s v="CUST640"/>
    <x v="1"/>
    <n v="51"/>
    <x v="0"/>
    <x v="2"/>
    <x v="3"/>
    <x v="2"/>
    <x v="10"/>
  </r>
  <r>
    <n v="641"/>
    <x v="250"/>
    <s v="CUST641"/>
    <x v="1"/>
    <n v="40"/>
    <x v="0"/>
    <x v="2"/>
    <x v="2"/>
    <x v="4"/>
    <x v="13"/>
  </r>
  <r>
    <n v="642"/>
    <x v="247"/>
    <s v="CUST642"/>
    <x v="1"/>
    <n v="54"/>
    <x v="0"/>
    <x v="1"/>
    <x v="3"/>
    <x v="3"/>
    <x v="4"/>
  </r>
  <r>
    <n v="643"/>
    <x v="272"/>
    <s v="CUST643"/>
    <x v="1"/>
    <n v="28"/>
    <x v="0"/>
    <x v="2"/>
    <x v="0"/>
    <x v="2"/>
    <x v="15"/>
  </r>
  <r>
    <n v="644"/>
    <x v="147"/>
    <s v="CUST644"/>
    <x v="0"/>
    <n v="23"/>
    <x v="2"/>
    <x v="0"/>
    <x v="0"/>
    <x v="3"/>
    <x v="8"/>
  </r>
  <r>
    <n v="645"/>
    <x v="131"/>
    <s v="CUST645"/>
    <x v="1"/>
    <n v="35"/>
    <x v="0"/>
    <x v="2"/>
    <x v="3"/>
    <x v="2"/>
    <x v="10"/>
  </r>
  <r>
    <n v="646"/>
    <x v="143"/>
    <s v="CUST646"/>
    <x v="0"/>
    <n v="38"/>
    <x v="0"/>
    <x v="1"/>
    <x v="0"/>
    <x v="2"/>
    <x v="15"/>
  </r>
  <r>
    <n v="647"/>
    <x v="3"/>
    <s v="CUST647"/>
    <x v="0"/>
    <n v="59"/>
    <x v="1"/>
    <x v="1"/>
    <x v="0"/>
    <x v="1"/>
    <x v="9"/>
  </r>
  <r>
    <n v="648"/>
    <x v="306"/>
    <s v="CUST648"/>
    <x v="0"/>
    <n v="53"/>
    <x v="0"/>
    <x v="0"/>
    <x v="3"/>
    <x v="4"/>
    <x v="14"/>
  </r>
  <r>
    <n v="649"/>
    <x v="307"/>
    <s v="CUST649"/>
    <x v="1"/>
    <n v="58"/>
    <x v="1"/>
    <x v="1"/>
    <x v="1"/>
    <x v="4"/>
    <x v="6"/>
  </r>
  <r>
    <n v="650"/>
    <x v="158"/>
    <s v="CUST650"/>
    <x v="0"/>
    <n v="55"/>
    <x v="0"/>
    <x v="2"/>
    <x v="2"/>
    <x v="2"/>
    <x v="2"/>
  </r>
  <r>
    <n v="651"/>
    <x v="203"/>
    <s v="CUST651"/>
    <x v="0"/>
    <n v="51"/>
    <x v="0"/>
    <x v="1"/>
    <x v="0"/>
    <x v="0"/>
    <x v="0"/>
  </r>
  <r>
    <n v="652"/>
    <x v="217"/>
    <s v="CUST652"/>
    <x v="1"/>
    <n v="34"/>
    <x v="0"/>
    <x v="0"/>
    <x v="1"/>
    <x v="0"/>
    <x v="4"/>
  </r>
  <r>
    <n v="653"/>
    <x v="241"/>
    <s v="CUST653"/>
    <x v="0"/>
    <n v="54"/>
    <x v="0"/>
    <x v="1"/>
    <x v="0"/>
    <x v="3"/>
    <x v="8"/>
  </r>
  <r>
    <n v="654"/>
    <x v="288"/>
    <s v="CUST654"/>
    <x v="0"/>
    <n v="42"/>
    <x v="0"/>
    <x v="1"/>
    <x v="0"/>
    <x v="3"/>
    <x v="8"/>
  </r>
  <r>
    <n v="655"/>
    <x v="308"/>
    <s v="CUST655"/>
    <x v="1"/>
    <n v="55"/>
    <x v="0"/>
    <x v="1"/>
    <x v="2"/>
    <x v="1"/>
    <x v="3"/>
  </r>
  <r>
    <n v="656"/>
    <x v="135"/>
    <s v="CUST656"/>
    <x v="0"/>
    <n v="29"/>
    <x v="0"/>
    <x v="0"/>
    <x v="0"/>
    <x v="2"/>
    <x v="15"/>
  </r>
  <r>
    <n v="657"/>
    <x v="213"/>
    <s v="CUST657"/>
    <x v="0"/>
    <n v="40"/>
    <x v="0"/>
    <x v="1"/>
    <x v="2"/>
    <x v="3"/>
    <x v="16"/>
  </r>
  <r>
    <n v="658"/>
    <x v="105"/>
    <s v="CUST658"/>
    <x v="0"/>
    <n v="59"/>
    <x v="1"/>
    <x v="1"/>
    <x v="2"/>
    <x v="3"/>
    <x v="16"/>
  </r>
  <r>
    <n v="659"/>
    <x v="309"/>
    <s v="CUST659"/>
    <x v="1"/>
    <n v="39"/>
    <x v="0"/>
    <x v="2"/>
    <x v="2"/>
    <x v="2"/>
    <x v="2"/>
  </r>
  <r>
    <n v="660"/>
    <x v="310"/>
    <s v="CUST660"/>
    <x v="1"/>
    <n v="38"/>
    <x v="0"/>
    <x v="0"/>
    <x v="1"/>
    <x v="1"/>
    <x v="1"/>
  </r>
  <r>
    <n v="661"/>
    <x v="295"/>
    <s v="CUST661"/>
    <x v="1"/>
    <n v="44"/>
    <x v="0"/>
    <x v="1"/>
    <x v="3"/>
    <x v="3"/>
    <x v="4"/>
  </r>
  <r>
    <n v="662"/>
    <x v="311"/>
    <s v="CUST662"/>
    <x v="0"/>
    <n v="48"/>
    <x v="0"/>
    <x v="0"/>
    <x v="1"/>
    <x v="1"/>
    <x v="1"/>
  </r>
  <r>
    <n v="663"/>
    <x v="111"/>
    <s v="CUST663"/>
    <x v="0"/>
    <n v="23"/>
    <x v="2"/>
    <x v="1"/>
    <x v="3"/>
    <x v="4"/>
    <x v="14"/>
  </r>
  <r>
    <n v="664"/>
    <x v="251"/>
    <s v="CUST664"/>
    <x v="1"/>
    <n v="44"/>
    <x v="0"/>
    <x v="1"/>
    <x v="3"/>
    <x v="1"/>
    <x v="11"/>
  </r>
  <r>
    <n v="665"/>
    <x v="175"/>
    <s v="CUST665"/>
    <x v="0"/>
    <n v="57"/>
    <x v="1"/>
    <x v="1"/>
    <x v="2"/>
    <x v="0"/>
    <x v="5"/>
  </r>
  <r>
    <n v="666"/>
    <x v="114"/>
    <s v="CUST666"/>
    <x v="0"/>
    <n v="51"/>
    <x v="0"/>
    <x v="2"/>
    <x v="0"/>
    <x v="0"/>
    <x v="0"/>
  </r>
  <r>
    <n v="667"/>
    <x v="291"/>
    <s v="CUST667"/>
    <x v="1"/>
    <n v="29"/>
    <x v="0"/>
    <x v="2"/>
    <x v="2"/>
    <x v="1"/>
    <x v="3"/>
  </r>
  <r>
    <n v="668"/>
    <x v="180"/>
    <s v="CUST668"/>
    <x v="1"/>
    <n v="62"/>
    <x v="1"/>
    <x v="2"/>
    <x v="0"/>
    <x v="0"/>
    <x v="0"/>
  </r>
  <r>
    <n v="669"/>
    <x v="171"/>
    <s v="CUST669"/>
    <x v="0"/>
    <n v="24"/>
    <x v="2"/>
    <x v="0"/>
    <x v="3"/>
    <x v="4"/>
    <x v="14"/>
  </r>
  <r>
    <n v="670"/>
    <x v="209"/>
    <s v="CUST670"/>
    <x v="0"/>
    <n v="27"/>
    <x v="0"/>
    <x v="0"/>
    <x v="2"/>
    <x v="2"/>
    <x v="2"/>
  </r>
  <r>
    <n v="671"/>
    <x v="286"/>
    <s v="CUST671"/>
    <x v="0"/>
    <n v="62"/>
    <x v="1"/>
    <x v="2"/>
    <x v="0"/>
    <x v="0"/>
    <x v="0"/>
  </r>
  <r>
    <n v="672"/>
    <x v="291"/>
    <s v="CUST672"/>
    <x v="1"/>
    <n v="34"/>
    <x v="0"/>
    <x v="0"/>
    <x v="1"/>
    <x v="0"/>
    <x v="4"/>
  </r>
  <r>
    <n v="673"/>
    <x v="190"/>
    <s v="CUST673"/>
    <x v="1"/>
    <n v="43"/>
    <x v="0"/>
    <x v="1"/>
    <x v="0"/>
    <x v="1"/>
    <x v="9"/>
  </r>
  <r>
    <n v="674"/>
    <x v="312"/>
    <s v="CUST674"/>
    <x v="1"/>
    <n v="38"/>
    <x v="0"/>
    <x v="1"/>
    <x v="2"/>
    <x v="4"/>
    <x v="13"/>
  </r>
  <r>
    <n v="675"/>
    <x v="279"/>
    <s v="CUST675"/>
    <x v="1"/>
    <n v="45"/>
    <x v="0"/>
    <x v="1"/>
    <x v="1"/>
    <x v="2"/>
    <x v="17"/>
  </r>
  <r>
    <n v="676"/>
    <x v="202"/>
    <s v="CUST676"/>
    <x v="0"/>
    <n v="63"/>
    <x v="1"/>
    <x v="2"/>
    <x v="0"/>
    <x v="1"/>
    <x v="9"/>
  </r>
  <r>
    <n v="677"/>
    <x v="101"/>
    <s v="CUST677"/>
    <x v="1"/>
    <n v="19"/>
    <x v="2"/>
    <x v="0"/>
    <x v="0"/>
    <x v="1"/>
    <x v="9"/>
  </r>
  <r>
    <n v="678"/>
    <x v="204"/>
    <s v="CUST678"/>
    <x v="1"/>
    <n v="60"/>
    <x v="1"/>
    <x v="2"/>
    <x v="0"/>
    <x v="4"/>
    <x v="12"/>
  </r>
  <r>
    <n v="679"/>
    <x v="166"/>
    <s v="CUST679"/>
    <x v="1"/>
    <n v="18"/>
    <x v="2"/>
    <x v="0"/>
    <x v="0"/>
    <x v="2"/>
    <x v="15"/>
  </r>
  <r>
    <n v="680"/>
    <x v="293"/>
    <s v="CUST680"/>
    <x v="1"/>
    <n v="53"/>
    <x v="0"/>
    <x v="1"/>
    <x v="0"/>
    <x v="4"/>
    <x v="12"/>
  </r>
  <r>
    <n v="681"/>
    <x v="37"/>
    <s v="CUST681"/>
    <x v="1"/>
    <n v="43"/>
    <x v="0"/>
    <x v="2"/>
    <x v="1"/>
    <x v="2"/>
    <x v="17"/>
  </r>
  <r>
    <n v="682"/>
    <x v="211"/>
    <s v="CUST682"/>
    <x v="0"/>
    <n v="46"/>
    <x v="0"/>
    <x v="0"/>
    <x v="3"/>
    <x v="4"/>
    <x v="14"/>
  </r>
  <r>
    <n v="683"/>
    <x v="30"/>
    <s v="CUST683"/>
    <x v="0"/>
    <n v="38"/>
    <x v="0"/>
    <x v="0"/>
    <x v="1"/>
    <x v="1"/>
    <x v="1"/>
  </r>
  <r>
    <n v="684"/>
    <x v="313"/>
    <s v="CUST684"/>
    <x v="1"/>
    <n v="28"/>
    <x v="0"/>
    <x v="1"/>
    <x v="1"/>
    <x v="1"/>
    <x v="1"/>
  </r>
  <r>
    <n v="685"/>
    <x v="132"/>
    <s v="CUST685"/>
    <x v="0"/>
    <n v="57"/>
    <x v="1"/>
    <x v="2"/>
    <x v="1"/>
    <x v="3"/>
    <x v="5"/>
  </r>
  <r>
    <n v="686"/>
    <x v="202"/>
    <s v="CUST686"/>
    <x v="1"/>
    <n v="28"/>
    <x v="0"/>
    <x v="2"/>
    <x v="3"/>
    <x v="0"/>
    <x v="7"/>
  </r>
  <r>
    <n v="687"/>
    <x v="25"/>
    <s v="CUST687"/>
    <x v="1"/>
    <n v="53"/>
    <x v="0"/>
    <x v="2"/>
    <x v="2"/>
    <x v="4"/>
    <x v="13"/>
  </r>
  <r>
    <n v="688"/>
    <x v="99"/>
    <s v="CUST688"/>
    <x v="0"/>
    <n v="56"/>
    <x v="1"/>
    <x v="1"/>
    <x v="3"/>
    <x v="3"/>
    <x v="4"/>
  </r>
  <r>
    <n v="689"/>
    <x v="9"/>
    <s v="CUST689"/>
    <x v="0"/>
    <n v="57"/>
    <x v="1"/>
    <x v="2"/>
    <x v="1"/>
    <x v="0"/>
    <x v="4"/>
  </r>
  <r>
    <n v="690"/>
    <x v="19"/>
    <s v="CUST690"/>
    <x v="1"/>
    <n v="52"/>
    <x v="0"/>
    <x v="1"/>
    <x v="0"/>
    <x v="4"/>
    <x v="12"/>
  </r>
  <r>
    <n v="691"/>
    <x v="26"/>
    <s v="CUST691"/>
    <x v="1"/>
    <n v="51"/>
    <x v="0"/>
    <x v="1"/>
    <x v="0"/>
    <x v="2"/>
    <x v="15"/>
  </r>
  <r>
    <n v="692"/>
    <x v="206"/>
    <s v="CUST692"/>
    <x v="1"/>
    <n v="64"/>
    <x v="1"/>
    <x v="1"/>
    <x v="1"/>
    <x v="0"/>
    <x v="4"/>
  </r>
  <r>
    <n v="693"/>
    <x v="26"/>
    <s v="CUST693"/>
    <x v="0"/>
    <n v="41"/>
    <x v="0"/>
    <x v="0"/>
    <x v="0"/>
    <x v="1"/>
    <x v="9"/>
  </r>
  <r>
    <n v="694"/>
    <x v="241"/>
    <s v="CUST694"/>
    <x v="1"/>
    <n v="39"/>
    <x v="0"/>
    <x v="2"/>
    <x v="1"/>
    <x v="3"/>
    <x v="5"/>
  </r>
  <r>
    <n v="695"/>
    <x v="269"/>
    <s v="CUST695"/>
    <x v="1"/>
    <n v="22"/>
    <x v="2"/>
    <x v="2"/>
    <x v="0"/>
    <x v="0"/>
    <x v="0"/>
  </r>
  <r>
    <n v="696"/>
    <x v="147"/>
    <s v="CUST696"/>
    <x v="1"/>
    <n v="50"/>
    <x v="0"/>
    <x v="1"/>
    <x v="3"/>
    <x v="0"/>
    <x v="7"/>
  </r>
  <r>
    <n v="697"/>
    <x v="267"/>
    <s v="CUST697"/>
    <x v="0"/>
    <n v="53"/>
    <x v="0"/>
    <x v="1"/>
    <x v="2"/>
    <x v="1"/>
    <x v="3"/>
  </r>
  <r>
    <n v="698"/>
    <x v="202"/>
    <s v="CUST698"/>
    <x v="1"/>
    <n v="64"/>
    <x v="1"/>
    <x v="2"/>
    <x v="2"/>
    <x v="4"/>
    <x v="13"/>
  </r>
  <r>
    <n v="699"/>
    <x v="36"/>
    <s v="CUST699"/>
    <x v="1"/>
    <n v="37"/>
    <x v="0"/>
    <x v="1"/>
    <x v="3"/>
    <x v="2"/>
    <x v="10"/>
  </r>
  <r>
    <n v="700"/>
    <x v="174"/>
    <s v="CUST700"/>
    <x v="0"/>
    <n v="36"/>
    <x v="0"/>
    <x v="2"/>
    <x v="3"/>
    <x v="1"/>
    <x v="11"/>
  </r>
  <r>
    <n v="701"/>
    <x v="266"/>
    <s v="CUST701"/>
    <x v="1"/>
    <n v="52"/>
    <x v="0"/>
    <x v="0"/>
    <x v="1"/>
    <x v="2"/>
    <x v="17"/>
  </r>
  <r>
    <n v="702"/>
    <x v="282"/>
    <s v="CUST702"/>
    <x v="1"/>
    <n v="60"/>
    <x v="1"/>
    <x v="1"/>
    <x v="1"/>
    <x v="4"/>
    <x v="6"/>
  </r>
  <r>
    <n v="703"/>
    <x v="154"/>
    <s v="CUST703"/>
    <x v="0"/>
    <n v="34"/>
    <x v="0"/>
    <x v="2"/>
    <x v="1"/>
    <x v="0"/>
    <x v="4"/>
  </r>
  <r>
    <n v="704"/>
    <x v="117"/>
    <s v="CUST704"/>
    <x v="1"/>
    <n v="62"/>
    <x v="1"/>
    <x v="1"/>
    <x v="0"/>
    <x v="2"/>
    <x v="15"/>
  </r>
  <r>
    <n v="705"/>
    <x v="150"/>
    <s v="CUST705"/>
    <x v="0"/>
    <n v="60"/>
    <x v="1"/>
    <x v="2"/>
    <x v="1"/>
    <x v="3"/>
    <x v="5"/>
  </r>
  <r>
    <n v="706"/>
    <x v="229"/>
    <s v="CUST706"/>
    <x v="0"/>
    <n v="51"/>
    <x v="0"/>
    <x v="2"/>
    <x v="3"/>
    <x v="3"/>
    <x v="4"/>
  </r>
  <r>
    <n v="707"/>
    <x v="77"/>
    <s v="CUST707"/>
    <x v="1"/>
    <n v="26"/>
    <x v="0"/>
    <x v="1"/>
    <x v="2"/>
    <x v="1"/>
    <x v="3"/>
  </r>
  <r>
    <n v="708"/>
    <x v="20"/>
    <s v="CUST708"/>
    <x v="1"/>
    <n v="43"/>
    <x v="0"/>
    <x v="0"/>
    <x v="0"/>
    <x v="4"/>
    <x v="12"/>
  </r>
  <r>
    <n v="709"/>
    <x v="314"/>
    <s v="CUST709"/>
    <x v="1"/>
    <n v="19"/>
    <x v="2"/>
    <x v="2"/>
    <x v="1"/>
    <x v="1"/>
    <x v="1"/>
  </r>
  <r>
    <n v="710"/>
    <x v="315"/>
    <s v="CUST710"/>
    <x v="1"/>
    <n v="26"/>
    <x v="0"/>
    <x v="2"/>
    <x v="0"/>
    <x v="1"/>
    <x v="9"/>
  </r>
  <r>
    <n v="711"/>
    <x v="230"/>
    <s v="CUST711"/>
    <x v="0"/>
    <n v="26"/>
    <x v="0"/>
    <x v="2"/>
    <x v="0"/>
    <x v="1"/>
    <x v="9"/>
  </r>
  <r>
    <n v="712"/>
    <x v="237"/>
    <s v="CUST712"/>
    <x v="1"/>
    <n v="57"/>
    <x v="1"/>
    <x v="0"/>
    <x v="1"/>
    <x v="3"/>
    <x v="5"/>
  </r>
  <r>
    <n v="713"/>
    <x v="20"/>
    <s v="CUST713"/>
    <x v="0"/>
    <n v="34"/>
    <x v="0"/>
    <x v="0"/>
    <x v="0"/>
    <x v="3"/>
    <x v="8"/>
  </r>
  <r>
    <n v="714"/>
    <x v="316"/>
    <s v="CUST714"/>
    <x v="1"/>
    <n v="18"/>
    <x v="2"/>
    <x v="1"/>
    <x v="2"/>
    <x v="1"/>
    <x v="3"/>
  </r>
  <r>
    <n v="715"/>
    <x v="95"/>
    <s v="CUST715"/>
    <x v="1"/>
    <n v="42"/>
    <x v="0"/>
    <x v="0"/>
    <x v="3"/>
    <x v="3"/>
    <x v="4"/>
  </r>
  <r>
    <n v="716"/>
    <x v="102"/>
    <s v="CUST716"/>
    <x v="1"/>
    <n v="60"/>
    <x v="1"/>
    <x v="1"/>
    <x v="3"/>
    <x v="4"/>
    <x v="14"/>
  </r>
  <r>
    <n v="717"/>
    <x v="317"/>
    <s v="CUST717"/>
    <x v="0"/>
    <n v="57"/>
    <x v="1"/>
    <x v="1"/>
    <x v="2"/>
    <x v="1"/>
    <x v="3"/>
  </r>
  <r>
    <n v="718"/>
    <x v="78"/>
    <s v="CUST718"/>
    <x v="1"/>
    <n v="59"/>
    <x v="1"/>
    <x v="0"/>
    <x v="0"/>
    <x v="3"/>
    <x v="8"/>
  </r>
  <r>
    <n v="719"/>
    <x v="194"/>
    <s v="CUST719"/>
    <x v="1"/>
    <n v="42"/>
    <x v="0"/>
    <x v="1"/>
    <x v="1"/>
    <x v="2"/>
    <x v="17"/>
  </r>
  <r>
    <n v="720"/>
    <x v="197"/>
    <s v="CUST720"/>
    <x v="1"/>
    <n v="56"/>
    <x v="1"/>
    <x v="0"/>
    <x v="0"/>
    <x v="1"/>
    <x v="9"/>
  </r>
  <r>
    <n v="721"/>
    <x v="224"/>
    <s v="CUST721"/>
    <x v="1"/>
    <n v="52"/>
    <x v="0"/>
    <x v="1"/>
    <x v="2"/>
    <x v="1"/>
    <x v="3"/>
  </r>
  <r>
    <n v="722"/>
    <x v="37"/>
    <s v="CUST722"/>
    <x v="0"/>
    <n v="20"/>
    <x v="2"/>
    <x v="0"/>
    <x v="0"/>
    <x v="4"/>
    <x v="12"/>
  </r>
  <r>
    <n v="723"/>
    <x v="278"/>
    <s v="CUST723"/>
    <x v="1"/>
    <n v="54"/>
    <x v="0"/>
    <x v="0"/>
    <x v="3"/>
    <x v="0"/>
    <x v="7"/>
  </r>
  <r>
    <n v="724"/>
    <x v="90"/>
    <s v="CUST724"/>
    <x v="0"/>
    <n v="61"/>
    <x v="1"/>
    <x v="1"/>
    <x v="0"/>
    <x v="0"/>
    <x v="0"/>
  </r>
  <r>
    <n v="725"/>
    <x v="63"/>
    <s v="CUST725"/>
    <x v="0"/>
    <n v="61"/>
    <x v="1"/>
    <x v="2"/>
    <x v="2"/>
    <x v="4"/>
    <x v="13"/>
  </r>
  <r>
    <n v="726"/>
    <x v="278"/>
    <s v="CUST726"/>
    <x v="0"/>
    <n v="47"/>
    <x v="0"/>
    <x v="1"/>
    <x v="3"/>
    <x v="4"/>
    <x v="14"/>
  </r>
  <r>
    <n v="727"/>
    <x v="36"/>
    <s v="CUST727"/>
    <x v="0"/>
    <n v="55"/>
    <x v="0"/>
    <x v="0"/>
    <x v="0"/>
    <x v="4"/>
    <x v="12"/>
  </r>
  <r>
    <n v="728"/>
    <x v="37"/>
    <s v="CUST728"/>
    <x v="0"/>
    <n v="51"/>
    <x v="0"/>
    <x v="2"/>
    <x v="0"/>
    <x v="0"/>
    <x v="0"/>
  </r>
  <r>
    <n v="729"/>
    <x v="29"/>
    <s v="CUST729"/>
    <x v="0"/>
    <n v="29"/>
    <x v="0"/>
    <x v="1"/>
    <x v="3"/>
    <x v="4"/>
    <x v="14"/>
  </r>
  <r>
    <n v="730"/>
    <x v="279"/>
    <s v="CUST730"/>
    <x v="1"/>
    <n v="36"/>
    <x v="0"/>
    <x v="1"/>
    <x v="1"/>
    <x v="3"/>
    <x v="5"/>
  </r>
  <r>
    <n v="731"/>
    <x v="318"/>
    <s v="CUST731"/>
    <x v="0"/>
    <n v="54"/>
    <x v="0"/>
    <x v="1"/>
    <x v="3"/>
    <x v="1"/>
    <x v="11"/>
  </r>
  <r>
    <n v="732"/>
    <x v="213"/>
    <s v="CUST732"/>
    <x v="0"/>
    <n v="61"/>
    <x v="1"/>
    <x v="2"/>
    <x v="1"/>
    <x v="1"/>
    <x v="1"/>
  </r>
  <r>
    <n v="733"/>
    <x v="261"/>
    <s v="CUST733"/>
    <x v="0"/>
    <n v="34"/>
    <x v="0"/>
    <x v="0"/>
    <x v="2"/>
    <x v="2"/>
    <x v="2"/>
  </r>
  <r>
    <n v="734"/>
    <x v="141"/>
    <s v="CUST734"/>
    <x v="1"/>
    <n v="27"/>
    <x v="0"/>
    <x v="1"/>
    <x v="2"/>
    <x v="2"/>
    <x v="2"/>
  </r>
  <r>
    <n v="735"/>
    <x v="135"/>
    <s v="CUST735"/>
    <x v="1"/>
    <n v="64"/>
    <x v="1"/>
    <x v="1"/>
    <x v="3"/>
    <x v="1"/>
    <x v="11"/>
  </r>
  <r>
    <n v="736"/>
    <x v="246"/>
    <s v="CUST736"/>
    <x v="0"/>
    <n v="29"/>
    <x v="0"/>
    <x v="1"/>
    <x v="3"/>
    <x v="3"/>
    <x v="4"/>
  </r>
  <r>
    <n v="737"/>
    <x v="263"/>
    <s v="CUST737"/>
    <x v="1"/>
    <n v="33"/>
    <x v="0"/>
    <x v="1"/>
    <x v="2"/>
    <x v="0"/>
    <x v="5"/>
  </r>
  <r>
    <n v="738"/>
    <x v="5"/>
    <s v="CUST738"/>
    <x v="0"/>
    <n v="41"/>
    <x v="0"/>
    <x v="1"/>
    <x v="1"/>
    <x v="0"/>
    <x v="4"/>
  </r>
  <r>
    <n v="739"/>
    <x v="23"/>
    <s v="CUST739"/>
    <x v="0"/>
    <n v="36"/>
    <x v="0"/>
    <x v="0"/>
    <x v="2"/>
    <x v="3"/>
    <x v="16"/>
  </r>
  <r>
    <n v="740"/>
    <x v="57"/>
    <s v="CUST740"/>
    <x v="1"/>
    <n v="25"/>
    <x v="2"/>
    <x v="0"/>
    <x v="3"/>
    <x v="0"/>
    <x v="7"/>
  </r>
  <r>
    <n v="741"/>
    <x v="198"/>
    <s v="CUST741"/>
    <x v="0"/>
    <n v="48"/>
    <x v="0"/>
    <x v="1"/>
    <x v="2"/>
    <x v="4"/>
    <x v="13"/>
  </r>
  <r>
    <n v="742"/>
    <x v="219"/>
    <s v="CUST742"/>
    <x v="1"/>
    <n v="38"/>
    <x v="0"/>
    <x v="2"/>
    <x v="3"/>
    <x v="1"/>
    <x v="11"/>
  </r>
  <r>
    <n v="743"/>
    <x v="14"/>
    <s v="CUST743"/>
    <x v="1"/>
    <n v="34"/>
    <x v="0"/>
    <x v="0"/>
    <x v="3"/>
    <x v="1"/>
    <x v="11"/>
  </r>
  <r>
    <n v="744"/>
    <x v="98"/>
    <s v="CUST744"/>
    <x v="0"/>
    <n v="40"/>
    <x v="0"/>
    <x v="2"/>
    <x v="2"/>
    <x v="3"/>
    <x v="16"/>
  </r>
  <r>
    <n v="745"/>
    <x v="157"/>
    <s v="CUST745"/>
    <x v="0"/>
    <n v="54"/>
    <x v="0"/>
    <x v="0"/>
    <x v="1"/>
    <x v="0"/>
    <x v="4"/>
  </r>
  <r>
    <n v="746"/>
    <x v="166"/>
    <s v="CUST746"/>
    <x v="1"/>
    <n v="33"/>
    <x v="0"/>
    <x v="1"/>
    <x v="0"/>
    <x v="2"/>
    <x v="15"/>
  </r>
  <r>
    <n v="747"/>
    <x v="229"/>
    <s v="CUST747"/>
    <x v="0"/>
    <n v="23"/>
    <x v="2"/>
    <x v="0"/>
    <x v="2"/>
    <x v="2"/>
    <x v="2"/>
  </r>
  <r>
    <n v="748"/>
    <x v="111"/>
    <s v="CUST748"/>
    <x v="0"/>
    <n v="25"/>
    <x v="2"/>
    <x v="1"/>
    <x v="0"/>
    <x v="0"/>
    <x v="0"/>
  </r>
  <r>
    <n v="749"/>
    <x v="143"/>
    <s v="CUST749"/>
    <x v="0"/>
    <n v="42"/>
    <x v="0"/>
    <x v="0"/>
    <x v="2"/>
    <x v="2"/>
    <x v="2"/>
  </r>
  <r>
    <n v="750"/>
    <x v="149"/>
    <s v="CUST750"/>
    <x v="1"/>
    <n v="35"/>
    <x v="0"/>
    <x v="1"/>
    <x v="0"/>
    <x v="3"/>
    <x v="8"/>
  </r>
  <r>
    <n v="751"/>
    <x v="178"/>
    <s v="CUST751"/>
    <x v="1"/>
    <n v="42"/>
    <x v="0"/>
    <x v="1"/>
    <x v="1"/>
    <x v="3"/>
    <x v="5"/>
  </r>
  <r>
    <n v="752"/>
    <x v="174"/>
    <s v="CUST752"/>
    <x v="0"/>
    <n v="29"/>
    <x v="0"/>
    <x v="1"/>
    <x v="1"/>
    <x v="0"/>
    <x v="4"/>
  </r>
  <r>
    <n v="753"/>
    <x v="122"/>
    <s v="CUST753"/>
    <x v="1"/>
    <n v="32"/>
    <x v="0"/>
    <x v="1"/>
    <x v="2"/>
    <x v="2"/>
    <x v="2"/>
  </r>
  <r>
    <n v="754"/>
    <x v="230"/>
    <s v="CUST754"/>
    <x v="1"/>
    <n v="43"/>
    <x v="0"/>
    <x v="2"/>
    <x v="3"/>
    <x v="3"/>
    <x v="4"/>
  </r>
  <r>
    <n v="755"/>
    <x v="16"/>
    <s v="CUST755"/>
    <x v="1"/>
    <n v="58"/>
    <x v="1"/>
    <x v="1"/>
    <x v="0"/>
    <x v="3"/>
    <x v="8"/>
  </r>
  <r>
    <n v="756"/>
    <x v="286"/>
    <s v="CUST756"/>
    <x v="1"/>
    <n v="62"/>
    <x v="1"/>
    <x v="2"/>
    <x v="3"/>
    <x v="4"/>
    <x v="14"/>
  </r>
  <r>
    <n v="757"/>
    <x v="319"/>
    <s v="CUST757"/>
    <x v="1"/>
    <n v="43"/>
    <x v="0"/>
    <x v="2"/>
    <x v="3"/>
    <x v="4"/>
    <x v="14"/>
  </r>
  <r>
    <n v="758"/>
    <x v="320"/>
    <s v="CUST758"/>
    <x v="0"/>
    <n v="64"/>
    <x v="1"/>
    <x v="1"/>
    <x v="3"/>
    <x v="3"/>
    <x v="4"/>
  </r>
  <r>
    <n v="759"/>
    <x v="321"/>
    <s v="CUST759"/>
    <x v="0"/>
    <n v="49"/>
    <x v="0"/>
    <x v="2"/>
    <x v="1"/>
    <x v="0"/>
    <x v="4"/>
  </r>
  <r>
    <n v="760"/>
    <x v="200"/>
    <s v="CUST760"/>
    <x v="0"/>
    <n v="27"/>
    <x v="0"/>
    <x v="0"/>
    <x v="2"/>
    <x v="1"/>
    <x v="3"/>
  </r>
  <r>
    <n v="761"/>
    <x v="155"/>
    <s v="CUST761"/>
    <x v="1"/>
    <n v="33"/>
    <x v="0"/>
    <x v="1"/>
    <x v="2"/>
    <x v="1"/>
    <x v="3"/>
  </r>
  <r>
    <n v="762"/>
    <x v="155"/>
    <s v="CUST762"/>
    <x v="1"/>
    <n v="24"/>
    <x v="2"/>
    <x v="2"/>
    <x v="1"/>
    <x v="3"/>
    <x v="5"/>
  </r>
  <r>
    <n v="763"/>
    <x v="122"/>
    <s v="CUST763"/>
    <x v="0"/>
    <n v="34"/>
    <x v="0"/>
    <x v="1"/>
    <x v="1"/>
    <x v="3"/>
    <x v="5"/>
  </r>
  <r>
    <n v="764"/>
    <x v="66"/>
    <s v="CUST764"/>
    <x v="1"/>
    <n v="40"/>
    <x v="0"/>
    <x v="1"/>
    <x v="2"/>
    <x v="3"/>
    <x v="16"/>
  </r>
  <r>
    <n v="765"/>
    <x v="159"/>
    <s v="CUST765"/>
    <x v="0"/>
    <n v="43"/>
    <x v="0"/>
    <x v="1"/>
    <x v="3"/>
    <x v="0"/>
    <x v="7"/>
  </r>
  <r>
    <n v="766"/>
    <x v="192"/>
    <s v="CUST766"/>
    <x v="0"/>
    <n v="38"/>
    <x v="0"/>
    <x v="2"/>
    <x v="0"/>
    <x v="4"/>
    <x v="12"/>
  </r>
  <r>
    <n v="767"/>
    <x v="208"/>
    <s v="CUST767"/>
    <x v="0"/>
    <n v="39"/>
    <x v="0"/>
    <x v="0"/>
    <x v="0"/>
    <x v="3"/>
    <x v="8"/>
  </r>
  <r>
    <n v="768"/>
    <x v="20"/>
    <s v="CUST768"/>
    <x v="1"/>
    <n v="24"/>
    <x v="2"/>
    <x v="0"/>
    <x v="0"/>
    <x v="3"/>
    <x v="8"/>
  </r>
  <r>
    <n v="769"/>
    <x v="159"/>
    <s v="CUST769"/>
    <x v="1"/>
    <n v="31"/>
    <x v="0"/>
    <x v="2"/>
    <x v="3"/>
    <x v="2"/>
    <x v="10"/>
  </r>
  <r>
    <n v="770"/>
    <x v="293"/>
    <s v="CUST770"/>
    <x v="0"/>
    <n v="32"/>
    <x v="0"/>
    <x v="1"/>
    <x v="2"/>
    <x v="0"/>
    <x v="5"/>
  </r>
  <r>
    <n v="771"/>
    <x v="8"/>
    <s v="CUST771"/>
    <x v="0"/>
    <n v="24"/>
    <x v="2"/>
    <x v="2"/>
    <x v="1"/>
    <x v="3"/>
    <x v="5"/>
  </r>
  <r>
    <n v="772"/>
    <x v="322"/>
    <s v="CUST772"/>
    <x v="0"/>
    <n v="26"/>
    <x v="0"/>
    <x v="2"/>
    <x v="2"/>
    <x v="2"/>
    <x v="2"/>
  </r>
  <r>
    <n v="773"/>
    <x v="323"/>
    <s v="CUST773"/>
    <x v="0"/>
    <n v="25"/>
    <x v="2"/>
    <x v="2"/>
    <x v="3"/>
    <x v="1"/>
    <x v="11"/>
  </r>
  <r>
    <n v="774"/>
    <x v="22"/>
    <s v="CUST774"/>
    <x v="1"/>
    <n v="40"/>
    <x v="0"/>
    <x v="1"/>
    <x v="1"/>
    <x v="3"/>
    <x v="5"/>
  </r>
  <r>
    <n v="775"/>
    <x v="195"/>
    <s v="CUST775"/>
    <x v="1"/>
    <n v="46"/>
    <x v="0"/>
    <x v="2"/>
    <x v="3"/>
    <x v="3"/>
    <x v="4"/>
  </r>
  <r>
    <n v="776"/>
    <x v="315"/>
    <s v="CUST776"/>
    <x v="0"/>
    <n v="35"/>
    <x v="0"/>
    <x v="1"/>
    <x v="0"/>
    <x v="2"/>
    <x v="15"/>
  </r>
  <r>
    <n v="777"/>
    <x v="156"/>
    <s v="CUST777"/>
    <x v="0"/>
    <n v="48"/>
    <x v="0"/>
    <x v="2"/>
    <x v="0"/>
    <x v="0"/>
    <x v="0"/>
  </r>
  <r>
    <n v="778"/>
    <x v="51"/>
    <s v="CUST778"/>
    <x v="1"/>
    <n v="47"/>
    <x v="0"/>
    <x v="0"/>
    <x v="3"/>
    <x v="3"/>
    <x v="4"/>
  </r>
  <r>
    <n v="779"/>
    <x v="179"/>
    <s v="CUST779"/>
    <x v="1"/>
    <n v="56"/>
    <x v="1"/>
    <x v="2"/>
    <x v="1"/>
    <x v="1"/>
    <x v="1"/>
  </r>
  <r>
    <n v="780"/>
    <x v="7"/>
    <s v="CUST780"/>
    <x v="0"/>
    <n v="52"/>
    <x v="0"/>
    <x v="2"/>
    <x v="1"/>
    <x v="3"/>
    <x v="5"/>
  </r>
  <r>
    <n v="781"/>
    <x v="204"/>
    <s v="CUST781"/>
    <x v="0"/>
    <n v="35"/>
    <x v="0"/>
    <x v="0"/>
    <x v="2"/>
    <x v="1"/>
    <x v="3"/>
  </r>
  <r>
    <n v="782"/>
    <x v="234"/>
    <s v="CUST782"/>
    <x v="0"/>
    <n v="59"/>
    <x v="1"/>
    <x v="1"/>
    <x v="0"/>
    <x v="4"/>
    <x v="12"/>
  </r>
  <r>
    <n v="783"/>
    <x v="82"/>
    <s v="CUST783"/>
    <x v="1"/>
    <n v="56"/>
    <x v="1"/>
    <x v="1"/>
    <x v="2"/>
    <x v="4"/>
    <x v="13"/>
  </r>
  <r>
    <n v="784"/>
    <x v="324"/>
    <s v="CUST784"/>
    <x v="1"/>
    <n v="34"/>
    <x v="0"/>
    <x v="2"/>
    <x v="2"/>
    <x v="1"/>
    <x v="3"/>
  </r>
  <r>
    <n v="785"/>
    <x v="163"/>
    <s v="CUST785"/>
    <x v="1"/>
    <n v="31"/>
    <x v="0"/>
    <x v="0"/>
    <x v="3"/>
    <x v="0"/>
    <x v="7"/>
  </r>
  <r>
    <n v="786"/>
    <x v="222"/>
    <s v="CUST786"/>
    <x v="0"/>
    <n v="48"/>
    <x v="0"/>
    <x v="1"/>
    <x v="3"/>
    <x v="3"/>
    <x v="4"/>
  </r>
  <r>
    <n v="787"/>
    <x v="256"/>
    <s v="CUST787"/>
    <x v="0"/>
    <n v="41"/>
    <x v="0"/>
    <x v="2"/>
    <x v="2"/>
    <x v="3"/>
    <x v="16"/>
  </r>
  <r>
    <n v="788"/>
    <x v="325"/>
    <s v="CUST788"/>
    <x v="1"/>
    <n v="52"/>
    <x v="0"/>
    <x v="0"/>
    <x v="0"/>
    <x v="4"/>
    <x v="12"/>
  </r>
  <r>
    <n v="789"/>
    <x v="148"/>
    <s v="CUST789"/>
    <x v="1"/>
    <n v="61"/>
    <x v="1"/>
    <x v="1"/>
    <x v="3"/>
    <x v="1"/>
    <x v="11"/>
  </r>
  <r>
    <n v="790"/>
    <x v="102"/>
    <s v="CUST790"/>
    <x v="0"/>
    <n v="62"/>
    <x v="1"/>
    <x v="1"/>
    <x v="2"/>
    <x v="3"/>
    <x v="16"/>
  </r>
  <r>
    <n v="791"/>
    <x v="59"/>
    <s v="CUST791"/>
    <x v="1"/>
    <n v="51"/>
    <x v="0"/>
    <x v="0"/>
    <x v="2"/>
    <x v="3"/>
    <x v="16"/>
  </r>
  <r>
    <n v="792"/>
    <x v="67"/>
    <s v="CUST792"/>
    <x v="1"/>
    <n v="20"/>
    <x v="2"/>
    <x v="0"/>
    <x v="2"/>
    <x v="0"/>
    <x v="5"/>
  </r>
  <r>
    <n v="793"/>
    <x v="57"/>
    <s v="CUST793"/>
    <x v="0"/>
    <n v="54"/>
    <x v="0"/>
    <x v="0"/>
    <x v="2"/>
    <x v="2"/>
    <x v="2"/>
  </r>
  <r>
    <n v="794"/>
    <x v="129"/>
    <s v="CUST794"/>
    <x v="1"/>
    <n v="60"/>
    <x v="1"/>
    <x v="0"/>
    <x v="2"/>
    <x v="4"/>
    <x v="13"/>
  </r>
  <r>
    <n v="795"/>
    <x v="73"/>
    <s v="CUST795"/>
    <x v="0"/>
    <n v="57"/>
    <x v="1"/>
    <x v="2"/>
    <x v="2"/>
    <x v="4"/>
    <x v="13"/>
  </r>
  <r>
    <n v="796"/>
    <x v="33"/>
    <s v="CUST796"/>
    <x v="0"/>
    <n v="43"/>
    <x v="0"/>
    <x v="0"/>
    <x v="3"/>
    <x v="2"/>
    <x v="10"/>
  </r>
  <r>
    <n v="797"/>
    <x v="326"/>
    <s v="CUST797"/>
    <x v="0"/>
    <n v="40"/>
    <x v="0"/>
    <x v="1"/>
    <x v="0"/>
    <x v="3"/>
    <x v="8"/>
  </r>
  <r>
    <n v="798"/>
    <x v="279"/>
    <s v="CUST798"/>
    <x v="0"/>
    <n v="61"/>
    <x v="1"/>
    <x v="1"/>
    <x v="2"/>
    <x v="0"/>
    <x v="5"/>
  </r>
  <r>
    <n v="799"/>
    <x v="140"/>
    <s v="CUST799"/>
    <x v="0"/>
    <n v="56"/>
    <x v="1"/>
    <x v="2"/>
    <x v="1"/>
    <x v="0"/>
    <x v="4"/>
  </r>
  <r>
    <n v="800"/>
    <x v="130"/>
    <s v="CUST800"/>
    <x v="0"/>
    <n v="32"/>
    <x v="0"/>
    <x v="1"/>
    <x v="3"/>
    <x v="4"/>
    <x v="14"/>
  </r>
  <r>
    <n v="801"/>
    <x v="327"/>
    <s v="CUST801"/>
    <x v="0"/>
    <n v="21"/>
    <x v="2"/>
    <x v="1"/>
    <x v="3"/>
    <x v="0"/>
    <x v="7"/>
  </r>
  <r>
    <n v="802"/>
    <x v="53"/>
    <s v="CUST802"/>
    <x v="1"/>
    <n v="46"/>
    <x v="0"/>
    <x v="0"/>
    <x v="2"/>
    <x v="2"/>
    <x v="2"/>
  </r>
  <r>
    <n v="803"/>
    <x v="64"/>
    <s v="CUST803"/>
    <x v="0"/>
    <n v="39"/>
    <x v="0"/>
    <x v="1"/>
    <x v="3"/>
    <x v="3"/>
    <x v="4"/>
  </r>
  <r>
    <n v="804"/>
    <x v="44"/>
    <s v="CUST804"/>
    <x v="0"/>
    <n v="42"/>
    <x v="0"/>
    <x v="2"/>
    <x v="2"/>
    <x v="2"/>
    <x v="2"/>
  </r>
  <r>
    <n v="805"/>
    <x v="167"/>
    <s v="CUST805"/>
    <x v="1"/>
    <n v="30"/>
    <x v="0"/>
    <x v="0"/>
    <x v="0"/>
    <x v="1"/>
    <x v="9"/>
  </r>
  <r>
    <n v="806"/>
    <x v="111"/>
    <s v="CUST806"/>
    <x v="1"/>
    <n v="35"/>
    <x v="0"/>
    <x v="0"/>
    <x v="0"/>
    <x v="4"/>
    <x v="12"/>
  </r>
  <r>
    <n v="807"/>
    <x v="124"/>
    <s v="CUST807"/>
    <x v="1"/>
    <n v="50"/>
    <x v="0"/>
    <x v="2"/>
    <x v="3"/>
    <x v="0"/>
    <x v="7"/>
  </r>
  <r>
    <n v="808"/>
    <x v="258"/>
    <s v="CUST808"/>
    <x v="0"/>
    <n v="33"/>
    <x v="0"/>
    <x v="0"/>
    <x v="3"/>
    <x v="1"/>
    <x v="11"/>
  </r>
  <r>
    <n v="809"/>
    <x v="223"/>
    <s v="CUST809"/>
    <x v="1"/>
    <n v="62"/>
    <x v="1"/>
    <x v="0"/>
    <x v="1"/>
    <x v="0"/>
    <x v="4"/>
  </r>
  <r>
    <n v="810"/>
    <x v="198"/>
    <s v="CUST810"/>
    <x v="0"/>
    <n v="59"/>
    <x v="1"/>
    <x v="2"/>
    <x v="3"/>
    <x v="3"/>
    <x v="4"/>
  </r>
  <r>
    <n v="811"/>
    <x v="79"/>
    <s v="CUST811"/>
    <x v="0"/>
    <n v="61"/>
    <x v="1"/>
    <x v="0"/>
    <x v="1"/>
    <x v="3"/>
    <x v="5"/>
  </r>
  <r>
    <n v="812"/>
    <x v="281"/>
    <s v="CUST812"/>
    <x v="0"/>
    <n v="19"/>
    <x v="2"/>
    <x v="2"/>
    <x v="0"/>
    <x v="3"/>
    <x v="8"/>
  </r>
  <r>
    <n v="813"/>
    <x v="99"/>
    <s v="CUST813"/>
    <x v="0"/>
    <n v="52"/>
    <x v="0"/>
    <x v="2"/>
    <x v="0"/>
    <x v="0"/>
    <x v="0"/>
  </r>
  <r>
    <n v="814"/>
    <x v="328"/>
    <s v="CUST814"/>
    <x v="1"/>
    <n v="59"/>
    <x v="1"/>
    <x v="1"/>
    <x v="2"/>
    <x v="1"/>
    <x v="3"/>
  </r>
  <r>
    <n v="815"/>
    <x v="286"/>
    <s v="CUST815"/>
    <x v="1"/>
    <n v="51"/>
    <x v="0"/>
    <x v="1"/>
    <x v="0"/>
    <x v="3"/>
    <x v="8"/>
  </r>
  <r>
    <n v="816"/>
    <x v="269"/>
    <s v="CUST816"/>
    <x v="0"/>
    <n v="47"/>
    <x v="0"/>
    <x v="0"/>
    <x v="1"/>
    <x v="1"/>
    <x v="1"/>
  </r>
  <r>
    <n v="817"/>
    <x v="315"/>
    <s v="CUST817"/>
    <x v="0"/>
    <n v="30"/>
    <x v="0"/>
    <x v="0"/>
    <x v="3"/>
    <x v="0"/>
    <x v="7"/>
  </r>
  <r>
    <n v="818"/>
    <x v="88"/>
    <s v="CUST818"/>
    <x v="0"/>
    <n v="30"/>
    <x v="0"/>
    <x v="2"/>
    <x v="2"/>
    <x v="1"/>
    <x v="3"/>
  </r>
  <r>
    <n v="819"/>
    <x v="139"/>
    <s v="CUST819"/>
    <x v="1"/>
    <n v="35"/>
    <x v="0"/>
    <x v="0"/>
    <x v="1"/>
    <x v="0"/>
    <x v="4"/>
  </r>
  <r>
    <n v="820"/>
    <x v="4"/>
    <s v="CUST820"/>
    <x v="0"/>
    <n v="49"/>
    <x v="0"/>
    <x v="2"/>
    <x v="3"/>
    <x v="0"/>
    <x v="7"/>
  </r>
  <r>
    <n v="821"/>
    <x v="10"/>
    <s v="CUST821"/>
    <x v="0"/>
    <n v="49"/>
    <x v="0"/>
    <x v="2"/>
    <x v="2"/>
    <x v="4"/>
    <x v="13"/>
  </r>
  <r>
    <n v="822"/>
    <x v="29"/>
    <s v="CUST822"/>
    <x v="1"/>
    <n v="52"/>
    <x v="0"/>
    <x v="0"/>
    <x v="0"/>
    <x v="0"/>
    <x v="0"/>
  </r>
  <r>
    <n v="823"/>
    <x v="304"/>
    <s v="CUST823"/>
    <x v="1"/>
    <n v="56"/>
    <x v="1"/>
    <x v="2"/>
    <x v="1"/>
    <x v="0"/>
    <x v="4"/>
  </r>
  <r>
    <n v="824"/>
    <x v="179"/>
    <s v="CUST824"/>
    <x v="0"/>
    <n v="63"/>
    <x v="1"/>
    <x v="1"/>
    <x v="3"/>
    <x v="2"/>
    <x v="10"/>
  </r>
  <r>
    <n v="825"/>
    <x v="300"/>
    <s v="CUST825"/>
    <x v="1"/>
    <n v="46"/>
    <x v="0"/>
    <x v="0"/>
    <x v="2"/>
    <x v="3"/>
    <x v="16"/>
  </r>
  <r>
    <n v="826"/>
    <x v="218"/>
    <s v="CUST826"/>
    <x v="1"/>
    <n v="46"/>
    <x v="0"/>
    <x v="1"/>
    <x v="2"/>
    <x v="4"/>
    <x v="13"/>
  </r>
  <r>
    <n v="827"/>
    <x v="289"/>
    <s v="CUST827"/>
    <x v="0"/>
    <n v="61"/>
    <x v="1"/>
    <x v="0"/>
    <x v="0"/>
    <x v="4"/>
    <x v="12"/>
  </r>
  <r>
    <n v="828"/>
    <x v="174"/>
    <s v="CUST828"/>
    <x v="1"/>
    <n v="33"/>
    <x v="0"/>
    <x v="2"/>
    <x v="3"/>
    <x v="4"/>
    <x v="14"/>
  </r>
  <r>
    <n v="829"/>
    <x v="37"/>
    <s v="CUST829"/>
    <x v="0"/>
    <n v="61"/>
    <x v="1"/>
    <x v="0"/>
    <x v="0"/>
    <x v="2"/>
    <x v="15"/>
  </r>
  <r>
    <n v="830"/>
    <x v="36"/>
    <s v="CUST830"/>
    <x v="1"/>
    <n v="64"/>
    <x v="1"/>
    <x v="1"/>
    <x v="0"/>
    <x v="0"/>
    <x v="0"/>
  </r>
  <r>
    <n v="831"/>
    <x v="267"/>
    <s v="CUST831"/>
    <x v="0"/>
    <n v="27"/>
    <x v="0"/>
    <x v="2"/>
    <x v="3"/>
    <x v="3"/>
    <x v="4"/>
  </r>
  <r>
    <n v="832"/>
    <x v="296"/>
    <s v="CUST832"/>
    <x v="0"/>
    <n v="47"/>
    <x v="0"/>
    <x v="0"/>
    <x v="3"/>
    <x v="1"/>
    <x v="11"/>
  </r>
  <r>
    <n v="833"/>
    <x v="83"/>
    <s v="CUST833"/>
    <x v="0"/>
    <n v="42"/>
    <x v="0"/>
    <x v="0"/>
    <x v="3"/>
    <x v="0"/>
    <x v="7"/>
  </r>
  <r>
    <n v="834"/>
    <x v="194"/>
    <s v="CUST834"/>
    <x v="1"/>
    <n v="56"/>
    <x v="1"/>
    <x v="0"/>
    <x v="1"/>
    <x v="2"/>
    <x v="17"/>
  </r>
  <r>
    <n v="835"/>
    <x v="206"/>
    <s v="CUST835"/>
    <x v="0"/>
    <n v="37"/>
    <x v="0"/>
    <x v="1"/>
    <x v="3"/>
    <x v="0"/>
    <x v="7"/>
  </r>
  <r>
    <n v="836"/>
    <x v="90"/>
    <s v="CUST836"/>
    <x v="1"/>
    <n v="22"/>
    <x v="2"/>
    <x v="1"/>
    <x v="2"/>
    <x v="0"/>
    <x v="5"/>
  </r>
  <r>
    <n v="837"/>
    <x v="68"/>
    <s v="CUST837"/>
    <x v="0"/>
    <n v="18"/>
    <x v="2"/>
    <x v="0"/>
    <x v="0"/>
    <x v="2"/>
    <x v="15"/>
  </r>
  <r>
    <n v="838"/>
    <x v="305"/>
    <s v="CUST838"/>
    <x v="0"/>
    <n v="47"/>
    <x v="0"/>
    <x v="2"/>
    <x v="1"/>
    <x v="4"/>
    <x v="6"/>
  </r>
  <r>
    <n v="839"/>
    <x v="33"/>
    <s v="CUST839"/>
    <x v="1"/>
    <n v="20"/>
    <x v="2"/>
    <x v="2"/>
    <x v="3"/>
    <x v="4"/>
    <x v="14"/>
  </r>
  <r>
    <n v="840"/>
    <x v="329"/>
    <s v="CUST840"/>
    <x v="0"/>
    <n v="62"/>
    <x v="1"/>
    <x v="1"/>
    <x v="1"/>
    <x v="3"/>
    <x v="5"/>
  </r>
  <r>
    <n v="841"/>
    <x v="113"/>
    <s v="CUST841"/>
    <x v="0"/>
    <n v="31"/>
    <x v="0"/>
    <x v="2"/>
    <x v="3"/>
    <x v="3"/>
    <x v="4"/>
  </r>
  <r>
    <n v="842"/>
    <x v="24"/>
    <s v="CUST842"/>
    <x v="1"/>
    <n v="47"/>
    <x v="0"/>
    <x v="1"/>
    <x v="1"/>
    <x v="4"/>
    <x v="6"/>
  </r>
  <r>
    <n v="843"/>
    <x v="247"/>
    <s v="CUST843"/>
    <x v="0"/>
    <n v="21"/>
    <x v="2"/>
    <x v="0"/>
    <x v="0"/>
    <x v="1"/>
    <x v="9"/>
  </r>
  <r>
    <n v="844"/>
    <x v="205"/>
    <s v="CUST844"/>
    <x v="0"/>
    <n v="35"/>
    <x v="0"/>
    <x v="1"/>
    <x v="0"/>
    <x v="0"/>
    <x v="0"/>
  </r>
  <r>
    <n v="845"/>
    <x v="121"/>
    <s v="CUST845"/>
    <x v="0"/>
    <n v="54"/>
    <x v="0"/>
    <x v="1"/>
    <x v="2"/>
    <x v="1"/>
    <x v="3"/>
  </r>
  <r>
    <n v="846"/>
    <x v="161"/>
    <s v="CUST846"/>
    <x v="0"/>
    <n v="42"/>
    <x v="0"/>
    <x v="0"/>
    <x v="2"/>
    <x v="0"/>
    <x v="5"/>
  </r>
  <r>
    <n v="847"/>
    <x v="181"/>
    <s v="CUST847"/>
    <x v="1"/>
    <n v="18"/>
    <x v="2"/>
    <x v="2"/>
    <x v="3"/>
    <x v="4"/>
    <x v="14"/>
  </r>
  <r>
    <n v="848"/>
    <x v="146"/>
    <s v="CUST848"/>
    <x v="1"/>
    <n v="63"/>
    <x v="1"/>
    <x v="1"/>
    <x v="0"/>
    <x v="3"/>
    <x v="8"/>
  </r>
  <r>
    <n v="849"/>
    <x v="145"/>
    <s v="CUST849"/>
    <x v="0"/>
    <n v="32"/>
    <x v="0"/>
    <x v="1"/>
    <x v="1"/>
    <x v="3"/>
    <x v="5"/>
  </r>
  <r>
    <n v="850"/>
    <x v="180"/>
    <s v="CUST850"/>
    <x v="1"/>
    <n v="26"/>
    <x v="0"/>
    <x v="0"/>
    <x v="1"/>
    <x v="1"/>
    <x v="1"/>
  </r>
  <r>
    <n v="851"/>
    <x v="140"/>
    <s v="CUST851"/>
    <x v="0"/>
    <n v="32"/>
    <x v="0"/>
    <x v="2"/>
    <x v="1"/>
    <x v="3"/>
    <x v="5"/>
  </r>
  <r>
    <n v="852"/>
    <x v="205"/>
    <s v="CUST852"/>
    <x v="1"/>
    <n v="41"/>
    <x v="0"/>
    <x v="1"/>
    <x v="2"/>
    <x v="4"/>
    <x v="13"/>
  </r>
  <r>
    <n v="853"/>
    <x v="145"/>
    <s v="CUST853"/>
    <x v="0"/>
    <n v="21"/>
    <x v="2"/>
    <x v="0"/>
    <x v="1"/>
    <x v="1"/>
    <x v="1"/>
  </r>
  <r>
    <n v="854"/>
    <x v="156"/>
    <s v="CUST854"/>
    <x v="0"/>
    <n v="29"/>
    <x v="0"/>
    <x v="1"/>
    <x v="2"/>
    <x v="0"/>
    <x v="5"/>
  </r>
  <r>
    <n v="855"/>
    <x v="152"/>
    <s v="CUST855"/>
    <x v="0"/>
    <n v="54"/>
    <x v="0"/>
    <x v="0"/>
    <x v="2"/>
    <x v="3"/>
    <x v="16"/>
  </r>
  <r>
    <n v="856"/>
    <x v="188"/>
    <s v="CUST856"/>
    <x v="0"/>
    <n v="54"/>
    <x v="0"/>
    <x v="2"/>
    <x v="3"/>
    <x v="2"/>
    <x v="10"/>
  </r>
  <r>
    <n v="857"/>
    <x v="330"/>
    <s v="CUST857"/>
    <x v="0"/>
    <n v="60"/>
    <x v="1"/>
    <x v="2"/>
    <x v="1"/>
    <x v="3"/>
    <x v="5"/>
  </r>
  <r>
    <n v="858"/>
    <x v="331"/>
    <s v="CUST858"/>
    <x v="0"/>
    <n v="23"/>
    <x v="2"/>
    <x v="2"/>
    <x v="1"/>
    <x v="0"/>
    <x v="4"/>
  </r>
  <r>
    <n v="859"/>
    <x v="27"/>
    <s v="CUST859"/>
    <x v="1"/>
    <n v="56"/>
    <x v="1"/>
    <x v="2"/>
    <x v="0"/>
    <x v="1"/>
    <x v="9"/>
  </r>
  <r>
    <n v="860"/>
    <x v="332"/>
    <s v="CUST860"/>
    <x v="0"/>
    <n v="63"/>
    <x v="1"/>
    <x v="1"/>
    <x v="3"/>
    <x v="0"/>
    <x v="7"/>
  </r>
  <r>
    <n v="861"/>
    <x v="15"/>
    <s v="CUST861"/>
    <x v="1"/>
    <n v="41"/>
    <x v="0"/>
    <x v="1"/>
    <x v="0"/>
    <x v="2"/>
    <x v="15"/>
  </r>
  <r>
    <n v="862"/>
    <x v="50"/>
    <s v="CUST862"/>
    <x v="0"/>
    <n v="28"/>
    <x v="0"/>
    <x v="2"/>
    <x v="3"/>
    <x v="4"/>
    <x v="14"/>
  </r>
  <r>
    <n v="863"/>
    <x v="262"/>
    <s v="CUST863"/>
    <x v="1"/>
    <n v="30"/>
    <x v="0"/>
    <x v="2"/>
    <x v="1"/>
    <x v="3"/>
    <x v="5"/>
  </r>
  <r>
    <n v="864"/>
    <x v="282"/>
    <s v="CUST864"/>
    <x v="1"/>
    <n v="51"/>
    <x v="0"/>
    <x v="2"/>
    <x v="2"/>
    <x v="1"/>
    <x v="3"/>
  </r>
  <r>
    <n v="865"/>
    <x v="333"/>
    <s v="CUST865"/>
    <x v="1"/>
    <n v="42"/>
    <x v="0"/>
    <x v="1"/>
    <x v="2"/>
    <x v="4"/>
    <x v="13"/>
  </r>
  <r>
    <n v="866"/>
    <x v="179"/>
    <s v="CUST866"/>
    <x v="0"/>
    <n v="24"/>
    <x v="2"/>
    <x v="2"/>
    <x v="2"/>
    <x v="0"/>
    <x v="5"/>
  </r>
  <r>
    <n v="867"/>
    <x v="264"/>
    <s v="CUST867"/>
    <x v="0"/>
    <n v="21"/>
    <x v="2"/>
    <x v="2"/>
    <x v="2"/>
    <x v="1"/>
    <x v="3"/>
  </r>
  <r>
    <n v="868"/>
    <x v="237"/>
    <s v="CUST868"/>
    <x v="1"/>
    <n v="25"/>
    <x v="2"/>
    <x v="2"/>
    <x v="2"/>
    <x v="4"/>
    <x v="13"/>
  </r>
  <r>
    <n v="869"/>
    <x v="268"/>
    <s v="CUST869"/>
    <x v="0"/>
    <n v="37"/>
    <x v="0"/>
    <x v="0"/>
    <x v="0"/>
    <x v="1"/>
    <x v="9"/>
  </r>
  <r>
    <n v="870"/>
    <x v="321"/>
    <s v="CUST870"/>
    <x v="1"/>
    <n v="46"/>
    <x v="0"/>
    <x v="2"/>
    <x v="3"/>
    <x v="2"/>
    <x v="10"/>
  </r>
  <r>
    <n v="871"/>
    <x v="178"/>
    <s v="CUST871"/>
    <x v="0"/>
    <n v="62"/>
    <x v="1"/>
    <x v="0"/>
    <x v="1"/>
    <x v="2"/>
    <x v="17"/>
  </r>
  <r>
    <n v="872"/>
    <x v="120"/>
    <s v="CUST872"/>
    <x v="1"/>
    <n v="63"/>
    <x v="1"/>
    <x v="0"/>
    <x v="0"/>
    <x v="3"/>
    <x v="8"/>
  </r>
  <r>
    <n v="873"/>
    <x v="136"/>
    <s v="CUST873"/>
    <x v="1"/>
    <n v="27"/>
    <x v="0"/>
    <x v="2"/>
    <x v="3"/>
    <x v="3"/>
    <x v="4"/>
  </r>
  <r>
    <n v="874"/>
    <x v="40"/>
    <s v="CUST874"/>
    <x v="0"/>
    <n v="60"/>
    <x v="1"/>
    <x v="0"/>
    <x v="2"/>
    <x v="2"/>
    <x v="2"/>
  </r>
  <r>
    <n v="875"/>
    <x v="298"/>
    <s v="CUST875"/>
    <x v="1"/>
    <n v="51"/>
    <x v="0"/>
    <x v="2"/>
    <x v="3"/>
    <x v="1"/>
    <x v="11"/>
  </r>
  <r>
    <n v="876"/>
    <x v="153"/>
    <s v="CUST876"/>
    <x v="0"/>
    <n v="43"/>
    <x v="0"/>
    <x v="1"/>
    <x v="3"/>
    <x v="2"/>
    <x v="10"/>
  </r>
  <r>
    <n v="877"/>
    <x v="171"/>
    <s v="CUST877"/>
    <x v="1"/>
    <n v="58"/>
    <x v="1"/>
    <x v="1"/>
    <x v="2"/>
    <x v="3"/>
    <x v="16"/>
  </r>
  <r>
    <n v="878"/>
    <x v="313"/>
    <s v="CUST878"/>
    <x v="1"/>
    <n v="20"/>
    <x v="2"/>
    <x v="1"/>
    <x v="2"/>
    <x v="2"/>
    <x v="2"/>
  </r>
  <r>
    <n v="879"/>
    <x v="24"/>
    <s v="CUST879"/>
    <x v="0"/>
    <n v="23"/>
    <x v="2"/>
    <x v="1"/>
    <x v="2"/>
    <x v="2"/>
    <x v="2"/>
  </r>
  <r>
    <n v="880"/>
    <x v="63"/>
    <s v="CUST880"/>
    <x v="0"/>
    <n v="22"/>
    <x v="2"/>
    <x v="0"/>
    <x v="1"/>
    <x v="1"/>
    <x v="1"/>
  </r>
  <r>
    <n v="881"/>
    <x v="79"/>
    <s v="CUST881"/>
    <x v="0"/>
    <n v="22"/>
    <x v="2"/>
    <x v="2"/>
    <x v="2"/>
    <x v="4"/>
    <x v="13"/>
  </r>
  <r>
    <n v="882"/>
    <x v="264"/>
    <s v="CUST882"/>
    <x v="1"/>
    <n v="64"/>
    <x v="1"/>
    <x v="2"/>
    <x v="1"/>
    <x v="3"/>
    <x v="5"/>
  </r>
  <r>
    <n v="883"/>
    <x v="119"/>
    <s v="CUST883"/>
    <x v="0"/>
    <n v="40"/>
    <x v="0"/>
    <x v="2"/>
    <x v="2"/>
    <x v="1"/>
    <x v="3"/>
  </r>
  <r>
    <n v="884"/>
    <x v="310"/>
    <s v="CUST884"/>
    <x v="1"/>
    <n v="26"/>
    <x v="0"/>
    <x v="1"/>
    <x v="1"/>
    <x v="2"/>
    <x v="17"/>
  </r>
  <r>
    <n v="885"/>
    <x v="163"/>
    <s v="CUST885"/>
    <x v="1"/>
    <n v="52"/>
    <x v="0"/>
    <x v="1"/>
    <x v="3"/>
    <x v="2"/>
    <x v="10"/>
  </r>
  <r>
    <n v="886"/>
    <x v="55"/>
    <s v="CUST886"/>
    <x v="0"/>
    <n v="37"/>
    <x v="0"/>
    <x v="2"/>
    <x v="0"/>
    <x v="4"/>
    <x v="12"/>
  </r>
  <r>
    <n v="887"/>
    <x v="86"/>
    <s v="CUST887"/>
    <x v="0"/>
    <n v="59"/>
    <x v="1"/>
    <x v="1"/>
    <x v="3"/>
    <x v="3"/>
    <x v="4"/>
  </r>
  <r>
    <n v="888"/>
    <x v="163"/>
    <s v="CUST888"/>
    <x v="1"/>
    <n v="52"/>
    <x v="0"/>
    <x v="2"/>
    <x v="3"/>
    <x v="3"/>
    <x v="4"/>
  </r>
  <r>
    <n v="889"/>
    <x v="45"/>
    <s v="CUST889"/>
    <x v="1"/>
    <n v="35"/>
    <x v="0"/>
    <x v="2"/>
    <x v="2"/>
    <x v="0"/>
    <x v="5"/>
  </r>
  <r>
    <n v="890"/>
    <x v="156"/>
    <s v="CUST890"/>
    <x v="0"/>
    <n v="34"/>
    <x v="0"/>
    <x v="2"/>
    <x v="1"/>
    <x v="3"/>
    <x v="5"/>
  </r>
  <r>
    <n v="891"/>
    <x v="334"/>
    <s v="CUST891"/>
    <x v="0"/>
    <n v="41"/>
    <x v="0"/>
    <x v="2"/>
    <x v="0"/>
    <x v="4"/>
    <x v="12"/>
  </r>
  <r>
    <n v="892"/>
    <x v="55"/>
    <s v="CUST892"/>
    <x v="0"/>
    <n v="20"/>
    <x v="2"/>
    <x v="2"/>
    <x v="2"/>
    <x v="0"/>
    <x v="5"/>
  </r>
  <r>
    <n v="893"/>
    <x v="35"/>
    <s v="CUST893"/>
    <x v="0"/>
    <n v="49"/>
    <x v="0"/>
    <x v="2"/>
    <x v="2"/>
    <x v="0"/>
    <x v="5"/>
  </r>
  <r>
    <n v="894"/>
    <x v="328"/>
    <s v="CUST894"/>
    <x v="0"/>
    <n v="52"/>
    <x v="0"/>
    <x v="2"/>
    <x v="2"/>
    <x v="2"/>
    <x v="2"/>
  </r>
  <r>
    <n v="895"/>
    <x v="247"/>
    <s v="CUST895"/>
    <x v="1"/>
    <n v="55"/>
    <x v="0"/>
    <x v="1"/>
    <x v="3"/>
    <x v="2"/>
    <x v="10"/>
  </r>
  <r>
    <n v="896"/>
    <x v="28"/>
    <s v="CUST896"/>
    <x v="1"/>
    <n v="30"/>
    <x v="0"/>
    <x v="2"/>
    <x v="1"/>
    <x v="3"/>
    <x v="5"/>
  </r>
  <r>
    <n v="897"/>
    <x v="335"/>
    <s v="CUST897"/>
    <x v="1"/>
    <n v="64"/>
    <x v="1"/>
    <x v="2"/>
    <x v="1"/>
    <x v="0"/>
    <x v="4"/>
  </r>
  <r>
    <n v="898"/>
    <x v="113"/>
    <s v="CUST898"/>
    <x v="1"/>
    <n v="42"/>
    <x v="0"/>
    <x v="1"/>
    <x v="0"/>
    <x v="2"/>
    <x v="15"/>
  </r>
  <r>
    <n v="899"/>
    <x v="242"/>
    <s v="CUST899"/>
    <x v="0"/>
    <n v="26"/>
    <x v="0"/>
    <x v="1"/>
    <x v="1"/>
    <x v="4"/>
    <x v="6"/>
  </r>
  <r>
    <n v="900"/>
    <x v="62"/>
    <s v="CUST900"/>
    <x v="0"/>
    <n v="21"/>
    <x v="2"/>
    <x v="1"/>
    <x v="1"/>
    <x v="2"/>
    <x v="17"/>
  </r>
  <r>
    <n v="901"/>
    <x v="294"/>
    <s v="CUST901"/>
    <x v="0"/>
    <n v="31"/>
    <x v="0"/>
    <x v="2"/>
    <x v="2"/>
    <x v="2"/>
    <x v="2"/>
  </r>
  <r>
    <n v="902"/>
    <x v="207"/>
    <s v="CUST902"/>
    <x v="1"/>
    <n v="54"/>
    <x v="0"/>
    <x v="0"/>
    <x v="2"/>
    <x v="0"/>
    <x v="5"/>
  </r>
  <r>
    <n v="903"/>
    <x v="60"/>
    <s v="CUST903"/>
    <x v="1"/>
    <n v="51"/>
    <x v="0"/>
    <x v="0"/>
    <x v="3"/>
    <x v="0"/>
    <x v="7"/>
  </r>
  <r>
    <n v="904"/>
    <x v="336"/>
    <s v="CUST904"/>
    <x v="0"/>
    <n v="28"/>
    <x v="0"/>
    <x v="1"/>
    <x v="2"/>
    <x v="1"/>
    <x v="3"/>
  </r>
  <r>
    <n v="905"/>
    <x v="128"/>
    <s v="CUST905"/>
    <x v="0"/>
    <n v="58"/>
    <x v="1"/>
    <x v="0"/>
    <x v="2"/>
    <x v="4"/>
    <x v="13"/>
  </r>
  <r>
    <n v="906"/>
    <x v="234"/>
    <s v="CUST906"/>
    <x v="1"/>
    <n v="20"/>
    <x v="2"/>
    <x v="1"/>
    <x v="2"/>
    <x v="0"/>
    <x v="5"/>
  </r>
  <r>
    <n v="907"/>
    <x v="199"/>
    <s v="CUST907"/>
    <x v="1"/>
    <n v="45"/>
    <x v="0"/>
    <x v="2"/>
    <x v="2"/>
    <x v="3"/>
    <x v="16"/>
  </r>
  <r>
    <n v="908"/>
    <x v="167"/>
    <s v="CUST908"/>
    <x v="0"/>
    <n v="46"/>
    <x v="0"/>
    <x v="0"/>
    <x v="3"/>
    <x v="4"/>
    <x v="14"/>
  </r>
  <r>
    <n v="909"/>
    <x v="77"/>
    <s v="CUST909"/>
    <x v="0"/>
    <n v="26"/>
    <x v="0"/>
    <x v="2"/>
    <x v="2"/>
    <x v="4"/>
    <x v="13"/>
  </r>
  <r>
    <n v="910"/>
    <x v="149"/>
    <s v="CUST910"/>
    <x v="1"/>
    <n v="20"/>
    <x v="2"/>
    <x v="0"/>
    <x v="0"/>
    <x v="0"/>
    <x v="0"/>
  </r>
  <r>
    <n v="911"/>
    <x v="3"/>
    <s v="CUST911"/>
    <x v="0"/>
    <n v="42"/>
    <x v="0"/>
    <x v="2"/>
    <x v="0"/>
    <x v="4"/>
    <x v="12"/>
  </r>
  <r>
    <n v="912"/>
    <x v="58"/>
    <s v="CUST912"/>
    <x v="0"/>
    <n v="51"/>
    <x v="0"/>
    <x v="0"/>
    <x v="0"/>
    <x v="0"/>
    <x v="0"/>
  </r>
  <r>
    <n v="913"/>
    <x v="185"/>
    <s v="CUST913"/>
    <x v="0"/>
    <n v="29"/>
    <x v="0"/>
    <x v="2"/>
    <x v="0"/>
    <x v="2"/>
    <x v="15"/>
  </r>
  <r>
    <n v="914"/>
    <x v="120"/>
    <s v="CUST914"/>
    <x v="1"/>
    <n v="59"/>
    <x v="1"/>
    <x v="2"/>
    <x v="2"/>
    <x v="1"/>
    <x v="3"/>
  </r>
  <r>
    <n v="915"/>
    <x v="337"/>
    <s v="CUST915"/>
    <x v="1"/>
    <n v="26"/>
    <x v="0"/>
    <x v="0"/>
    <x v="0"/>
    <x v="2"/>
    <x v="15"/>
  </r>
  <r>
    <n v="916"/>
    <x v="32"/>
    <s v="CUST916"/>
    <x v="1"/>
    <n v="32"/>
    <x v="0"/>
    <x v="2"/>
    <x v="2"/>
    <x v="0"/>
    <x v="5"/>
  </r>
  <r>
    <n v="917"/>
    <x v="149"/>
    <s v="CUST917"/>
    <x v="1"/>
    <n v="57"/>
    <x v="1"/>
    <x v="2"/>
    <x v="3"/>
    <x v="0"/>
    <x v="7"/>
  </r>
  <r>
    <n v="918"/>
    <x v="250"/>
    <s v="CUST918"/>
    <x v="1"/>
    <n v="42"/>
    <x v="0"/>
    <x v="2"/>
    <x v="0"/>
    <x v="2"/>
    <x v="15"/>
  </r>
  <r>
    <n v="919"/>
    <x v="331"/>
    <s v="CUST919"/>
    <x v="1"/>
    <n v="22"/>
    <x v="2"/>
    <x v="0"/>
    <x v="1"/>
    <x v="3"/>
    <x v="5"/>
  </r>
  <r>
    <n v="920"/>
    <x v="7"/>
    <s v="CUST920"/>
    <x v="1"/>
    <n v="28"/>
    <x v="0"/>
    <x v="0"/>
    <x v="0"/>
    <x v="3"/>
    <x v="8"/>
  </r>
  <r>
    <n v="921"/>
    <x v="326"/>
    <s v="CUST921"/>
    <x v="0"/>
    <n v="51"/>
    <x v="0"/>
    <x v="2"/>
    <x v="0"/>
    <x v="3"/>
    <x v="8"/>
  </r>
  <r>
    <n v="922"/>
    <x v="338"/>
    <s v="CUST922"/>
    <x v="0"/>
    <n v="41"/>
    <x v="0"/>
    <x v="2"/>
    <x v="2"/>
    <x v="0"/>
    <x v="5"/>
  </r>
  <r>
    <n v="923"/>
    <x v="232"/>
    <s v="CUST923"/>
    <x v="0"/>
    <n v="32"/>
    <x v="0"/>
    <x v="0"/>
    <x v="0"/>
    <x v="4"/>
    <x v="12"/>
  </r>
  <r>
    <n v="924"/>
    <x v="261"/>
    <s v="CUST924"/>
    <x v="0"/>
    <n v="55"/>
    <x v="0"/>
    <x v="0"/>
    <x v="1"/>
    <x v="0"/>
    <x v="4"/>
  </r>
  <r>
    <n v="925"/>
    <x v="339"/>
    <s v="CUST925"/>
    <x v="0"/>
    <n v="25"/>
    <x v="2"/>
    <x v="2"/>
    <x v="2"/>
    <x v="4"/>
    <x v="13"/>
  </r>
  <r>
    <n v="926"/>
    <x v="306"/>
    <s v="CUST926"/>
    <x v="0"/>
    <n v="22"/>
    <x v="2"/>
    <x v="2"/>
    <x v="2"/>
    <x v="2"/>
    <x v="2"/>
  </r>
  <r>
    <n v="927"/>
    <x v="33"/>
    <s v="CUST927"/>
    <x v="0"/>
    <n v="43"/>
    <x v="0"/>
    <x v="2"/>
    <x v="3"/>
    <x v="1"/>
    <x v="11"/>
  </r>
  <r>
    <n v="928"/>
    <x v="334"/>
    <s v="CUST928"/>
    <x v="1"/>
    <n v="35"/>
    <x v="0"/>
    <x v="1"/>
    <x v="3"/>
    <x v="4"/>
    <x v="14"/>
  </r>
  <r>
    <n v="929"/>
    <x v="246"/>
    <s v="CUST929"/>
    <x v="1"/>
    <n v="23"/>
    <x v="2"/>
    <x v="0"/>
    <x v="0"/>
    <x v="3"/>
    <x v="8"/>
  </r>
  <r>
    <n v="930"/>
    <x v="318"/>
    <s v="CUST930"/>
    <x v="0"/>
    <n v="54"/>
    <x v="0"/>
    <x v="1"/>
    <x v="3"/>
    <x v="0"/>
    <x v="7"/>
  </r>
  <r>
    <n v="931"/>
    <x v="211"/>
    <s v="CUST931"/>
    <x v="0"/>
    <n v="30"/>
    <x v="0"/>
    <x v="0"/>
    <x v="3"/>
    <x v="2"/>
    <x v="10"/>
  </r>
  <r>
    <n v="932"/>
    <x v="122"/>
    <s v="CUST932"/>
    <x v="1"/>
    <n v="45"/>
    <x v="0"/>
    <x v="0"/>
    <x v="3"/>
    <x v="3"/>
    <x v="4"/>
  </r>
  <r>
    <n v="933"/>
    <x v="89"/>
    <s v="CUST933"/>
    <x v="0"/>
    <n v="22"/>
    <x v="2"/>
    <x v="0"/>
    <x v="2"/>
    <x v="2"/>
    <x v="2"/>
  </r>
  <r>
    <n v="934"/>
    <x v="87"/>
    <s v="CUST934"/>
    <x v="0"/>
    <n v="30"/>
    <x v="0"/>
    <x v="0"/>
    <x v="2"/>
    <x v="1"/>
    <x v="3"/>
  </r>
  <r>
    <n v="935"/>
    <x v="331"/>
    <s v="CUST935"/>
    <x v="1"/>
    <n v="34"/>
    <x v="0"/>
    <x v="0"/>
    <x v="2"/>
    <x v="0"/>
    <x v="5"/>
  </r>
  <r>
    <n v="936"/>
    <x v="227"/>
    <s v="CUST936"/>
    <x v="0"/>
    <n v="57"/>
    <x v="1"/>
    <x v="0"/>
    <x v="3"/>
    <x v="0"/>
    <x v="7"/>
  </r>
  <r>
    <n v="937"/>
    <x v="54"/>
    <s v="CUST937"/>
    <x v="1"/>
    <n v="62"/>
    <x v="1"/>
    <x v="0"/>
    <x v="2"/>
    <x v="1"/>
    <x v="3"/>
  </r>
  <r>
    <n v="938"/>
    <x v="292"/>
    <s v="CUST938"/>
    <x v="0"/>
    <n v="49"/>
    <x v="0"/>
    <x v="1"/>
    <x v="3"/>
    <x v="0"/>
    <x v="7"/>
  </r>
  <r>
    <n v="939"/>
    <x v="244"/>
    <s v="CUST939"/>
    <x v="1"/>
    <n v="46"/>
    <x v="0"/>
    <x v="2"/>
    <x v="2"/>
    <x v="4"/>
    <x v="13"/>
  </r>
  <r>
    <n v="940"/>
    <x v="185"/>
    <s v="CUST940"/>
    <x v="1"/>
    <n v="20"/>
    <x v="2"/>
    <x v="2"/>
    <x v="2"/>
    <x v="2"/>
    <x v="2"/>
  </r>
  <r>
    <n v="941"/>
    <x v="309"/>
    <s v="CUST941"/>
    <x v="1"/>
    <n v="57"/>
    <x v="1"/>
    <x v="1"/>
    <x v="1"/>
    <x v="3"/>
    <x v="5"/>
  </r>
  <r>
    <n v="942"/>
    <x v="253"/>
    <s v="CUST942"/>
    <x v="0"/>
    <n v="51"/>
    <x v="0"/>
    <x v="1"/>
    <x v="0"/>
    <x v="1"/>
    <x v="9"/>
  </r>
  <r>
    <n v="943"/>
    <x v="230"/>
    <s v="CUST943"/>
    <x v="1"/>
    <n v="57"/>
    <x v="1"/>
    <x v="1"/>
    <x v="3"/>
    <x v="4"/>
    <x v="14"/>
  </r>
  <r>
    <n v="944"/>
    <x v="284"/>
    <s v="CUST944"/>
    <x v="0"/>
    <n v="44"/>
    <x v="0"/>
    <x v="1"/>
    <x v="1"/>
    <x v="3"/>
    <x v="5"/>
  </r>
  <r>
    <n v="945"/>
    <x v="146"/>
    <s v="CUST945"/>
    <x v="0"/>
    <n v="30"/>
    <x v="0"/>
    <x v="0"/>
    <x v="2"/>
    <x v="3"/>
    <x v="16"/>
  </r>
  <r>
    <n v="946"/>
    <x v="193"/>
    <s v="CUST946"/>
    <x v="0"/>
    <n v="62"/>
    <x v="1"/>
    <x v="2"/>
    <x v="3"/>
    <x v="1"/>
    <x v="11"/>
  </r>
  <r>
    <n v="947"/>
    <x v="340"/>
    <s v="CUST947"/>
    <x v="0"/>
    <n v="50"/>
    <x v="0"/>
    <x v="0"/>
    <x v="2"/>
    <x v="4"/>
    <x v="13"/>
  </r>
  <r>
    <n v="948"/>
    <x v="81"/>
    <s v="CUST948"/>
    <x v="1"/>
    <n v="23"/>
    <x v="2"/>
    <x v="2"/>
    <x v="0"/>
    <x v="3"/>
    <x v="8"/>
  </r>
  <r>
    <n v="949"/>
    <x v="341"/>
    <s v="CUST949"/>
    <x v="1"/>
    <n v="41"/>
    <x v="0"/>
    <x v="2"/>
    <x v="1"/>
    <x v="3"/>
    <x v="5"/>
  </r>
  <r>
    <n v="950"/>
    <x v="155"/>
    <s v="CUST950"/>
    <x v="0"/>
    <n v="36"/>
    <x v="0"/>
    <x v="1"/>
    <x v="0"/>
    <x v="4"/>
    <x v="12"/>
  </r>
  <r>
    <n v="951"/>
    <x v="113"/>
    <s v="CUST951"/>
    <x v="0"/>
    <n v="33"/>
    <x v="0"/>
    <x v="0"/>
    <x v="1"/>
    <x v="0"/>
    <x v="4"/>
  </r>
  <r>
    <n v="952"/>
    <x v="52"/>
    <s v="CUST952"/>
    <x v="1"/>
    <n v="57"/>
    <x v="1"/>
    <x v="1"/>
    <x v="2"/>
    <x v="3"/>
    <x v="16"/>
  </r>
  <r>
    <n v="953"/>
    <x v="164"/>
    <s v="CUST953"/>
    <x v="0"/>
    <n v="45"/>
    <x v="0"/>
    <x v="0"/>
    <x v="0"/>
    <x v="2"/>
    <x v="15"/>
  </r>
  <r>
    <n v="954"/>
    <x v="223"/>
    <s v="CUST954"/>
    <x v="1"/>
    <n v="50"/>
    <x v="0"/>
    <x v="2"/>
    <x v="0"/>
    <x v="4"/>
    <x v="12"/>
  </r>
  <r>
    <n v="955"/>
    <x v="37"/>
    <s v="CUST955"/>
    <x v="0"/>
    <n v="58"/>
    <x v="1"/>
    <x v="1"/>
    <x v="2"/>
    <x v="3"/>
    <x v="16"/>
  </r>
  <r>
    <n v="956"/>
    <x v="304"/>
    <s v="CUST956"/>
    <x v="0"/>
    <n v="30"/>
    <x v="0"/>
    <x v="1"/>
    <x v="0"/>
    <x v="1"/>
    <x v="9"/>
  </r>
  <r>
    <n v="957"/>
    <x v="196"/>
    <s v="CUST957"/>
    <x v="1"/>
    <n v="60"/>
    <x v="1"/>
    <x v="2"/>
    <x v="3"/>
    <x v="2"/>
    <x v="10"/>
  </r>
  <r>
    <n v="958"/>
    <x v="132"/>
    <s v="CUST958"/>
    <x v="0"/>
    <n v="62"/>
    <x v="1"/>
    <x v="2"/>
    <x v="1"/>
    <x v="3"/>
    <x v="5"/>
  </r>
  <r>
    <n v="959"/>
    <x v="28"/>
    <s v="CUST959"/>
    <x v="1"/>
    <n v="42"/>
    <x v="0"/>
    <x v="2"/>
    <x v="1"/>
    <x v="2"/>
    <x v="17"/>
  </r>
  <r>
    <n v="960"/>
    <x v="102"/>
    <s v="CUST960"/>
    <x v="0"/>
    <n v="59"/>
    <x v="1"/>
    <x v="1"/>
    <x v="1"/>
    <x v="2"/>
    <x v="17"/>
  </r>
  <r>
    <n v="961"/>
    <x v="264"/>
    <s v="CUST961"/>
    <x v="0"/>
    <n v="53"/>
    <x v="0"/>
    <x v="0"/>
    <x v="3"/>
    <x v="0"/>
    <x v="7"/>
  </r>
  <r>
    <n v="962"/>
    <x v="218"/>
    <s v="CUST962"/>
    <x v="0"/>
    <n v="44"/>
    <x v="0"/>
    <x v="1"/>
    <x v="1"/>
    <x v="2"/>
    <x v="17"/>
  </r>
  <r>
    <n v="963"/>
    <x v="220"/>
    <s v="CUST963"/>
    <x v="1"/>
    <n v="55"/>
    <x v="0"/>
    <x v="0"/>
    <x v="2"/>
    <x v="0"/>
    <x v="5"/>
  </r>
  <r>
    <n v="964"/>
    <x v="169"/>
    <s v="CUST964"/>
    <x v="0"/>
    <n v="24"/>
    <x v="2"/>
    <x v="1"/>
    <x v="0"/>
    <x v="4"/>
    <x v="12"/>
  </r>
  <r>
    <n v="965"/>
    <x v="289"/>
    <s v="CUST965"/>
    <x v="0"/>
    <n v="22"/>
    <x v="2"/>
    <x v="1"/>
    <x v="3"/>
    <x v="0"/>
    <x v="7"/>
  </r>
  <r>
    <n v="966"/>
    <x v="189"/>
    <s v="CUST966"/>
    <x v="0"/>
    <n v="60"/>
    <x v="1"/>
    <x v="2"/>
    <x v="1"/>
    <x v="1"/>
    <x v="1"/>
  </r>
  <r>
    <n v="967"/>
    <x v="342"/>
    <s v="CUST967"/>
    <x v="0"/>
    <n v="62"/>
    <x v="1"/>
    <x v="0"/>
    <x v="2"/>
    <x v="3"/>
    <x v="16"/>
  </r>
  <r>
    <n v="968"/>
    <x v="131"/>
    <s v="CUST968"/>
    <x v="1"/>
    <n v="48"/>
    <x v="0"/>
    <x v="1"/>
    <x v="0"/>
    <x v="4"/>
    <x v="12"/>
  </r>
  <r>
    <n v="969"/>
    <x v="90"/>
    <s v="CUST969"/>
    <x v="1"/>
    <n v="40"/>
    <x v="0"/>
    <x v="1"/>
    <x v="0"/>
    <x v="4"/>
    <x v="12"/>
  </r>
  <r>
    <n v="970"/>
    <x v="42"/>
    <s v="CUST970"/>
    <x v="0"/>
    <n v="59"/>
    <x v="1"/>
    <x v="2"/>
    <x v="3"/>
    <x v="1"/>
    <x v="11"/>
  </r>
  <r>
    <n v="971"/>
    <x v="59"/>
    <s v="CUST971"/>
    <x v="1"/>
    <n v="27"/>
    <x v="0"/>
    <x v="2"/>
    <x v="3"/>
    <x v="0"/>
    <x v="7"/>
  </r>
  <r>
    <n v="972"/>
    <x v="213"/>
    <s v="CUST972"/>
    <x v="0"/>
    <n v="49"/>
    <x v="0"/>
    <x v="0"/>
    <x v="3"/>
    <x v="3"/>
    <x v="4"/>
  </r>
  <r>
    <n v="973"/>
    <x v="125"/>
    <s v="CUST973"/>
    <x v="0"/>
    <n v="60"/>
    <x v="1"/>
    <x v="1"/>
    <x v="2"/>
    <x v="0"/>
    <x v="5"/>
  </r>
  <r>
    <n v="974"/>
    <x v="143"/>
    <s v="CUST974"/>
    <x v="0"/>
    <n v="47"/>
    <x v="0"/>
    <x v="0"/>
    <x v="2"/>
    <x v="2"/>
    <x v="2"/>
  </r>
  <r>
    <n v="975"/>
    <x v="343"/>
    <s v="CUST975"/>
    <x v="1"/>
    <n v="56"/>
    <x v="1"/>
    <x v="1"/>
    <x v="3"/>
    <x v="0"/>
    <x v="7"/>
  </r>
  <r>
    <n v="976"/>
    <x v="49"/>
    <s v="CUST976"/>
    <x v="1"/>
    <n v="48"/>
    <x v="0"/>
    <x v="0"/>
    <x v="1"/>
    <x v="4"/>
    <x v="6"/>
  </r>
  <r>
    <n v="977"/>
    <x v="195"/>
    <s v="CUST977"/>
    <x v="1"/>
    <n v="35"/>
    <x v="0"/>
    <x v="2"/>
    <x v="0"/>
    <x v="3"/>
    <x v="8"/>
  </r>
  <r>
    <n v="978"/>
    <x v="125"/>
    <s v="CUST978"/>
    <x v="1"/>
    <n v="53"/>
    <x v="0"/>
    <x v="1"/>
    <x v="0"/>
    <x v="0"/>
    <x v="0"/>
  </r>
  <r>
    <n v="979"/>
    <x v="126"/>
    <s v="CUST979"/>
    <x v="1"/>
    <n v="19"/>
    <x v="2"/>
    <x v="0"/>
    <x v="2"/>
    <x v="3"/>
    <x v="16"/>
  </r>
  <r>
    <n v="980"/>
    <x v="277"/>
    <s v="CUST980"/>
    <x v="1"/>
    <n v="31"/>
    <x v="0"/>
    <x v="2"/>
    <x v="0"/>
    <x v="3"/>
    <x v="8"/>
  </r>
  <r>
    <n v="981"/>
    <x v="304"/>
    <s v="CUST981"/>
    <x v="1"/>
    <n v="30"/>
    <x v="0"/>
    <x v="2"/>
    <x v="1"/>
    <x v="2"/>
    <x v="17"/>
  </r>
  <r>
    <n v="982"/>
    <x v="80"/>
    <s v="CUST982"/>
    <x v="1"/>
    <n v="46"/>
    <x v="0"/>
    <x v="0"/>
    <x v="0"/>
    <x v="2"/>
    <x v="15"/>
  </r>
  <r>
    <n v="983"/>
    <x v="215"/>
    <s v="CUST983"/>
    <x v="1"/>
    <n v="29"/>
    <x v="0"/>
    <x v="1"/>
    <x v="2"/>
    <x v="4"/>
    <x v="13"/>
  </r>
  <r>
    <n v="984"/>
    <x v="261"/>
    <s v="CUST984"/>
    <x v="0"/>
    <n v="56"/>
    <x v="1"/>
    <x v="1"/>
    <x v="2"/>
    <x v="1"/>
    <x v="3"/>
  </r>
  <r>
    <n v="985"/>
    <x v="337"/>
    <s v="CUST985"/>
    <x v="1"/>
    <n v="19"/>
    <x v="2"/>
    <x v="2"/>
    <x v="1"/>
    <x v="3"/>
    <x v="5"/>
  </r>
  <r>
    <n v="986"/>
    <x v="13"/>
    <s v="CUST986"/>
    <x v="1"/>
    <n v="49"/>
    <x v="0"/>
    <x v="1"/>
    <x v="1"/>
    <x v="1"/>
    <x v="1"/>
  </r>
  <r>
    <n v="987"/>
    <x v="310"/>
    <s v="CUST987"/>
    <x v="1"/>
    <n v="30"/>
    <x v="0"/>
    <x v="1"/>
    <x v="0"/>
    <x v="4"/>
    <x v="12"/>
  </r>
  <r>
    <n v="988"/>
    <x v="344"/>
    <s v="CUST988"/>
    <x v="1"/>
    <n v="63"/>
    <x v="1"/>
    <x v="1"/>
    <x v="0"/>
    <x v="3"/>
    <x v="8"/>
  </r>
  <r>
    <n v="989"/>
    <x v="251"/>
    <s v="CUST989"/>
    <x v="1"/>
    <n v="44"/>
    <x v="0"/>
    <x v="2"/>
    <x v="2"/>
    <x v="3"/>
    <x v="16"/>
  </r>
  <r>
    <n v="990"/>
    <x v="242"/>
    <s v="CUST990"/>
    <x v="1"/>
    <n v="58"/>
    <x v="1"/>
    <x v="0"/>
    <x v="1"/>
    <x v="1"/>
    <x v="1"/>
  </r>
  <r>
    <n v="991"/>
    <x v="24"/>
    <s v="CUST991"/>
    <x v="1"/>
    <n v="34"/>
    <x v="0"/>
    <x v="1"/>
    <x v="1"/>
    <x v="0"/>
    <x v="4"/>
  </r>
  <r>
    <n v="992"/>
    <x v="63"/>
    <s v="CUST992"/>
    <x v="1"/>
    <n v="57"/>
    <x v="1"/>
    <x v="2"/>
    <x v="1"/>
    <x v="2"/>
    <x v="17"/>
  </r>
  <r>
    <n v="993"/>
    <x v="74"/>
    <s v="CUST993"/>
    <x v="1"/>
    <n v="48"/>
    <x v="0"/>
    <x v="2"/>
    <x v="0"/>
    <x v="0"/>
    <x v="0"/>
  </r>
  <r>
    <n v="994"/>
    <x v="244"/>
    <s v="CUST994"/>
    <x v="1"/>
    <n v="51"/>
    <x v="0"/>
    <x v="0"/>
    <x v="1"/>
    <x v="1"/>
    <x v="1"/>
  </r>
  <r>
    <n v="995"/>
    <x v="17"/>
    <s v="CUST995"/>
    <x v="1"/>
    <n v="41"/>
    <x v="0"/>
    <x v="1"/>
    <x v="2"/>
    <x v="2"/>
    <x v="2"/>
  </r>
  <r>
    <n v="996"/>
    <x v="42"/>
    <s v="CUST996"/>
    <x v="0"/>
    <n v="62"/>
    <x v="1"/>
    <x v="1"/>
    <x v="2"/>
    <x v="0"/>
    <x v="5"/>
  </r>
  <r>
    <n v="997"/>
    <x v="131"/>
    <s v="CUST997"/>
    <x v="0"/>
    <n v="52"/>
    <x v="0"/>
    <x v="0"/>
    <x v="0"/>
    <x v="2"/>
    <x v="15"/>
  </r>
  <r>
    <n v="998"/>
    <x v="28"/>
    <s v="CUST998"/>
    <x v="1"/>
    <n v="23"/>
    <x v="2"/>
    <x v="0"/>
    <x v="3"/>
    <x v="3"/>
    <x v="4"/>
  </r>
  <r>
    <n v="999"/>
    <x v="59"/>
    <s v="CUST999"/>
    <x v="1"/>
    <n v="36"/>
    <x v="0"/>
    <x v="2"/>
    <x v="0"/>
    <x v="0"/>
    <x v="0"/>
  </r>
  <r>
    <n v="1000"/>
    <x v="22"/>
    <s v="CUST1000"/>
    <x v="0"/>
    <n v="47"/>
    <x v="0"/>
    <x v="2"/>
    <x v="3"/>
    <x v="2"/>
    <x v="1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CUST664"/>
    <x v="0"/>
    <x v="0"/>
    <n v="2000"/>
    <n v="2000"/>
  </r>
  <r>
    <s v="CUST152"/>
    <x v="1"/>
    <x v="1"/>
    <n v="2000"/>
    <n v="2000"/>
  </r>
  <r>
    <s v="CUST447"/>
    <x v="2"/>
    <x v="2"/>
    <n v="2000"/>
    <n v="2000"/>
  </r>
  <r>
    <s v="CUST281"/>
    <x v="2"/>
    <x v="2"/>
    <n v="2000"/>
    <n v="2000"/>
  </r>
  <r>
    <s v="CUST875"/>
    <x v="1"/>
    <x v="1"/>
    <n v="2000"/>
    <n v="2000"/>
  </r>
  <r>
    <s v="CUST636"/>
    <x v="2"/>
    <x v="2"/>
    <n v="1500"/>
    <n v="1500"/>
  </r>
  <r>
    <s v="CUST942"/>
    <x v="0"/>
    <x v="1"/>
    <n v="1500"/>
    <n v="1500"/>
  </r>
  <r>
    <s v="CUST239"/>
    <x v="1"/>
    <x v="3"/>
    <n v="1500"/>
    <n v="1500"/>
  </r>
  <r>
    <s v="CUST808"/>
    <x v="2"/>
    <x v="1"/>
    <n v="2000"/>
    <n v="2000"/>
  </r>
  <r>
    <s v="CUST577"/>
    <x v="2"/>
    <x v="3"/>
    <n v="2000"/>
    <n v="2000"/>
  </r>
  <r>
    <s v="CUST731"/>
    <x v="0"/>
    <x v="1"/>
    <n v="2000"/>
    <n v="2000"/>
  </r>
  <r>
    <s v="CUST507"/>
    <x v="1"/>
    <x v="0"/>
    <n v="1500"/>
    <n v="1500"/>
  </r>
  <r>
    <s v="CUST115"/>
    <x v="0"/>
    <x v="0"/>
    <n v="1500"/>
    <n v="1500"/>
  </r>
  <r>
    <s v="CUST711"/>
    <x v="1"/>
    <x v="3"/>
    <n v="1500"/>
    <n v="1500"/>
  </r>
  <r>
    <s v="CUST735"/>
    <x v="0"/>
    <x v="3"/>
    <n v="2000"/>
    <n v="2000"/>
  </r>
  <r>
    <s v="CUST832"/>
    <x v="2"/>
    <x v="0"/>
    <n v="2000"/>
    <n v="2000"/>
  </r>
  <r>
    <s v="CUST946"/>
    <x v="1"/>
    <x v="3"/>
    <n v="2000"/>
    <n v="2000"/>
  </r>
  <r>
    <s v="CUST157"/>
    <x v="1"/>
    <x v="1"/>
    <n v="2000"/>
    <n v="2000"/>
  </r>
  <r>
    <s v="CUST016"/>
    <x v="0"/>
    <x v="1"/>
    <n v="1500"/>
    <n v="1500"/>
  </r>
  <r>
    <s v="CUST700"/>
    <x v="1"/>
    <x v="0"/>
    <n v="2000"/>
    <n v="2000"/>
  </r>
  <r>
    <s v="CUST356"/>
    <x v="1"/>
    <x v="2"/>
    <n v="1500"/>
    <n v="1500"/>
  </r>
  <r>
    <s v="CUST078"/>
    <x v="0"/>
    <x v="1"/>
    <n v="1500"/>
    <n v="1500"/>
  </r>
  <r>
    <s v="CUST561"/>
    <x v="0"/>
    <x v="3"/>
    <n v="2000"/>
    <n v="2000"/>
  </r>
  <r>
    <s v="CUST608"/>
    <x v="1"/>
    <x v="2"/>
    <n v="1500"/>
    <n v="1500"/>
  </r>
  <r>
    <s v="CUST212"/>
    <x v="0"/>
    <x v="2"/>
    <n v="1500"/>
    <n v="1500"/>
  </r>
  <r>
    <s v="CUST165"/>
    <x v="0"/>
    <x v="1"/>
    <n v="1200"/>
    <n v="1200"/>
  </r>
  <r>
    <s v="CUST202"/>
    <x v="0"/>
    <x v="1"/>
    <n v="1200"/>
    <n v="1200"/>
  </r>
  <r>
    <s v="CUST320"/>
    <x v="1"/>
    <x v="2"/>
    <n v="1200"/>
    <n v="1200"/>
  </r>
  <r>
    <s v="CUST361"/>
    <x v="1"/>
    <x v="2"/>
    <n v="1200"/>
    <n v="1200"/>
  </r>
  <r>
    <s v="CUST424"/>
    <x v="2"/>
    <x v="0"/>
    <n v="1200"/>
    <n v="1200"/>
  </r>
  <r>
    <s v="CUST431"/>
    <x v="1"/>
    <x v="3"/>
    <n v="1200"/>
    <n v="1200"/>
  </r>
  <r>
    <s v="CUST441"/>
    <x v="2"/>
    <x v="0"/>
    <n v="1200"/>
    <n v="1200"/>
  </r>
  <r>
    <s v="CUST553"/>
    <x v="0"/>
    <x v="1"/>
    <n v="1200"/>
    <n v="1200"/>
  </r>
  <r>
    <s v="CUST663"/>
    <x v="0"/>
    <x v="0"/>
    <n v="1200"/>
    <n v="1200"/>
  </r>
  <r>
    <s v="CUST669"/>
    <x v="2"/>
    <x v="0"/>
    <n v="1200"/>
    <n v="1200"/>
  </r>
  <r>
    <s v="CUST726"/>
    <x v="0"/>
    <x v="0"/>
    <n v="1200"/>
    <n v="1200"/>
  </r>
  <r>
    <s v="CUST800"/>
    <x v="0"/>
    <x v="0"/>
    <n v="1200"/>
    <n v="1200"/>
  </r>
  <r>
    <s v="CUST862"/>
    <x v="1"/>
    <x v="3"/>
    <n v="1200"/>
    <n v="1200"/>
  </r>
  <r>
    <s v="CUST928"/>
    <x v="0"/>
    <x v="3"/>
    <n v="1200"/>
    <n v="1200"/>
  </r>
  <r>
    <s v="CUST026"/>
    <x v="1"/>
    <x v="2"/>
    <n v="1000"/>
    <n v="1000"/>
  </r>
  <r>
    <s v="CUST049"/>
    <x v="1"/>
    <x v="1"/>
    <n v="1000"/>
    <n v="1000"/>
  </r>
  <r>
    <s v="CUST094"/>
    <x v="2"/>
    <x v="0"/>
    <n v="1000"/>
    <n v="1000"/>
  </r>
  <r>
    <s v="CUST104"/>
    <x v="2"/>
    <x v="2"/>
    <n v="1000"/>
    <n v="1000"/>
  </r>
  <r>
    <s v="CUST235"/>
    <x v="1"/>
    <x v="2"/>
    <n v="1000"/>
    <n v="1000"/>
  </r>
  <r>
    <s v="CUST237"/>
    <x v="2"/>
    <x v="2"/>
    <n v="1000"/>
    <n v="1000"/>
  </r>
  <r>
    <s v="CUST352"/>
    <x v="1"/>
    <x v="3"/>
    <n v="1000"/>
    <n v="1000"/>
  </r>
  <r>
    <s v="CUST393"/>
    <x v="2"/>
    <x v="0"/>
    <n v="1000"/>
    <n v="1000"/>
  </r>
  <r>
    <s v="CUST461"/>
    <x v="2"/>
    <x v="0"/>
    <n v="1000"/>
    <n v="1000"/>
  </r>
  <r>
    <s v="CUST470"/>
    <x v="0"/>
    <x v="1"/>
    <n v="1000"/>
    <n v="1000"/>
  </r>
  <r>
    <s v="CUST589"/>
    <x v="2"/>
    <x v="0"/>
    <n v="1000"/>
    <n v="1000"/>
  </r>
  <r>
    <s v="CUST605"/>
    <x v="1"/>
    <x v="0"/>
    <n v="1000"/>
    <n v="1000"/>
  </r>
  <r>
    <s v="CUST779"/>
    <x v="1"/>
    <x v="2"/>
    <n v="1000"/>
    <n v="1000"/>
  </r>
  <r>
    <s v="CUST853"/>
    <x v="2"/>
    <x v="1"/>
    <n v="1000"/>
    <n v="1000"/>
  </r>
  <r>
    <s v="CUST994"/>
    <x v="2"/>
    <x v="0"/>
    <n v="1000"/>
    <n v="1000"/>
  </r>
  <r>
    <s v="CUST048"/>
    <x v="1"/>
    <x v="3"/>
    <n v="900"/>
    <n v="900"/>
  </r>
  <r>
    <s v="CUST056"/>
    <x v="0"/>
    <x v="0"/>
    <n v="900"/>
    <n v="900"/>
  </r>
  <r>
    <s v="CUST110"/>
    <x v="0"/>
    <x v="2"/>
    <n v="900"/>
    <n v="900"/>
  </r>
  <r>
    <s v="CUST198"/>
    <x v="2"/>
    <x v="3"/>
    <n v="900"/>
    <n v="900"/>
  </r>
  <r>
    <s v="CUST295"/>
    <x v="2"/>
    <x v="2"/>
    <n v="900"/>
    <n v="900"/>
  </r>
  <r>
    <s v="CUST407"/>
    <x v="1"/>
    <x v="0"/>
    <n v="900"/>
    <n v="900"/>
  </r>
  <r>
    <s v="CUST782"/>
    <x v="0"/>
    <x v="3"/>
    <n v="900"/>
    <n v="900"/>
  </r>
  <r>
    <s v="CUST806"/>
    <x v="2"/>
    <x v="1"/>
    <n v="900"/>
    <n v="900"/>
  </r>
  <r>
    <s v="CUST911"/>
    <x v="1"/>
    <x v="1"/>
    <n v="900"/>
    <n v="900"/>
  </r>
  <r>
    <s v="CUST950"/>
    <x v="0"/>
    <x v="3"/>
    <n v="900"/>
    <n v="900"/>
  </r>
  <r>
    <s v="CUST968"/>
    <x v="0"/>
    <x v="3"/>
    <n v="900"/>
    <n v="900"/>
  </r>
  <r>
    <s v="CUST131"/>
    <x v="2"/>
    <x v="2"/>
    <n v="600"/>
    <n v="600"/>
  </r>
  <r>
    <s v="CUST158"/>
    <x v="1"/>
    <x v="3"/>
    <n v="600"/>
    <n v="600"/>
  </r>
  <r>
    <s v="CUST302"/>
    <x v="2"/>
    <x v="2"/>
    <n v="600"/>
    <n v="600"/>
  </r>
  <r>
    <s v="CUST348"/>
    <x v="1"/>
    <x v="0"/>
    <n v="600"/>
    <n v="600"/>
  </r>
  <r>
    <s v="CUST373"/>
    <x v="2"/>
    <x v="2"/>
    <n v="600"/>
    <n v="600"/>
  </r>
  <r>
    <s v="CUST392"/>
    <x v="0"/>
    <x v="3"/>
    <n v="600"/>
    <n v="600"/>
  </r>
  <r>
    <s v="CUST398"/>
    <x v="0"/>
    <x v="3"/>
    <n v="600"/>
    <n v="600"/>
  </r>
  <r>
    <s v="CUST403"/>
    <x v="0"/>
    <x v="0"/>
    <n v="600"/>
    <n v="600"/>
  </r>
  <r>
    <s v="CUST464"/>
    <x v="1"/>
    <x v="3"/>
    <n v="600"/>
    <n v="600"/>
  </r>
  <r>
    <s v="CUST496"/>
    <x v="0"/>
    <x v="3"/>
    <n v="600"/>
    <n v="600"/>
  </r>
  <r>
    <s v="CUST610"/>
    <x v="2"/>
    <x v="1"/>
    <n v="600"/>
    <n v="600"/>
  </r>
  <r>
    <s v="CUST838"/>
    <x v="1"/>
    <x v="1"/>
    <n v="600"/>
    <n v="600"/>
  </r>
  <r>
    <s v="CUST899"/>
    <x v="0"/>
    <x v="0"/>
    <n v="600"/>
    <n v="600"/>
  </r>
  <r>
    <s v="CUST004"/>
    <x v="0"/>
    <x v="2"/>
    <n v="500"/>
    <n v="500"/>
  </r>
  <r>
    <s v="CUST021"/>
    <x v="2"/>
    <x v="1"/>
    <n v="500"/>
    <n v="500"/>
  </r>
  <r>
    <s v="CUST220"/>
    <x v="2"/>
    <x v="2"/>
    <n v="500"/>
    <n v="500"/>
  </r>
  <r>
    <s v="CUST279"/>
    <x v="0"/>
    <x v="3"/>
    <n v="500"/>
    <n v="500"/>
  </r>
  <r>
    <s v="CUST283"/>
    <x v="1"/>
    <x v="1"/>
    <n v="500"/>
    <n v="500"/>
  </r>
  <r>
    <s v="CUST322"/>
    <x v="1"/>
    <x v="0"/>
    <n v="500"/>
    <n v="500"/>
  </r>
  <r>
    <s v="CUST394"/>
    <x v="0"/>
    <x v="0"/>
    <n v="500"/>
    <n v="500"/>
  </r>
  <r>
    <s v="CUST655"/>
    <x v="0"/>
    <x v="0"/>
    <n v="500"/>
    <n v="500"/>
  </r>
  <r>
    <s v="CUST667"/>
    <x v="1"/>
    <x v="1"/>
    <n v="500"/>
    <n v="500"/>
  </r>
  <r>
    <s v="CUST707"/>
    <x v="0"/>
    <x v="2"/>
    <n v="500"/>
    <n v="500"/>
  </r>
  <r>
    <s v="CUST714"/>
    <x v="0"/>
    <x v="3"/>
    <n v="500"/>
    <n v="500"/>
  </r>
  <r>
    <s v="CUST721"/>
    <x v="0"/>
    <x v="2"/>
    <n v="500"/>
    <n v="500"/>
  </r>
  <r>
    <s v="CUST814"/>
    <x v="0"/>
    <x v="2"/>
    <n v="500"/>
    <n v="500"/>
  </r>
  <r>
    <s v="CUST818"/>
    <x v="1"/>
    <x v="3"/>
    <n v="500"/>
    <n v="500"/>
  </r>
  <r>
    <s v="CUST845"/>
    <x v="0"/>
    <x v="3"/>
    <n v="500"/>
    <n v="500"/>
  </r>
  <r>
    <s v="CUST068"/>
    <x v="1"/>
    <x v="1"/>
    <n v="300"/>
    <n v="300"/>
  </r>
  <r>
    <s v="CUST179"/>
    <x v="1"/>
    <x v="1"/>
    <n v="300"/>
    <n v="300"/>
  </r>
  <r>
    <s v="CUST240"/>
    <x v="2"/>
    <x v="1"/>
    <n v="300"/>
    <n v="300"/>
  </r>
  <r>
    <s v="CUST445"/>
    <x v="1"/>
    <x v="1"/>
    <n v="300"/>
    <n v="300"/>
  </r>
  <r>
    <s v="CUST674"/>
    <x v="0"/>
    <x v="1"/>
    <n v="300"/>
    <n v="300"/>
  </r>
  <r>
    <s v="CUST741"/>
    <x v="0"/>
    <x v="3"/>
    <n v="300"/>
    <n v="300"/>
  </r>
  <r>
    <s v="CUST075"/>
    <x v="2"/>
    <x v="2"/>
    <n v="200"/>
    <n v="200"/>
  </r>
  <r>
    <s v="CUST146"/>
    <x v="0"/>
    <x v="1"/>
    <n v="200"/>
    <n v="200"/>
  </r>
  <r>
    <s v="CUST159"/>
    <x v="0"/>
    <x v="1"/>
    <n v="200"/>
    <n v="200"/>
  </r>
  <r>
    <s v="CUST208"/>
    <x v="1"/>
    <x v="2"/>
    <n v="200"/>
    <n v="200"/>
  </r>
  <r>
    <s v="CUST209"/>
    <x v="1"/>
    <x v="1"/>
    <n v="200"/>
    <n v="200"/>
  </r>
  <r>
    <s v="CUST217"/>
    <x v="1"/>
    <x v="2"/>
    <n v="200"/>
    <n v="200"/>
  </r>
  <r>
    <s v="CUST259"/>
    <x v="0"/>
    <x v="2"/>
    <n v="200"/>
    <n v="200"/>
  </r>
  <r>
    <s v="CUST330"/>
    <x v="2"/>
    <x v="3"/>
    <n v="200"/>
    <n v="200"/>
  </r>
  <r>
    <s v="CUST400"/>
    <x v="0"/>
    <x v="0"/>
    <n v="200"/>
    <n v="200"/>
  </r>
  <r>
    <s v="CUST411"/>
    <x v="1"/>
    <x v="3"/>
    <n v="200"/>
    <n v="200"/>
  </r>
  <r>
    <s v="CUST449"/>
    <x v="1"/>
    <x v="0"/>
    <n v="200"/>
    <n v="200"/>
  </r>
  <r>
    <s v="CUST546"/>
    <x v="1"/>
    <x v="0"/>
    <n v="200"/>
    <n v="200"/>
  </r>
  <r>
    <s v="CUST584"/>
    <x v="2"/>
    <x v="0"/>
    <n v="200"/>
    <n v="200"/>
  </r>
  <r>
    <s v="CUST639"/>
    <x v="2"/>
    <x v="1"/>
    <n v="200"/>
    <n v="200"/>
  </r>
  <r>
    <s v="CUST686"/>
    <x v="1"/>
    <x v="3"/>
    <n v="200"/>
    <n v="200"/>
  </r>
  <r>
    <s v="CUST765"/>
    <x v="0"/>
    <x v="0"/>
    <n v="200"/>
    <n v="200"/>
  </r>
  <r>
    <s v="CUST785"/>
    <x v="2"/>
    <x v="2"/>
    <n v="200"/>
    <n v="200"/>
  </r>
  <r>
    <s v="CUST833"/>
    <x v="2"/>
    <x v="1"/>
    <n v="200"/>
    <n v="200"/>
  </r>
  <r>
    <s v="CUST860"/>
    <x v="0"/>
    <x v="3"/>
    <n v="200"/>
    <n v="200"/>
  </r>
  <r>
    <s v="CUST961"/>
    <x v="2"/>
    <x v="0"/>
    <n v="200"/>
    <n v="200"/>
  </r>
  <r>
    <s v="CUST975"/>
    <x v="0"/>
    <x v="2"/>
    <n v="200"/>
    <n v="200"/>
  </r>
  <r>
    <s v="CUST001"/>
    <x v="2"/>
    <x v="3"/>
    <n v="150"/>
    <n v="150"/>
  </r>
  <r>
    <s v="CUST085"/>
    <x v="0"/>
    <x v="3"/>
    <n v="150"/>
    <n v="150"/>
  </r>
  <r>
    <s v="CUST200"/>
    <x v="2"/>
    <x v="1"/>
    <n v="150"/>
    <n v="150"/>
  </r>
  <r>
    <s v="CUST502"/>
    <x v="1"/>
    <x v="3"/>
    <n v="150"/>
    <n v="150"/>
  </r>
  <r>
    <s v="CUST504"/>
    <x v="2"/>
    <x v="1"/>
    <n v="150"/>
    <n v="150"/>
  </r>
  <r>
    <s v="CUST538"/>
    <x v="0"/>
    <x v="0"/>
    <n v="150"/>
    <n v="150"/>
  </r>
  <r>
    <s v="CUST554"/>
    <x v="2"/>
    <x v="1"/>
    <n v="150"/>
    <n v="150"/>
  </r>
  <r>
    <s v="CUST576"/>
    <x v="2"/>
    <x v="2"/>
    <n v="150"/>
    <n v="150"/>
  </r>
  <r>
    <s v="CUST623"/>
    <x v="0"/>
    <x v="1"/>
    <n v="150"/>
    <n v="150"/>
  </r>
  <r>
    <s v="CUST666"/>
    <x v="1"/>
    <x v="2"/>
    <n v="150"/>
    <n v="150"/>
  </r>
  <r>
    <s v="CUST695"/>
    <x v="1"/>
    <x v="1"/>
    <n v="150"/>
    <n v="150"/>
  </r>
  <r>
    <s v="CUST813"/>
    <x v="1"/>
    <x v="3"/>
    <n v="150"/>
    <n v="150"/>
  </r>
  <r>
    <s v="CUST830"/>
    <x v="0"/>
    <x v="0"/>
    <n v="150"/>
    <n v="150"/>
  </r>
  <r>
    <s v="CUST912"/>
    <x v="2"/>
    <x v="2"/>
    <n v="150"/>
    <n v="150"/>
  </r>
  <r>
    <s v="CUST978"/>
    <x v="0"/>
    <x v="1"/>
    <n v="150"/>
    <n v="150"/>
  </r>
  <r>
    <s v="CUST999"/>
    <x v="1"/>
    <x v="1"/>
    <n v="150"/>
    <n v="150"/>
  </r>
  <r>
    <s v="CUST039"/>
    <x v="0"/>
    <x v="1"/>
    <n v="120"/>
    <n v="120"/>
  </r>
  <r>
    <s v="CUST222"/>
    <x v="0"/>
    <x v="3"/>
    <n v="120"/>
    <n v="120"/>
  </r>
  <r>
    <s v="CUST288"/>
    <x v="0"/>
    <x v="3"/>
    <n v="120"/>
    <n v="120"/>
  </r>
  <r>
    <s v="CUST314"/>
    <x v="0"/>
    <x v="2"/>
    <n v="120"/>
    <n v="120"/>
  </r>
  <r>
    <s v="CUST335"/>
    <x v="2"/>
    <x v="2"/>
    <n v="120"/>
    <n v="120"/>
  </r>
  <r>
    <s v="CUST436"/>
    <x v="0"/>
    <x v="3"/>
    <n v="120"/>
    <n v="120"/>
  </r>
  <r>
    <s v="CUST477"/>
    <x v="0"/>
    <x v="2"/>
    <n v="120"/>
    <n v="120"/>
  </r>
  <r>
    <s v="CUST497"/>
    <x v="0"/>
    <x v="0"/>
    <n v="120"/>
    <n v="120"/>
  </r>
  <r>
    <s v="CUST530"/>
    <x v="1"/>
    <x v="0"/>
    <n v="120"/>
    <n v="120"/>
  </r>
  <r>
    <s v="CUST640"/>
    <x v="1"/>
    <x v="3"/>
    <n v="120"/>
    <n v="120"/>
  </r>
  <r>
    <s v="CUST699"/>
    <x v="0"/>
    <x v="2"/>
    <n v="120"/>
    <n v="120"/>
  </r>
  <r>
    <s v="CUST856"/>
    <x v="1"/>
    <x v="1"/>
    <n v="120"/>
    <n v="120"/>
  </r>
  <r>
    <s v="CUST064"/>
    <x v="0"/>
    <x v="0"/>
    <n v="100"/>
    <n v="100"/>
  </r>
  <r>
    <s v="CUST071"/>
    <x v="2"/>
    <x v="3"/>
    <n v="100"/>
    <n v="100"/>
  </r>
  <r>
    <s v="CUST277"/>
    <x v="0"/>
    <x v="2"/>
    <n v="100"/>
    <n v="100"/>
  </r>
  <r>
    <s v="CUST381"/>
    <x v="0"/>
    <x v="3"/>
    <n v="100"/>
    <n v="100"/>
  </r>
  <r>
    <s v="CUST414"/>
    <x v="2"/>
    <x v="1"/>
    <n v="100"/>
    <n v="100"/>
  </r>
  <r>
    <s v="CUST513"/>
    <x v="1"/>
    <x v="0"/>
    <n v="100"/>
    <n v="100"/>
  </r>
  <r>
    <s v="CUST520"/>
    <x v="1"/>
    <x v="3"/>
    <n v="100"/>
    <n v="100"/>
  </r>
  <r>
    <s v="CUST632"/>
    <x v="1"/>
    <x v="3"/>
    <n v="100"/>
    <n v="100"/>
  </r>
  <r>
    <s v="CUST642"/>
    <x v="0"/>
    <x v="3"/>
    <n v="100"/>
    <n v="100"/>
  </r>
  <r>
    <s v="CUST736"/>
    <x v="0"/>
    <x v="1"/>
    <n v="100"/>
    <n v="100"/>
  </r>
  <r>
    <s v="CUST754"/>
    <x v="1"/>
    <x v="3"/>
    <n v="100"/>
    <n v="100"/>
  </r>
  <r>
    <s v="CUST778"/>
    <x v="2"/>
    <x v="1"/>
    <n v="100"/>
    <n v="100"/>
  </r>
  <r>
    <s v="CUST831"/>
    <x v="1"/>
    <x v="1"/>
    <n v="100"/>
    <n v="100"/>
  </r>
  <r>
    <s v="CUST841"/>
    <x v="1"/>
    <x v="1"/>
    <n v="100"/>
    <n v="100"/>
  </r>
  <r>
    <s v="CUST888"/>
    <x v="1"/>
    <x v="0"/>
    <n v="100"/>
    <n v="100"/>
  </r>
  <r>
    <s v="CUST972"/>
    <x v="2"/>
    <x v="0"/>
    <n v="100"/>
    <n v="100"/>
  </r>
  <r>
    <s v="CUST998"/>
    <x v="2"/>
    <x v="3"/>
    <n v="100"/>
    <n v="100"/>
  </r>
  <r>
    <s v="CUST062"/>
    <x v="2"/>
    <x v="3"/>
    <n v="100"/>
    <n v="100"/>
  </r>
  <r>
    <s v="CUST187"/>
    <x v="0"/>
    <x v="0"/>
    <n v="100"/>
    <n v="100"/>
  </r>
  <r>
    <s v="CUST192"/>
    <x v="2"/>
    <x v="2"/>
    <n v="100"/>
    <n v="100"/>
  </r>
  <r>
    <s v="CUST272"/>
    <x v="1"/>
    <x v="0"/>
    <n v="100"/>
    <n v="100"/>
  </r>
  <r>
    <s v="CUST526"/>
    <x v="0"/>
    <x v="1"/>
    <n v="100"/>
    <n v="100"/>
  </r>
  <r>
    <s v="CUST564"/>
    <x v="1"/>
    <x v="0"/>
    <n v="100"/>
    <n v="100"/>
  </r>
  <r>
    <s v="CUST616"/>
    <x v="0"/>
    <x v="1"/>
    <n v="100"/>
    <n v="100"/>
  </r>
  <r>
    <s v="CUST630"/>
    <x v="0"/>
    <x v="3"/>
    <n v="100"/>
    <n v="100"/>
  </r>
  <r>
    <s v="CUST652"/>
    <x v="2"/>
    <x v="2"/>
    <n v="100"/>
    <n v="100"/>
  </r>
  <r>
    <s v="CUST738"/>
    <x v="0"/>
    <x v="3"/>
    <n v="100"/>
    <n v="100"/>
  </r>
  <r>
    <s v="CUST745"/>
    <x v="2"/>
    <x v="1"/>
    <n v="100"/>
    <n v="100"/>
  </r>
  <r>
    <s v="CUST759"/>
    <x v="1"/>
    <x v="1"/>
    <n v="100"/>
    <n v="100"/>
  </r>
  <r>
    <s v="CUST819"/>
    <x v="2"/>
    <x v="1"/>
    <n v="100"/>
    <n v="100"/>
  </r>
  <r>
    <s v="CUST897"/>
    <x v="1"/>
    <x v="2"/>
    <n v="100"/>
    <n v="100"/>
  </r>
  <r>
    <s v="CUST245"/>
    <x v="0"/>
    <x v="0"/>
    <n v="90"/>
    <n v="90"/>
  </r>
  <r>
    <s v="CUST293"/>
    <x v="1"/>
    <x v="3"/>
    <n v="90"/>
    <n v="90"/>
  </r>
  <r>
    <s v="CUST294"/>
    <x v="0"/>
    <x v="3"/>
    <n v="90"/>
    <n v="90"/>
  </r>
  <r>
    <s v="CUST383"/>
    <x v="2"/>
    <x v="0"/>
    <n v="90"/>
    <n v="90"/>
  </r>
  <r>
    <s v="CUST691"/>
    <x v="0"/>
    <x v="3"/>
    <n v="90"/>
    <n v="90"/>
  </r>
  <r>
    <s v="CUST829"/>
    <x v="2"/>
    <x v="2"/>
    <n v="90"/>
    <n v="90"/>
  </r>
  <r>
    <s v="CUST861"/>
    <x v="0"/>
    <x v="3"/>
    <n v="90"/>
    <n v="90"/>
  </r>
  <r>
    <s v="CUST012"/>
    <x v="2"/>
    <x v="1"/>
    <n v="75"/>
    <n v="75"/>
  </r>
  <r>
    <s v="CUST051"/>
    <x v="2"/>
    <x v="0"/>
    <n v="75"/>
    <n v="75"/>
  </r>
  <r>
    <s v="CUST069"/>
    <x v="2"/>
    <x v="2"/>
    <n v="75"/>
    <n v="75"/>
  </r>
  <r>
    <s v="CUST326"/>
    <x v="0"/>
    <x v="0"/>
    <n v="75"/>
    <n v="75"/>
  </r>
  <r>
    <s v="CUST607"/>
    <x v="0"/>
    <x v="2"/>
    <n v="75"/>
    <n v="75"/>
  </r>
  <r>
    <s v="CUST620"/>
    <x v="1"/>
    <x v="1"/>
    <n v="75"/>
    <n v="75"/>
  </r>
  <r>
    <s v="CUST750"/>
    <x v="0"/>
    <x v="0"/>
    <n v="75"/>
    <n v="75"/>
  </r>
  <r>
    <s v="CUST768"/>
    <x v="2"/>
    <x v="3"/>
    <n v="75"/>
    <n v="75"/>
  </r>
  <r>
    <s v="CUST815"/>
    <x v="0"/>
    <x v="2"/>
    <n v="75"/>
    <n v="75"/>
  </r>
  <r>
    <s v="CUST872"/>
    <x v="2"/>
    <x v="0"/>
    <n v="75"/>
    <n v="75"/>
  </r>
  <r>
    <s v="CUST948"/>
    <x v="1"/>
    <x v="3"/>
    <n v="75"/>
    <n v="75"/>
  </r>
  <r>
    <s v="CUST977"/>
    <x v="1"/>
    <x v="0"/>
    <n v="75"/>
    <n v="75"/>
  </r>
  <r>
    <s v="CUST095"/>
    <x v="0"/>
    <x v="0"/>
    <n v="60"/>
    <n v="60"/>
  </r>
  <r>
    <s v="CUST148"/>
    <x v="0"/>
    <x v="0"/>
    <n v="60"/>
    <n v="60"/>
  </r>
  <r>
    <s v="CUST162"/>
    <x v="0"/>
    <x v="2"/>
    <n v="60"/>
    <n v="60"/>
  </r>
  <r>
    <s v="CUST370"/>
    <x v="1"/>
    <x v="3"/>
    <n v="60"/>
    <n v="60"/>
  </r>
  <r>
    <s v="CUST415"/>
    <x v="0"/>
    <x v="1"/>
    <n v="60"/>
    <n v="60"/>
  </r>
  <r>
    <s v="CUST448"/>
    <x v="2"/>
    <x v="2"/>
    <n v="60"/>
    <n v="60"/>
  </r>
  <r>
    <s v="CUST456"/>
    <x v="1"/>
    <x v="2"/>
    <n v="60"/>
    <n v="60"/>
  </r>
  <r>
    <s v="CUST563"/>
    <x v="0"/>
    <x v="2"/>
    <n v="60"/>
    <n v="60"/>
  </r>
  <r>
    <s v="CUST588"/>
    <x v="1"/>
    <x v="1"/>
    <n v="60"/>
    <n v="60"/>
  </r>
  <r>
    <s v="CUST701"/>
    <x v="2"/>
    <x v="3"/>
    <n v="60"/>
    <n v="60"/>
  </r>
  <r>
    <s v="CUST834"/>
    <x v="2"/>
    <x v="3"/>
    <n v="60"/>
    <n v="60"/>
  </r>
  <r>
    <s v="CUST900"/>
    <x v="0"/>
    <x v="3"/>
    <n v="60"/>
    <n v="60"/>
  </r>
  <r>
    <s v="CUST018"/>
    <x v="1"/>
    <x v="0"/>
    <n v="50"/>
    <n v="50"/>
  </r>
  <r>
    <s v="CUST019"/>
    <x v="0"/>
    <x v="0"/>
    <n v="50"/>
    <n v="50"/>
  </r>
  <r>
    <s v="CUST063"/>
    <x v="1"/>
    <x v="0"/>
    <n v="50"/>
    <n v="50"/>
  </r>
  <r>
    <s v="CUST207"/>
    <x v="2"/>
    <x v="1"/>
    <n v="50"/>
    <n v="50"/>
  </r>
  <r>
    <s v="CUST286"/>
    <x v="1"/>
    <x v="0"/>
    <n v="50"/>
    <n v="50"/>
  </r>
  <r>
    <s v="CUST307"/>
    <x v="1"/>
    <x v="1"/>
    <n v="50"/>
    <n v="50"/>
  </r>
  <r>
    <s v="CUST321"/>
    <x v="1"/>
    <x v="3"/>
    <n v="50"/>
    <n v="50"/>
  </r>
  <r>
    <s v="CUST389"/>
    <x v="0"/>
    <x v="0"/>
    <n v="50"/>
    <n v="50"/>
  </r>
  <r>
    <s v="CUST391"/>
    <x v="2"/>
    <x v="0"/>
    <n v="50"/>
    <n v="50"/>
  </r>
  <r>
    <s v="CUST434"/>
    <x v="1"/>
    <x v="2"/>
    <n v="50"/>
    <n v="50"/>
  </r>
  <r>
    <s v="CUST574"/>
    <x v="1"/>
    <x v="1"/>
    <n v="50"/>
    <n v="50"/>
  </r>
  <r>
    <s v="CUST694"/>
    <x v="1"/>
    <x v="3"/>
    <n v="50"/>
    <n v="50"/>
  </r>
  <r>
    <s v="CUST751"/>
    <x v="0"/>
    <x v="2"/>
    <n v="50"/>
    <n v="50"/>
  </r>
  <r>
    <s v="CUST774"/>
    <x v="0"/>
    <x v="2"/>
    <n v="50"/>
    <n v="50"/>
  </r>
  <r>
    <s v="CUST840"/>
    <x v="0"/>
    <x v="3"/>
    <n v="50"/>
    <n v="50"/>
  </r>
  <r>
    <s v="CUST849"/>
    <x v="0"/>
    <x v="2"/>
    <n v="50"/>
    <n v="50"/>
  </r>
  <r>
    <s v="CUST851"/>
    <x v="1"/>
    <x v="1"/>
    <n v="50"/>
    <n v="50"/>
  </r>
  <r>
    <s v="CUST863"/>
    <x v="1"/>
    <x v="1"/>
    <n v="50"/>
    <n v="50"/>
  </r>
  <r>
    <s v="CUST919"/>
    <x v="2"/>
    <x v="0"/>
    <n v="50"/>
    <n v="50"/>
  </r>
  <r>
    <s v="CUST944"/>
    <x v="0"/>
    <x v="2"/>
    <n v="50"/>
    <n v="50"/>
  </r>
  <r>
    <s v="CUST059"/>
    <x v="0"/>
    <x v="0"/>
    <n v="50"/>
    <n v="50"/>
  </r>
  <r>
    <s v="CUST224"/>
    <x v="0"/>
    <x v="2"/>
    <n v="50"/>
    <n v="50"/>
  </r>
  <r>
    <s v="CUST258"/>
    <x v="0"/>
    <x v="1"/>
    <n v="50"/>
    <n v="50"/>
  </r>
  <r>
    <s v="CUST306"/>
    <x v="1"/>
    <x v="1"/>
    <n v="50"/>
    <n v="50"/>
  </r>
  <r>
    <s v="CUST505"/>
    <x v="2"/>
    <x v="1"/>
    <n v="50"/>
    <n v="50"/>
  </r>
  <r>
    <s v="CUST560"/>
    <x v="1"/>
    <x v="2"/>
    <n v="50"/>
    <n v="50"/>
  </r>
  <r>
    <s v="CUST586"/>
    <x v="1"/>
    <x v="1"/>
    <n v="50"/>
    <n v="50"/>
  </r>
  <r>
    <s v="CUST606"/>
    <x v="1"/>
    <x v="2"/>
    <n v="50"/>
    <n v="50"/>
  </r>
  <r>
    <s v="CUST846"/>
    <x v="2"/>
    <x v="0"/>
    <n v="50"/>
    <n v="50"/>
  </r>
  <r>
    <s v="CUST866"/>
    <x v="1"/>
    <x v="2"/>
    <n v="50"/>
    <n v="50"/>
  </r>
  <r>
    <s v="CUST889"/>
    <x v="1"/>
    <x v="0"/>
    <n v="50"/>
    <n v="50"/>
  </r>
  <r>
    <s v="CUST935"/>
    <x v="2"/>
    <x v="2"/>
    <n v="50"/>
    <n v="50"/>
  </r>
  <r>
    <s v="CUST057"/>
    <x v="2"/>
    <x v="0"/>
    <n v="30"/>
    <n v="30"/>
  </r>
  <r>
    <s v="CUST140"/>
    <x v="1"/>
    <x v="1"/>
    <n v="30"/>
    <n v="30"/>
  </r>
  <r>
    <s v="CUST396"/>
    <x v="2"/>
    <x v="0"/>
    <n v="30"/>
    <n v="30"/>
  </r>
  <r>
    <s v="CUST617"/>
    <x v="1"/>
    <x v="1"/>
    <n v="30"/>
    <n v="30"/>
  </r>
  <r>
    <s v="CUST650"/>
    <x v="1"/>
    <x v="1"/>
    <n v="30"/>
    <n v="30"/>
  </r>
  <r>
    <s v="CUST670"/>
    <x v="2"/>
    <x v="0"/>
    <n v="30"/>
    <n v="30"/>
  </r>
  <r>
    <s v="CUST733"/>
    <x v="2"/>
    <x v="2"/>
    <n v="30"/>
    <n v="30"/>
  </r>
  <r>
    <s v="CUST734"/>
    <x v="0"/>
    <x v="2"/>
    <n v="30"/>
    <n v="30"/>
  </r>
  <r>
    <s v="CUST772"/>
    <x v="1"/>
    <x v="3"/>
    <n v="30"/>
    <n v="30"/>
  </r>
  <r>
    <s v="CUST802"/>
    <x v="2"/>
    <x v="2"/>
    <n v="30"/>
    <n v="30"/>
  </r>
  <r>
    <s v="CUST894"/>
    <x v="1"/>
    <x v="3"/>
    <n v="30"/>
    <n v="30"/>
  </r>
  <r>
    <s v="CUST933"/>
    <x v="2"/>
    <x v="2"/>
    <n v="30"/>
    <n v="30"/>
  </r>
  <r>
    <s v="CUST206"/>
    <x v="0"/>
    <x v="2"/>
    <n v="25"/>
    <n v="25"/>
  </r>
  <r>
    <s v="CUST236"/>
    <x v="0"/>
    <x v="1"/>
    <n v="25"/>
    <n v="25"/>
  </r>
  <r>
    <s v="CUST310"/>
    <x v="2"/>
    <x v="3"/>
    <n v="25"/>
    <n v="25"/>
  </r>
  <r>
    <s v="CUST371"/>
    <x v="2"/>
    <x v="2"/>
    <n v="25"/>
    <n v="25"/>
  </r>
  <r>
    <s v="CUST379"/>
    <x v="0"/>
    <x v="3"/>
    <n v="25"/>
    <n v="25"/>
  </r>
  <r>
    <s v="CUST388"/>
    <x v="1"/>
    <x v="1"/>
    <n v="25"/>
    <n v="25"/>
  </r>
  <r>
    <s v="CUST427"/>
    <x v="1"/>
    <x v="1"/>
    <n v="25"/>
    <n v="25"/>
  </r>
  <r>
    <s v="CUST967"/>
    <x v="2"/>
    <x v="3"/>
    <n v="25"/>
    <n v="25"/>
  </r>
  <r>
    <s v="CUST989"/>
    <x v="1"/>
    <x v="1"/>
    <n v="25"/>
    <n v="25"/>
  </r>
  <r>
    <s v="CUST677"/>
    <x v="2"/>
    <x v="0"/>
    <n v="1500"/>
    <n v="1500"/>
  </r>
  <r>
    <s v="CUST474"/>
    <x v="0"/>
    <x v="0"/>
    <n v="1500"/>
    <n v="1500"/>
  </r>
  <r>
    <s v="CUST487"/>
    <x v="0"/>
    <x v="1"/>
    <n v="2000"/>
    <n v="2000"/>
  </r>
  <r>
    <s v="CUST693"/>
    <x v="2"/>
    <x v="0"/>
    <n v="1500"/>
    <n v="1500"/>
  </r>
  <r>
    <s v="CUST124"/>
    <x v="0"/>
    <x v="2"/>
    <n v="2000"/>
    <n v="2000"/>
  </r>
  <r>
    <s v="CUST215"/>
    <x v="0"/>
    <x v="3"/>
    <n v="1500"/>
    <n v="1500"/>
  </r>
  <r>
    <s v="CUST742"/>
    <x v="1"/>
    <x v="2"/>
    <n v="2000"/>
    <n v="2000"/>
  </r>
  <r>
    <s v="CUST647"/>
    <x v="0"/>
    <x v="3"/>
    <n v="1500"/>
    <n v="1500"/>
  </r>
  <r>
    <s v="CUST676"/>
    <x v="1"/>
    <x v="1"/>
    <n v="1500"/>
    <n v="1500"/>
  </r>
  <r>
    <s v="CUST859"/>
    <x v="1"/>
    <x v="2"/>
    <n v="1500"/>
    <n v="1500"/>
  </r>
  <r>
    <s v="CUST970"/>
    <x v="1"/>
    <x v="1"/>
    <n v="2000"/>
    <n v="2000"/>
  </r>
  <r>
    <s v="CUST503"/>
    <x v="2"/>
    <x v="1"/>
    <n v="2000"/>
    <n v="2000"/>
  </r>
  <r>
    <s v="CUST313"/>
    <x v="2"/>
    <x v="3"/>
    <n v="1500"/>
    <n v="1500"/>
  </r>
  <r>
    <s v="CUST572"/>
    <x v="0"/>
    <x v="3"/>
    <n v="2000"/>
    <n v="2000"/>
  </r>
  <r>
    <s v="CUST626"/>
    <x v="0"/>
    <x v="3"/>
    <n v="2000"/>
    <n v="2000"/>
  </r>
  <r>
    <s v="CUST743"/>
    <x v="2"/>
    <x v="2"/>
    <n v="2000"/>
    <n v="2000"/>
  </r>
  <r>
    <s v="CUST144"/>
    <x v="2"/>
    <x v="0"/>
    <n v="1500"/>
    <n v="1500"/>
  </r>
  <r>
    <s v="CUST480"/>
    <x v="2"/>
    <x v="3"/>
    <n v="2000"/>
    <n v="2000"/>
  </r>
  <r>
    <s v="CUST420"/>
    <x v="0"/>
    <x v="3"/>
    <n v="2000"/>
    <n v="2000"/>
  </r>
  <r>
    <s v="CUST522"/>
    <x v="2"/>
    <x v="2"/>
    <n v="1500"/>
    <n v="1500"/>
  </r>
  <r>
    <s v="CUST463"/>
    <x v="2"/>
    <x v="3"/>
    <n v="1500"/>
    <n v="1500"/>
  </r>
  <r>
    <s v="CUST611"/>
    <x v="2"/>
    <x v="2"/>
    <n v="1500"/>
    <n v="1500"/>
  </r>
  <r>
    <s v="CUST253"/>
    <x v="0"/>
    <x v="1"/>
    <n v="2000"/>
    <n v="2000"/>
  </r>
  <r>
    <s v="CUST927"/>
    <x v="1"/>
    <x v="3"/>
    <n v="2000"/>
    <n v="2000"/>
  </r>
  <r>
    <s v="CUST506"/>
    <x v="2"/>
    <x v="3"/>
    <n v="1500"/>
    <n v="1500"/>
  </r>
  <r>
    <s v="CUST181"/>
    <x v="1"/>
    <x v="1"/>
    <n v="1200"/>
    <n v="1200"/>
  </r>
  <r>
    <s v="CUST292"/>
    <x v="2"/>
    <x v="1"/>
    <n v="1200"/>
    <n v="1200"/>
  </r>
  <r>
    <s v="CUST296"/>
    <x v="0"/>
    <x v="1"/>
    <n v="1200"/>
    <n v="1200"/>
  </r>
  <r>
    <s v="CUST298"/>
    <x v="2"/>
    <x v="3"/>
    <n v="1200"/>
    <n v="1200"/>
  </r>
  <r>
    <s v="CUST332"/>
    <x v="1"/>
    <x v="0"/>
    <n v="1200"/>
    <n v="1200"/>
  </r>
  <r>
    <s v="CUST368"/>
    <x v="0"/>
    <x v="0"/>
    <n v="1200"/>
    <n v="1200"/>
  </r>
  <r>
    <s v="CUST462"/>
    <x v="1"/>
    <x v="0"/>
    <n v="1200"/>
    <n v="1200"/>
  </r>
  <r>
    <s v="CUST559"/>
    <x v="0"/>
    <x v="3"/>
    <n v="1200"/>
    <n v="1200"/>
  </r>
  <r>
    <s v="CUST756"/>
    <x v="1"/>
    <x v="1"/>
    <n v="1200"/>
    <n v="1200"/>
  </r>
  <r>
    <s v="CUST757"/>
    <x v="1"/>
    <x v="3"/>
    <n v="1200"/>
    <n v="1200"/>
  </r>
  <r>
    <s v="CUST847"/>
    <x v="1"/>
    <x v="1"/>
    <n v="1200"/>
    <n v="1200"/>
  </r>
  <r>
    <s v="CUST002"/>
    <x v="0"/>
    <x v="3"/>
    <n v="1000"/>
    <n v="1000"/>
  </r>
  <r>
    <s v="CUST161"/>
    <x v="2"/>
    <x v="3"/>
    <n v="1000"/>
    <n v="1000"/>
  </r>
  <r>
    <s v="CUST203"/>
    <x v="0"/>
    <x v="1"/>
    <n v="1000"/>
    <n v="1000"/>
  </r>
  <r>
    <s v="CUST256"/>
    <x v="0"/>
    <x v="0"/>
    <n v="1000"/>
    <n v="1000"/>
  </r>
  <r>
    <s v="CUST275"/>
    <x v="0"/>
    <x v="1"/>
    <n v="1000"/>
    <n v="1000"/>
  </r>
  <r>
    <s v="CUST299"/>
    <x v="1"/>
    <x v="2"/>
    <n v="1000"/>
    <n v="1000"/>
  </r>
  <r>
    <s v="CUST453"/>
    <x v="0"/>
    <x v="2"/>
    <n v="1000"/>
    <n v="1000"/>
  </r>
  <r>
    <s v="CUST534"/>
    <x v="0"/>
    <x v="1"/>
    <n v="1000"/>
    <n v="1000"/>
  </r>
  <r>
    <s v="CUST660"/>
    <x v="2"/>
    <x v="3"/>
    <n v="1000"/>
    <n v="1000"/>
  </r>
  <r>
    <s v="CUST683"/>
    <x v="2"/>
    <x v="2"/>
    <n v="1000"/>
    <n v="1000"/>
  </r>
  <r>
    <s v="CUST732"/>
    <x v="1"/>
    <x v="2"/>
    <n v="1000"/>
    <n v="1000"/>
  </r>
  <r>
    <s v="CUST850"/>
    <x v="2"/>
    <x v="3"/>
    <n v="1000"/>
    <n v="1000"/>
  </r>
  <r>
    <s v="CUST880"/>
    <x v="2"/>
    <x v="3"/>
    <n v="1000"/>
    <n v="1000"/>
  </r>
  <r>
    <s v="CUST966"/>
    <x v="1"/>
    <x v="0"/>
    <n v="1000"/>
    <n v="1000"/>
  </r>
  <r>
    <s v="CUST986"/>
    <x v="0"/>
    <x v="3"/>
    <n v="1000"/>
    <n v="1000"/>
  </r>
  <r>
    <s v="CUST133"/>
    <x v="1"/>
    <x v="1"/>
    <n v="900"/>
    <n v="900"/>
  </r>
  <r>
    <s v="CUST154"/>
    <x v="1"/>
    <x v="1"/>
    <n v="900"/>
    <n v="900"/>
  </r>
  <r>
    <s v="CUST171"/>
    <x v="0"/>
    <x v="0"/>
    <n v="900"/>
    <n v="900"/>
  </r>
  <r>
    <s v="CUST183"/>
    <x v="2"/>
    <x v="2"/>
    <n v="900"/>
    <n v="900"/>
  </r>
  <r>
    <s v="CUST243"/>
    <x v="1"/>
    <x v="2"/>
    <n v="900"/>
    <n v="900"/>
  </r>
  <r>
    <s v="CUST248"/>
    <x v="0"/>
    <x v="3"/>
    <n v="900"/>
    <n v="900"/>
  </r>
  <r>
    <s v="CUST435"/>
    <x v="2"/>
    <x v="1"/>
    <n v="900"/>
    <n v="900"/>
  </r>
  <r>
    <s v="CUST472"/>
    <x v="2"/>
    <x v="2"/>
    <n v="900"/>
    <n v="900"/>
  </r>
  <r>
    <s v="CUST567"/>
    <x v="0"/>
    <x v="0"/>
    <n v="900"/>
    <n v="900"/>
  </r>
  <r>
    <s v="CUST590"/>
    <x v="0"/>
    <x v="0"/>
    <n v="900"/>
    <n v="900"/>
  </r>
  <r>
    <s v="CUST635"/>
    <x v="1"/>
    <x v="1"/>
    <n v="900"/>
    <n v="900"/>
  </r>
  <r>
    <s v="CUST680"/>
    <x v="0"/>
    <x v="0"/>
    <n v="900"/>
    <n v="900"/>
  </r>
  <r>
    <s v="CUST722"/>
    <x v="2"/>
    <x v="0"/>
    <n v="900"/>
    <n v="900"/>
  </r>
  <r>
    <s v="CUST987"/>
    <x v="0"/>
    <x v="1"/>
    <n v="900"/>
    <n v="900"/>
  </r>
  <r>
    <s v="CUST009"/>
    <x v="1"/>
    <x v="3"/>
    <n v="600"/>
    <n v="600"/>
  </r>
  <r>
    <s v="CUST101"/>
    <x v="0"/>
    <x v="3"/>
    <n v="600"/>
    <n v="600"/>
  </r>
  <r>
    <s v="CUST386"/>
    <x v="1"/>
    <x v="0"/>
    <n v="600"/>
    <n v="600"/>
  </r>
  <r>
    <s v="CUST637"/>
    <x v="0"/>
    <x v="3"/>
    <n v="600"/>
    <n v="600"/>
  </r>
  <r>
    <s v="CUST649"/>
    <x v="0"/>
    <x v="3"/>
    <n v="600"/>
    <n v="600"/>
  </r>
  <r>
    <s v="CUST702"/>
    <x v="0"/>
    <x v="0"/>
    <n v="600"/>
    <n v="600"/>
  </r>
  <r>
    <s v="CUST088"/>
    <x v="0"/>
    <x v="3"/>
    <n v="500"/>
    <n v="500"/>
  </r>
  <r>
    <s v="CUST319"/>
    <x v="0"/>
    <x v="0"/>
    <n v="500"/>
    <n v="500"/>
  </r>
  <r>
    <s v="CUST355"/>
    <x v="1"/>
    <x v="2"/>
    <n v="500"/>
    <n v="500"/>
  </r>
  <r>
    <s v="CUST537"/>
    <x v="2"/>
    <x v="1"/>
    <n v="500"/>
    <n v="500"/>
  </r>
  <r>
    <s v="CUST539"/>
    <x v="2"/>
    <x v="1"/>
    <n v="500"/>
    <n v="500"/>
  </r>
  <r>
    <s v="CUST570"/>
    <x v="0"/>
    <x v="3"/>
    <n v="500"/>
    <n v="500"/>
  </r>
  <r>
    <s v="CUST612"/>
    <x v="1"/>
    <x v="3"/>
    <n v="500"/>
    <n v="500"/>
  </r>
  <r>
    <s v="CUST697"/>
    <x v="0"/>
    <x v="3"/>
    <n v="500"/>
    <n v="500"/>
  </r>
  <r>
    <s v="CUST717"/>
    <x v="0"/>
    <x v="1"/>
    <n v="500"/>
    <n v="500"/>
  </r>
  <r>
    <s v="CUST760"/>
    <x v="2"/>
    <x v="2"/>
    <n v="500"/>
    <n v="500"/>
  </r>
  <r>
    <s v="CUST984"/>
    <x v="0"/>
    <x v="2"/>
    <n v="500"/>
    <n v="500"/>
  </r>
  <r>
    <s v="CUST024"/>
    <x v="0"/>
    <x v="1"/>
    <n v="300"/>
    <n v="300"/>
  </r>
  <r>
    <s v="CUST079"/>
    <x v="2"/>
    <x v="2"/>
    <n v="300"/>
    <n v="300"/>
  </r>
  <r>
    <s v="CUST147"/>
    <x v="1"/>
    <x v="1"/>
    <n v="300"/>
    <n v="300"/>
  </r>
  <r>
    <s v="CUST514"/>
    <x v="1"/>
    <x v="2"/>
    <n v="300"/>
    <n v="300"/>
  </r>
  <r>
    <s v="CUST568"/>
    <x v="1"/>
    <x v="0"/>
    <n v="300"/>
    <n v="300"/>
  </r>
  <r>
    <s v="CUST602"/>
    <x v="1"/>
    <x v="0"/>
    <n v="300"/>
    <n v="300"/>
  </r>
  <r>
    <s v="CUST794"/>
    <x v="2"/>
    <x v="1"/>
    <n v="300"/>
    <n v="300"/>
  </r>
  <r>
    <s v="CUST821"/>
    <x v="1"/>
    <x v="2"/>
    <n v="300"/>
    <n v="300"/>
  </r>
  <r>
    <s v="CUST184"/>
    <x v="1"/>
    <x v="3"/>
    <n v="200"/>
    <n v="200"/>
  </r>
  <r>
    <s v="CUST194"/>
    <x v="0"/>
    <x v="2"/>
    <n v="200"/>
    <n v="200"/>
  </r>
  <r>
    <s v="CUST210"/>
    <x v="1"/>
    <x v="0"/>
    <n v="200"/>
    <n v="200"/>
  </r>
  <r>
    <s v="CUST282"/>
    <x v="1"/>
    <x v="0"/>
    <n v="200"/>
    <n v="200"/>
  </r>
  <r>
    <s v="CUST300"/>
    <x v="1"/>
    <x v="2"/>
    <n v="200"/>
    <n v="200"/>
  </r>
  <r>
    <s v="CUST341"/>
    <x v="0"/>
    <x v="2"/>
    <n v="200"/>
    <n v="200"/>
  </r>
  <r>
    <s v="CUST354"/>
    <x v="2"/>
    <x v="3"/>
    <n v="200"/>
    <n v="200"/>
  </r>
  <r>
    <s v="CUST428"/>
    <x v="1"/>
    <x v="3"/>
    <n v="200"/>
    <n v="200"/>
  </r>
  <r>
    <s v="CUST510"/>
    <x v="2"/>
    <x v="2"/>
    <n v="200"/>
    <n v="200"/>
  </r>
  <r>
    <s v="CUST628"/>
    <x v="2"/>
    <x v="2"/>
    <n v="200"/>
    <n v="200"/>
  </r>
  <r>
    <s v="CUST723"/>
    <x v="2"/>
    <x v="2"/>
    <n v="200"/>
    <n v="200"/>
  </r>
  <r>
    <s v="CUST807"/>
    <x v="1"/>
    <x v="2"/>
    <n v="200"/>
    <n v="200"/>
  </r>
  <r>
    <s v="CUST930"/>
    <x v="0"/>
    <x v="1"/>
    <n v="200"/>
    <n v="200"/>
  </r>
  <r>
    <s v="CUST971"/>
    <x v="1"/>
    <x v="2"/>
    <n v="200"/>
    <n v="200"/>
  </r>
  <r>
    <s v="CUST119"/>
    <x v="0"/>
    <x v="3"/>
    <n v="150"/>
    <n v="150"/>
  </r>
  <r>
    <s v="CUST167"/>
    <x v="0"/>
    <x v="0"/>
    <n v="150"/>
    <n v="150"/>
  </r>
  <r>
    <s v="CUST231"/>
    <x v="0"/>
    <x v="1"/>
    <n v="150"/>
    <n v="150"/>
  </r>
  <r>
    <s v="CUST327"/>
    <x v="1"/>
    <x v="2"/>
    <n v="150"/>
    <n v="150"/>
  </r>
  <r>
    <s v="CUST426"/>
    <x v="1"/>
    <x v="0"/>
    <n v="150"/>
    <n v="150"/>
  </r>
  <r>
    <s v="CUST465"/>
    <x v="1"/>
    <x v="1"/>
    <n v="150"/>
    <n v="150"/>
  </r>
  <r>
    <s v="CUST471"/>
    <x v="0"/>
    <x v="0"/>
    <n v="150"/>
    <n v="150"/>
  </r>
  <r>
    <s v="CUST490"/>
    <x v="0"/>
    <x v="2"/>
    <n v="150"/>
    <n v="150"/>
  </r>
  <r>
    <s v="CUST724"/>
    <x v="0"/>
    <x v="2"/>
    <n v="150"/>
    <n v="150"/>
  </r>
  <r>
    <s v="CUST748"/>
    <x v="0"/>
    <x v="3"/>
    <n v="150"/>
    <n v="150"/>
  </r>
  <r>
    <s v="CUST777"/>
    <x v="1"/>
    <x v="2"/>
    <n v="150"/>
    <n v="150"/>
  </r>
  <r>
    <s v="CUST023"/>
    <x v="0"/>
    <x v="2"/>
    <n v="120"/>
    <n v="120"/>
  </r>
  <r>
    <s v="CUST055"/>
    <x v="2"/>
    <x v="1"/>
    <n v="120"/>
    <n v="120"/>
  </r>
  <r>
    <s v="CUST122"/>
    <x v="1"/>
    <x v="3"/>
    <n v="120"/>
    <n v="120"/>
  </r>
  <r>
    <s v="CUST150"/>
    <x v="1"/>
    <x v="1"/>
    <n v="120"/>
    <n v="120"/>
  </r>
  <r>
    <s v="CUST182"/>
    <x v="2"/>
    <x v="0"/>
    <n v="120"/>
    <n v="120"/>
  </r>
  <r>
    <s v="CUST312"/>
    <x v="0"/>
    <x v="2"/>
    <n v="120"/>
    <n v="120"/>
  </r>
  <r>
    <s v="CUST519"/>
    <x v="1"/>
    <x v="0"/>
    <n v="120"/>
    <n v="120"/>
  </r>
  <r>
    <s v="CUST633"/>
    <x v="2"/>
    <x v="1"/>
    <n v="120"/>
    <n v="120"/>
  </r>
  <r>
    <s v="CUST769"/>
    <x v="1"/>
    <x v="2"/>
    <n v="120"/>
    <n v="120"/>
  </r>
  <r>
    <s v="CUST824"/>
    <x v="0"/>
    <x v="2"/>
    <n v="120"/>
    <n v="120"/>
  </r>
  <r>
    <s v="CUST876"/>
    <x v="0"/>
    <x v="1"/>
    <n v="120"/>
    <n v="120"/>
  </r>
  <r>
    <s v="CUST895"/>
    <x v="0"/>
    <x v="1"/>
    <n v="120"/>
    <n v="120"/>
  </r>
  <r>
    <s v="CUST175"/>
    <x v="1"/>
    <x v="1"/>
    <n v="100"/>
    <n v="100"/>
  </r>
  <r>
    <s v="CUST225"/>
    <x v="2"/>
    <x v="1"/>
    <n v="100"/>
    <n v="100"/>
  </r>
  <r>
    <s v="CUST276"/>
    <x v="2"/>
    <x v="1"/>
    <n v="100"/>
    <n v="100"/>
  </r>
  <r>
    <s v="CUST278"/>
    <x v="0"/>
    <x v="2"/>
    <n v="100"/>
    <n v="100"/>
  </r>
  <r>
    <s v="CUST329"/>
    <x v="1"/>
    <x v="1"/>
    <n v="100"/>
    <n v="100"/>
  </r>
  <r>
    <s v="CUST498"/>
    <x v="0"/>
    <x v="2"/>
    <n v="100"/>
    <n v="100"/>
  </r>
  <r>
    <s v="CUST619"/>
    <x v="1"/>
    <x v="2"/>
    <n v="100"/>
    <n v="100"/>
  </r>
  <r>
    <s v="CUST688"/>
    <x v="0"/>
    <x v="1"/>
    <n v="100"/>
    <n v="100"/>
  </r>
  <r>
    <s v="CUST715"/>
    <x v="2"/>
    <x v="1"/>
    <n v="100"/>
    <n v="100"/>
  </r>
  <r>
    <s v="CUST810"/>
    <x v="1"/>
    <x v="3"/>
    <n v="100"/>
    <n v="100"/>
  </r>
  <r>
    <s v="CUST053"/>
    <x v="1"/>
    <x v="2"/>
    <n v="100"/>
    <n v="100"/>
  </r>
  <r>
    <s v="CUST083"/>
    <x v="1"/>
    <x v="1"/>
    <n v="100"/>
    <n v="100"/>
  </r>
  <r>
    <s v="CUST087"/>
    <x v="2"/>
    <x v="1"/>
    <n v="100"/>
    <n v="100"/>
  </r>
  <r>
    <s v="CUST160"/>
    <x v="0"/>
    <x v="1"/>
    <n v="100"/>
    <n v="100"/>
  </r>
  <r>
    <s v="CUST177"/>
    <x v="2"/>
    <x v="3"/>
    <n v="100"/>
    <n v="100"/>
  </r>
  <r>
    <s v="CUST328"/>
    <x v="2"/>
    <x v="3"/>
    <n v="100"/>
    <n v="100"/>
  </r>
  <r>
    <s v="CUST366"/>
    <x v="0"/>
    <x v="0"/>
    <n v="100"/>
    <n v="100"/>
  </r>
  <r>
    <s v="CUST390"/>
    <x v="1"/>
    <x v="2"/>
    <n v="100"/>
    <n v="100"/>
  </r>
  <r>
    <s v="CUST410"/>
    <x v="0"/>
    <x v="0"/>
    <n v="100"/>
    <n v="100"/>
  </r>
  <r>
    <s v="CUST609"/>
    <x v="0"/>
    <x v="1"/>
    <n v="100"/>
    <n v="100"/>
  </r>
  <r>
    <s v="CUST672"/>
    <x v="2"/>
    <x v="3"/>
    <n v="100"/>
    <n v="100"/>
  </r>
  <r>
    <s v="CUST689"/>
    <x v="1"/>
    <x v="3"/>
    <n v="100"/>
    <n v="100"/>
  </r>
  <r>
    <s v="CUST799"/>
    <x v="1"/>
    <x v="0"/>
    <n v="100"/>
    <n v="100"/>
  </r>
  <r>
    <s v="CUST809"/>
    <x v="2"/>
    <x v="3"/>
    <n v="100"/>
    <n v="100"/>
  </r>
  <r>
    <s v="CUST823"/>
    <x v="1"/>
    <x v="1"/>
    <n v="100"/>
    <n v="100"/>
  </r>
  <r>
    <s v="CUST858"/>
    <x v="1"/>
    <x v="3"/>
    <n v="100"/>
    <n v="100"/>
  </r>
  <r>
    <s v="CUST991"/>
    <x v="0"/>
    <x v="0"/>
    <n v="100"/>
    <n v="100"/>
  </r>
  <r>
    <s v="CUST073"/>
    <x v="1"/>
    <x v="1"/>
    <n v="90"/>
    <n v="90"/>
  </r>
  <r>
    <s v="CUST084"/>
    <x v="1"/>
    <x v="0"/>
    <n v="90"/>
    <n v="90"/>
  </r>
  <r>
    <s v="CUST126"/>
    <x v="0"/>
    <x v="3"/>
    <n v="90"/>
    <n v="90"/>
  </r>
  <r>
    <s v="CUST317"/>
    <x v="1"/>
    <x v="0"/>
    <n v="90"/>
    <n v="90"/>
  </r>
  <r>
    <s v="CUST351"/>
    <x v="0"/>
    <x v="0"/>
    <n v="90"/>
    <n v="90"/>
  </r>
  <r>
    <s v="CUST422"/>
    <x v="0"/>
    <x v="2"/>
    <n v="90"/>
    <n v="90"/>
  </r>
  <r>
    <s v="CUST535"/>
    <x v="2"/>
    <x v="3"/>
    <n v="90"/>
    <n v="90"/>
  </r>
  <r>
    <s v="CUST613"/>
    <x v="0"/>
    <x v="3"/>
    <n v="90"/>
    <n v="90"/>
  </r>
  <r>
    <s v="CUST631"/>
    <x v="1"/>
    <x v="0"/>
    <n v="90"/>
    <n v="90"/>
  </r>
  <r>
    <s v="CUST643"/>
    <x v="1"/>
    <x v="2"/>
    <n v="90"/>
    <n v="90"/>
  </r>
  <r>
    <s v="CUST646"/>
    <x v="0"/>
    <x v="3"/>
    <n v="90"/>
    <n v="90"/>
  </r>
  <r>
    <s v="CUST656"/>
    <x v="2"/>
    <x v="1"/>
    <n v="90"/>
    <n v="90"/>
  </r>
  <r>
    <s v="CUST913"/>
    <x v="1"/>
    <x v="0"/>
    <n v="90"/>
    <n v="90"/>
  </r>
  <r>
    <s v="CUST915"/>
    <x v="2"/>
    <x v="3"/>
    <n v="90"/>
    <n v="90"/>
  </r>
  <r>
    <s v="CUST953"/>
    <x v="2"/>
    <x v="1"/>
    <n v="90"/>
    <n v="90"/>
  </r>
  <r>
    <s v="CUST997"/>
    <x v="2"/>
    <x v="3"/>
    <n v="90"/>
    <n v="90"/>
  </r>
  <r>
    <s v="CUST188"/>
    <x v="0"/>
    <x v="1"/>
    <n v="75"/>
    <n v="75"/>
  </r>
  <r>
    <s v="CUST357"/>
    <x v="1"/>
    <x v="0"/>
    <n v="75"/>
    <n v="75"/>
  </r>
  <r>
    <s v="CUST413"/>
    <x v="2"/>
    <x v="3"/>
    <n v="75"/>
    <n v="75"/>
  </r>
  <r>
    <s v="CUST439"/>
    <x v="0"/>
    <x v="3"/>
    <n v="75"/>
    <n v="75"/>
  </r>
  <r>
    <s v="CUST475"/>
    <x v="0"/>
    <x v="2"/>
    <n v="75"/>
    <n v="75"/>
  </r>
  <r>
    <s v="CUST644"/>
    <x v="2"/>
    <x v="0"/>
    <n v="75"/>
    <n v="75"/>
  </r>
  <r>
    <s v="CUST654"/>
    <x v="0"/>
    <x v="1"/>
    <n v="75"/>
    <n v="75"/>
  </r>
  <r>
    <s v="CUST718"/>
    <x v="2"/>
    <x v="3"/>
    <n v="75"/>
    <n v="75"/>
  </r>
  <r>
    <s v="CUST755"/>
    <x v="0"/>
    <x v="3"/>
    <n v="75"/>
    <n v="75"/>
  </r>
  <r>
    <s v="CUST797"/>
    <x v="0"/>
    <x v="1"/>
    <n v="75"/>
    <n v="75"/>
  </r>
  <r>
    <s v="CUST812"/>
    <x v="1"/>
    <x v="0"/>
    <n v="75"/>
    <n v="75"/>
  </r>
  <r>
    <s v="CUST228"/>
    <x v="1"/>
    <x v="2"/>
    <n v="60"/>
    <n v="60"/>
  </r>
  <r>
    <s v="CUST260"/>
    <x v="2"/>
    <x v="2"/>
    <n v="60"/>
    <n v="60"/>
  </r>
  <r>
    <s v="CUST266"/>
    <x v="1"/>
    <x v="3"/>
    <n v="60"/>
    <n v="60"/>
  </r>
  <r>
    <s v="CUST399"/>
    <x v="2"/>
    <x v="1"/>
    <n v="60"/>
    <n v="60"/>
  </r>
  <r>
    <s v="CUST565"/>
    <x v="2"/>
    <x v="3"/>
    <n v="60"/>
    <n v="60"/>
  </r>
  <r>
    <s v="CUST573"/>
    <x v="2"/>
    <x v="1"/>
    <n v="60"/>
    <n v="60"/>
  </r>
  <r>
    <s v="CUST581"/>
    <x v="2"/>
    <x v="2"/>
    <n v="60"/>
    <n v="60"/>
  </r>
  <r>
    <s v="CUST871"/>
    <x v="2"/>
    <x v="0"/>
    <n v="60"/>
    <n v="60"/>
  </r>
  <r>
    <s v="CUST884"/>
    <x v="0"/>
    <x v="1"/>
    <n v="60"/>
    <n v="60"/>
  </r>
  <r>
    <s v="CUST981"/>
    <x v="1"/>
    <x v="2"/>
    <n v="60"/>
    <n v="60"/>
  </r>
  <r>
    <s v="CUST041"/>
    <x v="0"/>
    <x v="3"/>
    <n v="50"/>
    <n v="50"/>
  </r>
  <r>
    <s v="CUST234"/>
    <x v="1"/>
    <x v="1"/>
    <n v="50"/>
    <n v="50"/>
  </r>
  <r>
    <s v="CUST339"/>
    <x v="1"/>
    <x v="0"/>
    <n v="50"/>
    <n v="50"/>
  </r>
  <r>
    <s v="CUST343"/>
    <x v="1"/>
    <x v="3"/>
    <n v="50"/>
    <n v="50"/>
  </r>
  <r>
    <s v="CUST493"/>
    <x v="2"/>
    <x v="3"/>
    <n v="50"/>
    <n v="50"/>
  </r>
  <r>
    <s v="CUST525"/>
    <x v="2"/>
    <x v="2"/>
    <n v="50"/>
    <n v="50"/>
  </r>
  <r>
    <s v="CUST545"/>
    <x v="0"/>
    <x v="1"/>
    <n v="50"/>
    <n v="50"/>
  </r>
  <r>
    <s v="CUST712"/>
    <x v="2"/>
    <x v="3"/>
    <n v="50"/>
    <n v="50"/>
  </r>
  <r>
    <s v="CUST771"/>
    <x v="1"/>
    <x v="0"/>
    <n v="50"/>
    <n v="50"/>
  </r>
  <r>
    <s v="CUST780"/>
    <x v="1"/>
    <x v="1"/>
    <n v="50"/>
    <n v="50"/>
  </r>
  <r>
    <s v="CUST811"/>
    <x v="2"/>
    <x v="0"/>
    <n v="50"/>
    <n v="50"/>
  </r>
  <r>
    <s v="CUST890"/>
    <x v="1"/>
    <x v="3"/>
    <n v="50"/>
    <n v="50"/>
  </r>
  <r>
    <s v="CUST958"/>
    <x v="1"/>
    <x v="0"/>
    <n v="50"/>
    <n v="50"/>
  </r>
  <r>
    <s v="CUST985"/>
    <x v="1"/>
    <x v="2"/>
    <n v="50"/>
    <n v="50"/>
  </r>
  <r>
    <s v="CUST081"/>
    <x v="1"/>
    <x v="0"/>
    <n v="50"/>
    <n v="50"/>
  </r>
  <r>
    <s v="CUST250"/>
    <x v="1"/>
    <x v="1"/>
    <n v="50"/>
    <n v="50"/>
  </r>
  <r>
    <s v="CUST273"/>
    <x v="2"/>
    <x v="0"/>
    <n v="50"/>
    <n v="50"/>
  </r>
  <r>
    <s v="CUST473"/>
    <x v="2"/>
    <x v="0"/>
    <n v="50"/>
    <n v="50"/>
  </r>
  <r>
    <s v="CUST556"/>
    <x v="1"/>
    <x v="2"/>
    <n v="50"/>
    <n v="50"/>
  </r>
  <r>
    <s v="CUST854"/>
    <x v="0"/>
    <x v="0"/>
    <n v="50"/>
    <n v="50"/>
  </r>
  <r>
    <s v="CUST902"/>
    <x v="2"/>
    <x v="0"/>
    <n v="50"/>
    <n v="50"/>
  </r>
  <r>
    <s v="CUST996"/>
    <x v="0"/>
    <x v="3"/>
    <n v="50"/>
    <n v="50"/>
  </r>
  <r>
    <s v="CUST255"/>
    <x v="0"/>
    <x v="3"/>
    <n v="30"/>
    <n v="30"/>
  </r>
  <r>
    <s v="CUST268"/>
    <x v="1"/>
    <x v="1"/>
    <n v="30"/>
    <n v="30"/>
  </r>
  <r>
    <s v="CUST305"/>
    <x v="2"/>
    <x v="3"/>
    <n v="30"/>
    <n v="30"/>
  </r>
  <r>
    <s v="CUST344"/>
    <x v="2"/>
    <x v="3"/>
    <n v="30"/>
    <n v="30"/>
  </r>
  <r>
    <s v="CUST376"/>
    <x v="2"/>
    <x v="3"/>
    <n v="30"/>
    <n v="30"/>
  </r>
  <r>
    <s v="CUST438"/>
    <x v="0"/>
    <x v="3"/>
    <n v="30"/>
    <n v="30"/>
  </r>
  <r>
    <s v="CUST483"/>
    <x v="0"/>
    <x v="2"/>
    <n v="30"/>
    <n v="30"/>
  </r>
  <r>
    <s v="CUST485"/>
    <x v="1"/>
    <x v="3"/>
    <n v="30"/>
    <n v="30"/>
  </r>
  <r>
    <s v="CUST518"/>
    <x v="0"/>
    <x v="2"/>
    <n v="30"/>
    <n v="30"/>
  </r>
  <r>
    <s v="CUST659"/>
    <x v="1"/>
    <x v="2"/>
    <n v="30"/>
    <n v="30"/>
  </r>
  <r>
    <s v="CUST879"/>
    <x v="0"/>
    <x v="3"/>
    <n v="30"/>
    <n v="30"/>
  </r>
  <r>
    <s v="CUST974"/>
    <x v="2"/>
    <x v="0"/>
    <n v="30"/>
    <n v="30"/>
  </r>
  <r>
    <s v="CUST044"/>
    <x v="0"/>
    <x v="2"/>
    <n v="25"/>
    <n v="25"/>
  </r>
  <r>
    <s v="CUST191"/>
    <x v="2"/>
    <x v="0"/>
    <n v="25"/>
    <n v="25"/>
  </r>
  <r>
    <s v="CUST201"/>
    <x v="1"/>
    <x v="0"/>
    <n v="25"/>
    <n v="25"/>
  </r>
  <r>
    <s v="CUST205"/>
    <x v="0"/>
    <x v="3"/>
    <n v="25"/>
    <n v="25"/>
  </r>
  <r>
    <s v="CUST309"/>
    <x v="2"/>
    <x v="1"/>
    <n v="25"/>
    <n v="25"/>
  </r>
  <r>
    <s v="CUST362"/>
    <x v="0"/>
    <x v="3"/>
    <n v="25"/>
    <n v="25"/>
  </r>
  <r>
    <s v="CUST363"/>
    <x v="2"/>
    <x v="1"/>
    <n v="25"/>
    <n v="25"/>
  </r>
  <r>
    <s v="CUST468"/>
    <x v="1"/>
    <x v="1"/>
    <n v="25"/>
    <n v="25"/>
  </r>
  <r>
    <s v="CUST486"/>
    <x v="1"/>
    <x v="3"/>
    <n v="25"/>
    <n v="25"/>
  </r>
  <r>
    <s v="CUST544"/>
    <x v="1"/>
    <x v="3"/>
    <n v="25"/>
    <n v="25"/>
  </r>
  <r>
    <s v="CUST585"/>
    <x v="0"/>
    <x v="1"/>
    <n v="25"/>
    <n v="25"/>
  </r>
  <r>
    <s v="CUST764"/>
    <x v="0"/>
    <x v="3"/>
    <n v="25"/>
    <n v="25"/>
  </r>
  <r>
    <s v="CUST787"/>
    <x v="1"/>
    <x v="1"/>
    <n v="25"/>
    <n v="25"/>
  </r>
  <r>
    <s v="CUST877"/>
    <x v="0"/>
    <x v="0"/>
    <n v="25"/>
    <n v="25"/>
  </r>
  <r>
    <s v="CUST955"/>
    <x v="0"/>
    <x v="3"/>
    <n v="25"/>
    <n v="25"/>
  </r>
  <r>
    <s v="CUST979"/>
    <x v="2"/>
    <x v="0"/>
    <n v="25"/>
    <n v="25"/>
  </r>
  <r>
    <s v="CUST047"/>
    <x v="2"/>
    <x v="2"/>
    <n v="1500"/>
    <n v="1500"/>
  </r>
  <r>
    <s v="CUST634"/>
    <x v="1"/>
    <x v="0"/>
    <n v="2000"/>
    <n v="2000"/>
  </r>
  <r>
    <s v="CUST112"/>
    <x v="0"/>
    <x v="0"/>
    <n v="1500"/>
    <n v="1500"/>
  </r>
  <r>
    <s v="CUST139"/>
    <x v="2"/>
    <x v="1"/>
    <n v="2000"/>
    <n v="2000"/>
  </r>
  <r>
    <s v="CUST956"/>
    <x v="0"/>
    <x v="0"/>
    <n v="1500"/>
    <n v="1500"/>
  </r>
  <r>
    <s v="CUST257"/>
    <x v="2"/>
    <x v="3"/>
    <n v="2000"/>
    <n v="2000"/>
  </r>
  <r>
    <s v="CUST118"/>
    <x v="1"/>
    <x v="1"/>
    <n v="2000"/>
    <n v="2000"/>
  </r>
  <r>
    <s v="CUST595"/>
    <x v="0"/>
    <x v="2"/>
    <n v="2000"/>
    <n v="2000"/>
  </r>
  <r>
    <s v="CUST789"/>
    <x v="0"/>
    <x v="3"/>
    <n v="2000"/>
    <n v="2000"/>
  </r>
  <r>
    <s v="CUST013"/>
    <x v="1"/>
    <x v="2"/>
    <n v="1500"/>
    <n v="1500"/>
  </r>
  <r>
    <s v="CUST372"/>
    <x v="2"/>
    <x v="0"/>
    <n v="1500"/>
    <n v="1500"/>
  </r>
  <r>
    <s v="CUST089"/>
    <x v="1"/>
    <x v="3"/>
    <n v="2000"/>
    <n v="2000"/>
  </r>
  <r>
    <s v="CUST452"/>
    <x v="0"/>
    <x v="3"/>
    <n v="1500"/>
    <n v="1500"/>
  </r>
  <r>
    <s v="CUST164"/>
    <x v="2"/>
    <x v="2"/>
    <n v="1500"/>
    <n v="1500"/>
  </r>
  <r>
    <s v="CUST074"/>
    <x v="2"/>
    <x v="3"/>
    <n v="2000"/>
    <n v="2000"/>
  </r>
  <r>
    <s v="CUST109"/>
    <x v="1"/>
    <x v="3"/>
    <n v="2000"/>
    <n v="2000"/>
  </r>
  <r>
    <s v="CUST592"/>
    <x v="2"/>
    <x v="3"/>
    <n v="2000"/>
    <n v="2000"/>
  </r>
  <r>
    <s v="CUST805"/>
    <x v="2"/>
    <x v="0"/>
    <n v="1500"/>
    <n v="1500"/>
  </r>
  <r>
    <s v="CUST015"/>
    <x v="1"/>
    <x v="2"/>
    <n v="2000"/>
    <n v="2000"/>
  </r>
  <r>
    <s v="CUST843"/>
    <x v="2"/>
    <x v="3"/>
    <n v="1500"/>
    <n v="1500"/>
  </r>
  <r>
    <s v="CUST416"/>
    <x v="1"/>
    <x v="1"/>
    <n v="2000"/>
    <n v="2000"/>
  </r>
  <r>
    <s v="CUST547"/>
    <x v="0"/>
    <x v="1"/>
    <n v="2000"/>
    <n v="2000"/>
  </r>
  <r>
    <s v="CUST476"/>
    <x v="0"/>
    <x v="1"/>
    <n v="2000"/>
    <n v="2000"/>
  </r>
  <r>
    <s v="CUST580"/>
    <x v="0"/>
    <x v="1"/>
    <n v="1500"/>
    <n v="1500"/>
  </r>
  <r>
    <s v="CUST342"/>
    <x v="0"/>
    <x v="0"/>
    <n v="2000"/>
    <n v="2000"/>
  </r>
  <r>
    <s v="CUST385"/>
    <x v="1"/>
    <x v="3"/>
    <n v="1500"/>
    <n v="1500"/>
  </r>
  <r>
    <s v="CUST046"/>
    <x v="1"/>
    <x v="2"/>
    <n v="1200"/>
    <n v="1200"/>
  </r>
  <r>
    <s v="CUST058"/>
    <x v="0"/>
    <x v="3"/>
    <n v="1200"/>
    <n v="1200"/>
  </r>
  <r>
    <s v="CUST099"/>
    <x v="1"/>
    <x v="0"/>
    <n v="1200"/>
    <n v="1200"/>
  </r>
  <r>
    <s v="CUST308"/>
    <x v="2"/>
    <x v="1"/>
    <n v="1200"/>
    <n v="1200"/>
  </r>
  <r>
    <s v="CUST340"/>
    <x v="0"/>
    <x v="0"/>
    <n v="1200"/>
    <n v="1200"/>
  </r>
  <r>
    <s v="CUST437"/>
    <x v="1"/>
    <x v="3"/>
    <n v="1200"/>
    <n v="1200"/>
  </r>
  <r>
    <s v="CUST459"/>
    <x v="0"/>
    <x v="2"/>
    <n v="1200"/>
    <n v="1200"/>
  </r>
  <r>
    <s v="CUST479"/>
    <x v="1"/>
    <x v="0"/>
    <n v="1200"/>
    <n v="1200"/>
  </r>
  <r>
    <s v="CUST482"/>
    <x v="0"/>
    <x v="2"/>
    <n v="1200"/>
    <n v="1200"/>
  </r>
  <r>
    <s v="CUST524"/>
    <x v="2"/>
    <x v="0"/>
    <n v="1200"/>
    <n v="1200"/>
  </r>
  <r>
    <s v="CUST597"/>
    <x v="2"/>
    <x v="2"/>
    <n v="1200"/>
    <n v="1200"/>
  </r>
  <r>
    <s v="CUST614"/>
    <x v="2"/>
    <x v="2"/>
    <n v="1200"/>
    <n v="1200"/>
  </r>
  <r>
    <s v="CUST648"/>
    <x v="2"/>
    <x v="1"/>
    <n v="1200"/>
    <n v="1200"/>
  </r>
  <r>
    <s v="CUST839"/>
    <x v="1"/>
    <x v="2"/>
    <n v="1200"/>
    <n v="1200"/>
  </r>
  <r>
    <s v="CUST943"/>
    <x v="0"/>
    <x v="1"/>
    <n v="1200"/>
    <n v="1200"/>
  </r>
  <r>
    <s v="CUST097"/>
    <x v="2"/>
    <x v="3"/>
    <n v="1000"/>
    <n v="1000"/>
  </r>
  <r>
    <s v="CUST117"/>
    <x v="1"/>
    <x v="3"/>
    <n v="1000"/>
    <n v="1000"/>
  </r>
  <r>
    <s v="CUST137"/>
    <x v="2"/>
    <x v="1"/>
    <n v="1000"/>
    <n v="1000"/>
  </r>
  <r>
    <s v="CUST153"/>
    <x v="1"/>
    <x v="1"/>
    <n v="1000"/>
    <n v="1000"/>
  </r>
  <r>
    <s v="CUST297"/>
    <x v="1"/>
    <x v="0"/>
    <n v="1000"/>
    <n v="1000"/>
  </r>
  <r>
    <s v="CUST346"/>
    <x v="0"/>
    <x v="0"/>
    <n v="1000"/>
    <n v="1000"/>
  </r>
  <r>
    <s v="CUST395"/>
    <x v="1"/>
    <x v="0"/>
    <n v="1000"/>
    <n v="1000"/>
  </r>
  <r>
    <s v="CUST404"/>
    <x v="1"/>
    <x v="3"/>
    <n v="1000"/>
    <n v="1000"/>
  </r>
  <r>
    <s v="CUST418"/>
    <x v="1"/>
    <x v="0"/>
    <n v="1000"/>
    <n v="1000"/>
  </r>
  <r>
    <s v="CUST621"/>
    <x v="2"/>
    <x v="2"/>
    <n v="1000"/>
    <n v="1000"/>
  </r>
  <r>
    <s v="CUST709"/>
    <x v="1"/>
    <x v="2"/>
    <n v="1000"/>
    <n v="1000"/>
  </r>
  <r>
    <s v="CUST020"/>
    <x v="0"/>
    <x v="0"/>
    <n v="900"/>
    <n v="900"/>
  </r>
  <r>
    <s v="CUST042"/>
    <x v="0"/>
    <x v="2"/>
    <n v="900"/>
    <n v="900"/>
  </r>
  <r>
    <s v="CUST180"/>
    <x v="0"/>
    <x v="3"/>
    <n v="900"/>
    <n v="900"/>
  </r>
  <r>
    <s v="CUST196"/>
    <x v="0"/>
    <x v="2"/>
    <n v="900"/>
    <n v="900"/>
  </r>
  <r>
    <s v="CUST265"/>
    <x v="0"/>
    <x v="3"/>
    <n v="900"/>
    <n v="900"/>
  </r>
  <r>
    <s v="CUST417"/>
    <x v="1"/>
    <x v="1"/>
    <n v="900"/>
    <n v="900"/>
  </r>
  <r>
    <s v="CUST430"/>
    <x v="1"/>
    <x v="1"/>
    <n v="900"/>
    <n v="900"/>
  </r>
  <r>
    <s v="CUST491"/>
    <x v="1"/>
    <x v="1"/>
    <n v="900"/>
    <n v="900"/>
  </r>
  <r>
    <s v="CUST509"/>
    <x v="1"/>
    <x v="1"/>
    <n v="900"/>
    <n v="900"/>
  </r>
  <r>
    <s v="CUST515"/>
    <x v="0"/>
    <x v="2"/>
    <n v="900"/>
    <n v="900"/>
  </r>
  <r>
    <s v="CUST550"/>
    <x v="0"/>
    <x v="0"/>
    <n v="900"/>
    <n v="900"/>
  </r>
  <r>
    <s v="CUST678"/>
    <x v="1"/>
    <x v="2"/>
    <n v="900"/>
    <n v="900"/>
  </r>
  <r>
    <s v="CUST690"/>
    <x v="0"/>
    <x v="3"/>
    <n v="900"/>
    <n v="900"/>
  </r>
  <r>
    <s v="CUST708"/>
    <x v="2"/>
    <x v="2"/>
    <n v="900"/>
    <n v="900"/>
  </r>
  <r>
    <s v="CUST891"/>
    <x v="1"/>
    <x v="2"/>
    <n v="900"/>
    <n v="900"/>
  </r>
  <r>
    <s v="CUST954"/>
    <x v="1"/>
    <x v="3"/>
    <n v="900"/>
    <n v="900"/>
  </r>
  <r>
    <s v="CUST964"/>
    <x v="0"/>
    <x v="1"/>
    <n v="900"/>
    <n v="900"/>
  </r>
  <r>
    <s v="CUST969"/>
    <x v="0"/>
    <x v="1"/>
    <n v="900"/>
    <n v="900"/>
  </r>
  <r>
    <s v="CUST096"/>
    <x v="0"/>
    <x v="1"/>
    <n v="600"/>
    <n v="600"/>
  </r>
  <r>
    <s v="CUST221"/>
    <x v="2"/>
    <x v="0"/>
    <n v="600"/>
    <n v="600"/>
  </r>
  <r>
    <s v="CUST290"/>
    <x v="2"/>
    <x v="3"/>
    <n v="600"/>
    <n v="600"/>
  </r>
  <r>
    <s v="CUST291"/>
    <x v="0"/>
    <x v="3"/>
    <n v="600"/>
    <n v="600"/>
  </r>
  <r>
    <s v="CUST443"/>
    <x v="0"/>
    <x v="2"/>
    <n v="600"/>
    <n v="600"/>
  </r>
  <r>
    <s v="CUST508"/>
    <x v="2"/>
    <x v="0"/>
    <n v="600"/>
    <n v="600"/>
  </r>
  <r>
    <s v="CUST543"/>
    <x v="2"/>
    <x v="1"/>
    <n v="600"/>
    <n v="600"/>
  </r>
  <r>
    <s v="CUST594"/>
    <x v="1"/>
    <x v="0"/>
    <n v="600"/>
    <n v="600"/>
  </r>
  <r>
    <s v="CUST842"/>
    <x v="0"/>
    <x v="3"/>
    <n v="600"/>
    <n v="600"/>
  </r>
  <r>
    <s v="CUST976"/>
    <x v="2"/>
    <x v="3"/>
    <n v="600"/>
    <n v="600"/>
  </r>
  <r>
    <s v="CUST028"/>
    <x v="2"/>
    <x v="2"/>
    <n v="500"/>
    <n v="500"/>
  </r>
  <r>
    <s v="CUST091"/>
    <x v="1"/>
    <x v="2"/>
    <n v="500"/>
    <n v="500"/>
  </r>
  <r>
    <s v="CUST130"/>
    <x v="0"/>
    <x v="3"/>
    <n v="500"/>
    <n v="500"/>
  </r>
  <r>
    <s v="CUST337"/>
    <x v="0"/>
    <x v="1"/>
    <n v="500"/>
    <n v="500"/>
  </r>
  <r>
    <s v="CUST353"/>
    <x v="1"/>
    <x v="1"/>
    <n v="500"/>
    <n v="500"/>
  </r>
  <r>
    <s v="CUST408"/>
    <x v="2"/>
    <x v="0"/>
    <n v="500"/>
    <n v="500"/>
  </r>
  <r>
    <s v="CUST541"/>
    <x v="2"/>
    <x v="3"/>
    <n v="500"/>
    <n v="500"/>
  </r>
  <r>
    <s v="CUST638"/>
    <x v="1"/>
    <x v="3"/>
    <n v="500"/>
    <n v="500"/>
  </r>
  <r>
    <s v="CUST781"/>
    <x v="2"/>
    <x v="1"/>
    <n v="500"/>
    <n v="500"/>
  </r>
  <r>
    <s v="CUST784"/>
    <x v="1"/>
    <x v="1"/>
    <n v="500"/>
    <n v="500"/>
  </r>
  <r>
    <s v="CUST864"/>
    <x v="1"/>
    <x v="3"/>
    <n v="500"/>
    <n v="500"/>
  </r>
  <r>
    <s v="CUST904"/>
    <x v="0"/>
    <x v="2"/>
    <n v="500"/>
    <n v="500"/>
  </r>
  <r>
    <s v="CUST934"/>
    <x v="2"/>
    <x v="3"/>
    <n v="500"/>
    <n v="500"/>
  </r>
  <r>
    <s v="CUST043"/>
    <x v="0"/>
    <x v="3"/>
    <n v="300"/>
    <n v="300"/>
  </r>
  <r>
    <s v="CUST378"/>
    <x v="2"/>
    <x v="1"/>
    <n v="300"/>
    <n v="300"/>
  </r>
  <r>
    <s v="CUST523"/>
    <x v="1"/>
    <x v="1"/>
    <n v="300"/>
    <n v="300"/>
  </r>
  <r>
    <s v="CUST596"/>
    <x v="1"/>
    <x v="2"/>
    <n v="300"/>
    <n v="300"/>
  </r>
  <r>
    <s v="CUST725"/>
    <x v="1"/>
    <x v="2"/>
    <n v="300"/>
    <n v="300"/>
  </r>
  <r>
    <s v="CUST783"/>
    <x v="0"/>
    <x v="0"/>
    <n v="300"/>
    <n v="300"/>
  </r>
  <r>
    <s v="CUST826"/>
    <x v="0"/>
    <x v="3"/>
    <n v="300"/>
    <n v="300"/>
  </r>
  <r>
    <s v="CUST868"/>
    <x v="1"/>
    <x v="1"/>
    <n v="300"/>
    <n v="300"/>
  </r>
  <r>
    <s v="CUST881"/>
    <x v="1"/>
    <x v="2"/>
    <n v="300"/>
    <n v="300"/>
  </r>
  <r>
    <s v="CUST905"/>
    <x v="2"/>
    <x v="0"/>
    <n v="300"/>
    <n v="300"/>
  </r>
  <r>
    <s v="CUST909"/>
    <x v="1"/>
    <x v="0"/>
    <n v="300"/>
    <n v="300"/>
  </r>
  <r>
    <s v="CUST925"/>
    <x v="1"/>
    <x v="1"/>
    <n v="300"/>
    <n v="300"/>
  </r>
  <r>
    <s v="CUST947"/>
    <x v="2"/>
    <x v="1"/>
    <n v="300"/>
    <n v="300"/>
  </r>
  <r>
    <s v="CUST038"/>
    <x v="2"/>
    <x v="0"/>
    <n v="200"/>
    <n v="200"/>
  </r>
  <r>
    <s v="CUST061"/>
    <x v="2"/>
    <x v="2"/>
    <n v="200"/>
    <n v="200"/>
  </r>
  <r>
    <s v="CUST121"/>
    <x v="1"/>
    <x v="0"/>
    <n v="200"/>
    <n v="200"/>
  </r>
  <r>
    <s v="CUST132"/>
    <x v="1"/>
    <x v="3"/>
    <n v="200"/>
    <n v="200"/>
  </r>
  <r>
    <s v="CUST138"/>
    <x v="0"/>
    <x v="3"/>
    <n v="200"/>
    <n v="200"/>
  </r>
  <r>
    <s v="CUST197"/>
    <x v="0"/>
    <x v="1"/>
    <n v="200"/>
    <n v="200"/>
  </r>
  <r>
    <s v="CUST251"/>
    <x v="2"/>
    <x v="2"/>
    <n v="200"/>
    <n v="200"/>
  </r>
  <r>
    <s v="CUST284"/>
    <x v="0"/>
    <x v="2"/>
    <n v="200"/>
    <n v="200"/>
  </r>
  <r>
    <s v="CUST494"/>
    <x v="2"/>
    <x v="3"/>
    <n v="200"/>
    <n v="200"/>
  </r>
  <r>
    <s v="CUST569"/>
    <x v="1"/>
    <x v="0"/>
    <n v="200"/>
    <n v="200"/>
  </r>
  <r>
    <s v="CUST604"/>
    <x v="1"/>
    <x v="1"/>
    <n v="200"/>
    <n v="200"/>
  </r>
  <r>
    <s v="CUST740"/>
    <x v="2"/>
    <x v="0"/>
    <n v="200"/>
    <n v="200"/>
  </r>
  <r>
    <s v="CUST801"/>
    <x v="0"/>
    <x v="0"/>
    <n v="200"/>
    <n v="200"/>
  </r>
  <r>
    <s v="CUST835"/>
    <x v="0"/>
    <x v="0"/>
    <n v="200"/>
    <n v="200"/>
  </r>
  <r>
    <s v="CUST903"/>
    <x v="2"/>
    <x v="2"/>
    <n v="200"/>
    <n v="200"/>
  </r>
  <r>
    <s v="CUST936"/>
    <x v="2"/>
    <x v="3"/>
    <n v="200"/>
    <n v="200"/>
  </r>
  <r>
    <s v="CUST965"/>
    <x v="0"/>
    <x v="2"/>
    <n v="200"/>
    <n v="200"/>
  </r>
  <r>
    <s v="CUST060"/>
    <x v="2"/>
    <x v="3"/>
    <n v="150"/>
    <n v="150"/>
  </r>
  <r>
    <s v="CUST163"/>
    <x v="0"/>
    <x v="1"/>
    <n v="150"/>
    <n v="150"/>
  </r>
  <r>
    <s v="CUST336"/>
    <x v="2"/>
    <x v="1"/>
    <n v="150"/>
    <n v="150"/>
  </r>
  <r>
    <s v="CUST529"/>
    <x v="0"/>
    <x v="0"/>
    <n v="150"/>
    <n v="150"/>
  </r>
  <r>
    <s v="CUST822"/>
    <x v="2"/>
    <x v="3"/>
    <n v="150"/>
    <n v="150"/>
  </r>
  <r>
    <s v="CUST844"/>
    <x v="0"/>
    <x v="3"/>
    <n v="150"/>
    <n v="150"/>
  </r>
  <r>
    <s v="CUST910"/>
    <x v="2"/>
    <x v="3"/>
    <n v="150"/>
    <n v="150"/>
  </r>
  <r>
    <s v="CUST993"/>
    <x v="1"/>
    <x v="0"/>
    <n v="150"/>
    <n v="150"/>
  </r>
  <r>
    <s v="CUST014"/>
    <x v="0"/>
    <x v="0"/>
    <n v="120"/>
    <n v="120"/>
  </r>
  <r>
    <s v="CUST173"/>
    <x v="1"/>
    <x v="1"/>
    <n v="120"/>
    <n v="120"/>
  </r>
  <r>
    <s v="CUST262"/>
    <x v="2"/>
    <x v="2"/>
    <n v="120"/>
    <n v="120"/>
  </r>
  <r>
    <s v="CUST532"/>
    <x v="0"/>
    <x v="3"/>
    <n v="120"/>
    <n v="120"/>
  </r>
  <r>
    <s v="CUST536"/>
    <x v="2"/>
    <x v="3"/>
    <n v="120"/>
    <n v="120"/>
  </r>
  <r>
    <s v="CUST578"/>
    <x v="0"/>
    <x v="2"/>
    <n v="120"/>
    <n v="120"/>
  </r>
  <r>
    <s v="CUST598"/>
    <x v="2"/>
    <x v="3"/>
    <n v="120"/>
    <n v="120"/>
  </r>
  <r>
    <s v="CUST796"/>
    <x v="2"/>
    <x v="0"/>
    <n v="120"/>
    <n v="120"/>
  </r>
  <r>
    <s v="CUST1000"/>
    <x v="1"/>
    <x v="0"/>
    <n v="120"/>
    <n v="120"/>
  </r>
  <r>
    <s v="CUST017"/>
    <x v="0"/>
    <x v="3"/>
    <n v="100"/>
    <n v="100"/>
  </r>
  <r>
    <s v="CUST114"/>
    <x v="2"/>
    <x v="0"/>
    <n v="100"/>
    <n v="100"/>
  </r>
  <r>
    <s v="CUST156"/>
    <x v="0"/>
    <x v="0"/>
    <n v="100"/>
    <n v="100"/>
  </r>
  <r>
    <s v="CUST442"/>
    <x v="0"/>
    <x v="3"/>
    <n v="100"/>
    <n v="100"/>
  </r>
  <r>
    <s v="CUST455"/>
    <x v="1"/>
    <x v="1"/>
    <n v="100"/>
    <n v="100"/>
  </r>
  <r>
    <s v="CUST458"/>
    <x v="1"/>
    <x v="2"/>
    <n v="100"/>
    <n v="100"/>
  </r>
  <r>
    <s v="CUST466"/>
    <x v="1"/>
    <x v="0"/>
    <n v="100"/>
    <n v="100"/>
  </r>
  <r>
    <s v="CUST583"/>
    <x v="1"/>
    <x v="1"/>
    <n v="100"/>
    <n v="100"/>
  </r>
  <r>
    <s v="CUST591"/>
    <x v="1"/>
    <x v="0"/>
    <n v="100"/>
    <n v="100"/>
  </r>
  <r>
    <s v="CUST615"/>
    <x v="0"/>
    <x v="0"/>
    <n v="100"/>
    <n v="100"/>
  </r>
  <r>
    <s v="CUST706"/>
    <x v="1"/>
    <x v="2"/>
    <n v="100"/>
    <n v="100"/>
  </r>
  <r>
    <s v="CUST786"/>
    <x v="0"/>
    <x v="0"/>
    <n v="100"/>
    <n v="100"/>
  </r>
  <r>
    <s v="CUST803"/>
    <x v="0"/>
    <x v="2"/>
    <n v="100"/>
    <n v="100"/>
  </r>
  <r>
    <s v="CUST873"/>
    <x v="1"/>
    <x v="2"/>
    <n v="100"/>
    <n v="100"/>
  </r>
  <r>
    <s v="CUST887"/>
    <x v="0"/>
    <x v="2"/>
    <n v="100"/>
    <n v="100"/>
  </r>
  <r>
    <s v="CUST005"/>
    <x v="2"/>
    <x v="1"/>
    <n v="100"/>
    <n v="100"/>
  </r>
  <r>
    <s v="CUST011"/>
    <x v="0"/>
    <x v="3"/>
    <n v="100"/>
    <n v="100"/>
  </r>
  <r>
    <s v="CUST076"/>
    <x v="1"/>
    <x v="1"/>
    <n v="100"/>
    <n v="100"/>
  </r>
  <r>
    <s v="CUST098"/>
    <x v="2"/>
    <x v="3"/>
    <n v="100"/>
    <n v="100"/>
  </r>
  <r>
    <s v="CUST125"/>
    <x v="0"/>
    <x v="3"/>
    <n v="100"/>
    <n v="100"/>
  </r>
  <r>
    <s v="CUST216"/>
    <x v="1"/>
    <x v="2"/>
    <n v="100"/>
    <n v="100"/>
  </r>
  <r>
    <s v="CUST338"/>
    <x v="2"/>
    <x v="0"/>
    <n v="100"/>
    <n v="100"/>
  </r>
  <r>
    <s v="CUST575"/>
    <x v="0"/>
    <x v="2"/>
    <n v="100"/>
    <n v="100"/>
  </r>
  <r>
    <s v="CUST599"/>
    <x v="2"/>
    <x v="0"/>
    <n v="100"/>
    <n v="100"/>
  </r>
  <r>
    <s v="CUST692"/>
    <x v="0"/>
    <x v="3"/>
    <n v="100"/>
    <n v="100"/>
  </r>
  <r>
    <s v="CUST924"/>
    <x v="2"/>
    <x v="2"/>
    <n v="100"/>
    <n v="100"/>
  </r>
  <r>
    <s v="CUST032"/>
    <x v="2"/>
    <x v="0"/>
    <n v="90"/>
    <n v="90"/>
  </r>
  <r>
    <s v="CUST229"/>
    <x v="2"/>
    <x v="1"/>
    <n v="90"/>
    <n v="90"/>
  </r>
  <r>
    <s v="CUST267"/>
    <x v="2"/>
    <x v="0"/>
    <n v="90"/>
    <n v="90"/>
  </r>
  <r>
    <s v="CUST444"/>
    <x v="0"/>
    <x v="2"/>
    <n v="90"/>
    <n v="90"/>
  </r>
  <r>
    <s v="CUST603"/>
    <x v="0"/>
    <x v="1"/>
    <n v="90"/>
    <n v="90"/>
  </r>
  <r>
    <s v="CUST679"/>
    <x v="2"/>
    <x v="0"/>
    <n v="90"/>
    <n v="90"/>
  </r>
  <r>
    <s v="CUST704"/>
    <x v="0"/>
    <x v="0"/>
    <n v="90"/>
    <n v="90"/>
  </r>
  <r>
    <s v="CUST746"/>
    <x v="0"/>
    <x v="0"/>
    <n v="90"/>
    <n v="90"/>
  </r>
  <r>
    <s v="CUST776"/>
    <x v="0"/>
    <x v="0"/>
    <n v="90"/>
    <n v="90"/>
  </r>
  <r>
    <s v="CUST898"/>
    <x v="0"/>
    <x v="0"/>
    <n v="90"/>
    <n v="90"/>
  </r>
  <r>
    <s v="CUST918"/>
    <x v="1"/>
    <x v="1"/>
    <n v="90"/>
    <n v="90"/>
  </r>
  <r>
    <s v="CUST982"/>
    <x v="2"/>
    <x v="3"/>
    <n v="90"/>
    <n v="90"/>
  </r>
  <r>
    <s v="CUST108"/>
    <x v="2"/>
    <x v="1"/>
    <n v="75"/>
    <n v="75"/>
  </r>
  <r>
    <s v="CUST145"/>
    <x v="0"/>
    <x v="1"/>
    <n v="75"/>
    <n v="75"/>
  </r>
  <r>
    <s v="CUST149"/>
    <x v="0"/>
    <x v="1"/>
    <n v="75"/>
    <n v="75"/>
  </r>
  <r>
    <s v="CUST241"/>
    <x v="1"/>
    <x v="3"/>
    <n v="75"/>
    <n v="75"/>
  </r>
  <r>
    <s v="CUST374"/>
    <x v="2"/>
    <x v="2"/>
    <n v="75"/>
    <n v="75"/>
  </r>
  <r>
    <s v="CUST469"/>
    <x v="2"/>
    <x v="3"/>
    <n v="75"/>
    <n v="75"/>
  </r>
  <r>
    <s v="CUST653"/>
    <x v="0"/>
    <x v="1"/>
    <n v="75"/>
    <n v="75"/>
  </r>
  <r>
    <s v="CUST848"/>
    <x v="0"/>
    <x v="0"/>
    <n v="75"/>
    <n v="75"/>
  </r>
  <r>
    <s v="CUST920"/>
    <x v="2"/>
    <x v="0"/>
    <n v="75"/>
    <n v="75"/>
  </r>
  <r>
    <s v="CUST988"/>
    <x v="0"/>
    <x v="1"/>
    <n v="75"/>
    <n v="75"/>
  </r>
  <r>
    <s v="CUST214"/>
    <x v="2"/>
    <x v="0"/>
    <n v="60"/>
    <n v="60"/>
  </r>
  <r>
    <s v="CUST289"/>
    <x v="1"/>
    <x v="1"/>
    <n v="60"/>
    <n v="60"/>
  </r>
  <r>
    <s v="CUST304"/>
    <x v="1"/>
    <x v="0"/>
    <n v="60"/>
    <n v="60"/>
  </r>
  <r>
    <s v="CUST478"/>
    <x v="0"/>
    <x v="3"/>
    <n v="60"/>
    <n v="60"/>
  </r>
  <r>
    <s v="CUST501"/>
    <x v="1"/>
    <x v="2"/>
    <n v="60"/>
    <n v="60"/>
  </r>
  <r>
    <s v="CUST528"/>
    <x v="0"/>
    <x v="2"/>
    <n v="60"/>
    <n v="60"/>
  </r>
  <r>
    <s v="CUST675"/>
    <x v="0"/>
    <x v="3"/>
    <n v="60"/>
    <n v="60"/>
  </r>
  <r>
    <s v="CUST719"/>
    <x v="0"/>
    <x v="3"/>
    <n v="60"/>
    <n v="60"/>
  </r>
  <r>
    <s v="CUST959"/>
    <x v="1"/>
    <x v="1"/>
    <n v="60"/>
    <n v="60"/>
  </r>
  <r>
    <s v="CUST960"/>
    <x v="0"/>
    <x v="1"/>
    <n v="60"/>
    <n v="60"/>
  </r>
  <r>
    <s v="CUST261"/>
    <x v="0"/>
    <x v="1"/>
    <n v="50"/>
    <n v="50"/>
  </r>
  <r>
    <s v="CUST429"/>
    <x v="1"/>
    <x v="0"/>
    <n v="50"/>
    <n v="50"/>
  </r>
  <r>
    <s v="CUST450"/>
    <x v="2"/>
    <x v="1"/>
    <n v="50"/>
    <n v="50"/>
  </r>
  <r>
    <s v="CUST562"/>
    <x v="1"/>
    <x v="3"/>
    <n v="50"/>
    <n v="50"/>
  </r>
  <r>
    <s v="CUST685"/>
    <x v="1"/>
    <x v="2"/>
    <n v="50"/>
    <n v="50"/>
  </r>
  <r>
    <s v="CUST730"/>
    <x v="0"/>
    <x v="0"/>
    <n v="50"/>
    <n v="50"/>
  </r>
  <r>
    <s v="CUST857"/>
    <x v="1"/>
    <x v="1"/>
    <n v="50"/>
    <n v="50"/>
  </r>
  <r>
    <s v="CUST896"/>
    <x v="1"/>
    <x v="0"/>
    <n v="50"/>
    <n v="50"/>
  </r>
  <r>
    <s v="CUST941"/>
    <x v="0"/>
    <x v="0"/>
    <n v="50"/>
    <n v="50"/>
  </r>
  <r>
    <s v="CUST949"/>
    <x v="1"/>
    <x v="1"/>
    <n v="50"/>
    <n v="50"/>
  </r>
  <r>
    <s v="CUST106"/>
    <x v="0"/>
    <x v="0"/>
    <n v="50"/>
    <n v="50"/>
  </r>
  <r>
    <s v="CUST120"/>
    <x v="2"/>
    <x v="2"/>
    <n v="50"/>
    <n v="50"/>
  </r>
  <r>
    <s v="CUST134"/>
    <x v="1"/>
    <x v="3"/>
    <n v="50"/>
    <n v="50"/>
  </r>
  <r>
    <s v="CUST143"/>
    <x v="0"/>
    <x v="3"/>
    <n v="50"/>
    <n v="50"/>
  </r>
  <r>
    <s v="CUST226"/>
    <x v="0"/>
    <x v="2"/>
    <n v="50"/>
    <n v="50"/>
  </r>
  <r>
    <s v="CUST249"/>
    <x v="0"/>
    <x v="0"/>
    <n v="50"/>
    <n v="50"/>
  </r>
  <r>
    <s v="CUST349"/>
    <x v="2"/>
    <x v="1"/>
    <n v="50"/>
    <n v="50"/>
  </r>
  <r>
    <s v="CUST542"/>
    <x v="2"/>
    <x v="0"/>
    <n v="50"/>
    <n v="50"/>
  </r>
  <r>
    <s v="CUST737"/>
    <x v="0"/>
    <x v="2"/>
    <n v="50"/>
    <n v="50"/>
  </r>
  <r>
    <s v="CUST792"/>
    <x v="2"/>
    <x v="0"/>
    <n v="50"/>
    <n v="50"/>
  </r>
  <r>
    <s v="CUST836"/>
    <x v="0"/>
    <x v="3"/>
    <n v="50"/>
    <n v="50"/>
  </r>
  <r>
    <s v="CUST893"/>
    <x v="1"/>
    <x v="0"/>
    <n v="50"/>
    <n v="50"/>
  </r>
  <r>
    <s v="CUST963"/>
    <x v="2"/>
    <x v="2"/>
    <n v="50"/>
    <n v="50"/>
  </r>
  <r>
    <s v="CUST973"/>
    <x v="0"/>
    <x v="3"/>
    <n v="50"/>
    <n v="50"/>
  </r>
  <r>
    <s v="CUST003"/>
    <x v="1"/>
    <x v="0"/>
    <n v="30"/>
    <n v="30"/>
  </r>
  <r>
    <s v="CUST006"/>
    <x v="2"/>
    <x v="0"/>
    <n v="30"/>
    <n v="30"/>
  </r>
  <r>
    <s v="CUST451"/>
    <x v="1"/>
    <x v="3"/>
    <n v="30"/>
    <n v="30"/>
  </r>
  <r>
    <s v="CUST566"/>
    <x v="0"/>
    <x v="1"/>
    <n v="30"/>
    <n v="30"/>
  </r>
  <r>
    <s v="CUST878"/>
    <x v="0"/>
    <x v="3"/>
    <n v="30"/>
    <n v="30"/>
  </r>
  <r>
    <s v="CUST901"/>
    <x v="1"/>
    <x v="1"/>
    <n v="30"/>
    <n v="30"/>
  </r>
  <r>
    <s v="CUST995"/>
    <x v="0"/>
    <x v="2"/>
    <n v="30"/>
    <n v="30"/>
  </r>
  <r>
    <s v="CUST103"/>
    <x v="0"/>
    <x v="2"/>
    <n v="25"/>
    <n v="25"/>
  </r>
  <r>
    <s v="CUST223"/>
    <x v="0"/>
    <x v="3"/>
    <n v="25"/>
    <n v="25"/>
  </r>
  <r>
    <s v="CUST230"/>
    <x v="2"/>
    <x v="3"/>
    <n v="25"/>
    <n v="25"/>
  </r>
  <r>
    <s v="CUST232"/>
    <x v="2"/>
    <x v="2"/>
    <n v="25"/>
    <n v="25"/>
  </r>
  <r>
    <s v="CUST242"/>
    <x v="0"/>
    <x v="1"/>
    <n v="25"/>
    <n v="25"/>
  </r>
  <r>
    <s v="CUST318"/>
    <x v="0"/>
    <x v="2"/>
    <n v="25"/>
    <n v="25"/>
  </r>
  <r>
    <s v="CUST454"/>
    <x v="2"/>
    <x v="3"/>
    <n v="25"/>
    <n v="25"/>
  </r>
  <r>
    <s v="CUST558"/>
    <x v="0"/>
    <x v="2"/>
    <n v="25"/>
    <n v="25"/>
  </r>
  <r>
    <s v="CUST739"/>
    <x v="2"/>
    <x v="3"/>
    <n v="25"/>
    <n v="25"/>
  </r>
  <r>
    <s v="CUST744"/>
    <x v="1"/>
    <x v="3"/>
    <n v="25"/>
    <n v="25"/>
  </r>
  <r>
    <s v="CUST791"/>
    <x v="2"/>
    <x v="2"/>
    <n v="25"/>
    <n v="25"/>
  </r>
  <r>
    <s v="CUST825"/>
    <x v="2"/>
    <x v="1"/>
    <n v="25"/>
    <n v="25"/>
  </r>
  <r>
    <s v="CUST855"/>
    <x v="2"/>
    <x v="0"/>
    <n v="25"/>
    <n v="25"/>
  </r>
  <r>
    <s v="CUST907"/>
    <x v="1"/>
    <x v="2"/>
    <n v="25"/>
    <n v="25"/>
  </r>
  <r>
    <s v="CUST093"/>
    <x v="2"/>
    <x v="0"/>
    <n v="2000"/>
    <n v="2000"/>
  </r>
  <r>
    <s v="CUST369"/>
    <x v="1"/>
    <x v="2"/>
    <n v="1500"/>
    <n v="1500"/>
  </r>
  <r>
    <s v="CUST213"/>
    <x v="2"/>
    <x v="0"/>
    <n v="1500"/>
    <n v="1500"/>
  </r>
  <r>
    <s v="CUST412"/>
    <x v="1"/>
    <x v="1"/>
    <n v="2000"/>
    <n v="2000"/>
  </r>
  <r>
    <s v="CUST720"/>
    <x v="2"/>
    <x v="1"/>
    <n v="1500"/>
    <n v="1500"/>
  </r>
  <r>
    <s v="CUST166"/>
    <x v="0"/>
    <x v="2"/>
    <n v="2000"/>
    <n v="2000"/>
  </r>
  <r>
    <s v="CUST211"/>
    <x v="2"/>
    <x v="3"/>
    <n v="1500"/>
    <n v="1500"/>
  </r>
  <r>
    <s v="CUST155"/>
    <x v="1"/>
    <x v="0"/>
    <n v="2000"/>
    <n v="2000"/>
  </r>
  <r>
    <s v="CUST673"/>
    <x v="0"/>
    <x v="3"/>
    <n v="1500"/>
    <n v="1500"/>
  </r>
  <r>
    <s v="CUST421"/>
    <x v="0"/>
    <x v="3"/>
    <n v="1500"/>
    <n v="1500"/>
  </r>
  <r>
    <s v="CUST280"/>
    <x v="0"/>
    <x v="3"/>
    <n v="1500"/>
    <n v="1500"/>
  </r>
  <r>
    <s v="CUST199"/>
    <x v="2"/>
    <x v="1"/>
    <n v="1500"/>
    <n v="1500"/>
  </r>
  <r>
    <s v="CUST533"/>
    <x v="1"/>
    <x v="2"/>
    <n v="1500"/>
    <n v="1500"/>
  </r>
  <r>
    <s v="CUST169"/>
    <x v="2"/>
    <x v="2"/>
    <n v="1500"/>
    <n v="1500"/>
  </r>
  <r>
    <s v="CUST111"/>
    <x v="1"/>
    <x v="1"/>
    <n v="1500"/>
    <n v="1500"/>
  </r>
  <r>
    <s v="CUST869"/>
    <x v="2"/>
    <x v="1"/>
    <n v="1500"/>
    <n v="1500"/>
  </r>
  <r>
    <s v="CUST773"/>
    <x v="1"/>
    <x v="2"/>
    <n v="2000"/>
    <n v="2000"/>
  </r>
  <r>
    <s v="CUST269"/>
    <x v="0"/>
    <x v="3"/>
    <n v="2000"/>
    <n v="2000"/>
  </r>
  <r>
    <s v="CUST072"/>
    <x v="1"/>
    <x v="0"/>
    <n v="2000"/>
    <n v="2000"/>
  </r>
  <r>
    <s v="CUST065"/>
    <x v="1"/>
    <x v="0"/>
    <n v="2000"/>
    <n v="2000"/>
  </r>
  <r>
    <s v="CUST193"/>
    <x v="2"/>
    <x v="0"/>
    <n v="1500"/>
    <n v="1500"/>
  </r>
  <r>
    <s v="CUST054"/>
    <x v="1"/>
    <x v="3"/>
    <n v="1500"/>
    <n v="1500"/>
  </r>
  <r>
    <s v="CUST710"/>
    <x v="1"/>
    <x v="2"/>
    <n v="1500"/>
    <n v="1500"/>
  </r>
  <r>
    <s v="CUST031"/>
    <x v="1"/>
    <x v="1"/>
    <n v="1200"/>
    <n v="1200"/>
  </r>
  <r>
    <s v="CUST067"/>
    <x v="2"/>
    <x v="2"/>
    <n v="1200"/>
    <n v="1200"/>
  </r>
  <r>
    <s v="CUST107"/>
    <x v="0"/>
    <x v="3"/>
    <n v="1200"/>
    <n v="1200"/>
  </r>
  <r>
    <s v="CUST142"/>
    <x v="1"/>
    <x v="1"/>
    <n v="1200"/>
    <n v="1200"/>
  </r>
  <r>
    <s v="CUST333"/>
    <x v="1"/>
    <x v="3"/>
    <n v="1200"/>
    <n v="1200"/>
  </r>
  <r>
    <s v="CUST405"/>
    <x v="0"/>
    <x v="0"/>
    <n v="1200"/>
    <n v="1200"/>
  </r>
  <r>
    <s v="CUST481"/>
    <x v="1"/>
    <x v="0"/>
    <n v="1200"/>
    <n v="1200"/>
  </r>
  <r>
    <s v="CUST484"/>
    <x v="0"/>
    <x v="3"/>
    <n v="1200"/>
    <n v="1200"/>
  </r>
  <r>
    <s v="CUST587"/>
    <x v="2"/>
    <x v="1"/>
    <n v="1200"/>
    <n v="1200"/>
  </r>
  <r>
    <s v="CUST682"/>
    <x v="2"/>
    <x v="1"/>
    <n v="1200"/>
    <n v="1200"/>
  </r>
  <r>
    <s v="CUST716"/>
    <x v="0"/>
    <x v="2"/>
    <n v="1200"/>
    <n v="1200"/>
  </r>
  <r>
    <s v="CUST729"/>
    <x v="0"/>
    <x v="0"/>
    <n v="1200"/>
    <n v="1200"/>
  </r>
  <r>
    <s v="CUST828"/>
    <x v="1"/>
    <x v="2"/>
    <n v="1200"/>
    <n v="1200"/>
  </r>
  <r>
    <s v="CUST908"/>
    <x v="2"/>
    <x v="2"/>
    <n v="1200"/>
    <n v="1200"/>
  </r>
  <r>
    <s v="CUST274"/>
    <x v="0"/>
    <x v="3"/>
    <n v="1000"/>
    <n v="1000"/>
  </r>
  <r>
    <s v="CUST382"/>
    <x v="0"/>
    <x v="3"/>
    <n v="1000"/>
    <n v="1000"/>
  </r>
  <r>
    <s v="CUST432"/>
    <x v="1"/>
    <x v="2"/>
    <n v="1000"/>
    <n v="1000"/>
  </r>
  <r>
    <s v="CUST600"/>
    <x v="2"/>
    <x v="0"/>
    <n v="1000"/>
    <n v="1000"/>
  </r>
  <r>
    <s v="CUST662"/>
    <x v="2"/>
    <x v="3"/>
    <n v="1000"/>
    <n v="1000"/>
  </r>
  <r>
    <s v="CUST684"/>
    <x v="0"/>
    <x v="2"/>
    <n v="1000"/>
    <n v="1000"/>
  </r>
  <r>
    <s v="CUST816"/>
    <x v="2"/>
    <x v="2"/>
    <n v="1000"/>
    <n v="1000"/>
  </r>
  <r>
    <s v="CUST990"/>
    <x v="2"/>
    <x v="2"/>
    <n v="1000"/>
    <n v="1000"/>
  </r>
  <r>
    <s v="CUST030"/>
    <x v="2"/>
    <x v="2"/>
    <n v="900"/>
    <n v="900"/>
  </r>
  <r>
    <s v="CUST035"/>
    <x v="2"/>
    <x v="2"/>
    <n v="900"/>
    <n v="900"/>
  </r>
  <r>
    <s v="CUST036"/>
    <x v="2"/>
    <x v="2"/>
    <n v="900"/>
    <n v="900"/>
  </r>
  <r>
    <s v="CUST264"/>
    <x v="0"/>
    <x v="3"/>
    <n v="900"/>
    <n v="900"/>
  </r>
  <r>
    <s v="CUST323"/>
    <x v="2"/>
    <x v="0"/>
    <n v="900"/>
    <n v="900"/>
  </r>
  <r>
    <s v="CUST334"/>
    <x v="1"/>
    <x v="2"/>
    <n v="900"/>
    <n v="900"/>
  </r>
  <r>
    <s v="CUST409"/>
    <x v="1"/>
    <x v="1"/>
    <n v="900"/>
    <n v="900"/>
  </r>
  <r>
    <s v="CUST457"/>
    <x v="2"/>
    <x v="3"/>
    <n v="900"/>
    <n v="900"/>
  </r>
  <r>
    <s v="CUST488"/>
    <x v="1"/>
    <x v="3"/>
    <n v="900"/>
    <n v="900"/>
  </r>
  <r>
    <s v="CUST540"/>
    <x v="1"/>
    <x v="2"/>
    <n v="900"/>
    <n v="900"/>
  </r>
  <r>
    <s v="CUST551"/>
    <x v="1"/>
    <x v="3"/>
    <n v="900"/>
    <n v="900"/>
  </r>
  <r>
    <s v="CUST582"/>
    <x v="0"/>
    <x v="2"/>
    <n v="900"/>
    <n v="900"/>
  </r>
  <r>
    <s v="CUST624"/>
    <x v="2"/>
    <x v="0"/>
    <n v="900"/>
    <n v="900"/>
  </r>
  <r>
    <s v="CUST727"/>
    <x v="2"/>
    <x v="0"/>
    <n v="900"/>
    <n v="900"/>
  </r>
  <r>
    <s v="CUST766"/>
    <x v="1"/>
    <x v="3"/>
    <n v="900"/>
    <n v="900"/>
  </r>
  <r>
    <s v="CUST788"/>
    <x v="2"/>
    <x v="3"/>
    <n v="900"/>
    <n v="900"/>
  </r>
  <r>
    <s v="CUST827"/>
    <x v="2"/>
    <x v="1"/>
    <n v="900"/>
    <n v="900"/>
  </r>
  <r>
    <s v="CUST886"/>
    <x v="1"/>
    <x v="3"/>
    <n v="900"/>
    <n v="900"/>
  </r>
  <r>
    <s v="CUST923"/>
    <x v="2"/>
    <x v="1"/>
    <n v="900"/>
    <n v="900"/>
  </r>
  <r>
    <s v="CUST129"/>
    <x v="2"/>
    <x v="0"/>
    <n v="600"/>
    <n v="600"/>
  </r>
  <r>
    <s v="CUST136"/>
    <x v="1"/>
    <x v="0"/>
    <n v="600"/>
    <n v="600"/>
  </r>
  <r>
    <s v="CUST233"/>
    <x v="2"/>
    <x v="2"/>
    <n v="600"/>
    <n v="600"/>
  </r>
  <r>
    <s v="CUST380"/>
    <x v="1"/>
    <x v="0"/>
    <n v="600"/>
    <n v="600"/>
  </r>
  <r>
    <s v="CUST402"/>
    <x v="0"/>
    <x v="1"/>
    <n v="600"/>
    <n v="600"/>
  </r>
  <r>
    <s v="CUST440"/>
    <x v="0"/>
    <x v="3"/>
    <n v="600"/>
    <n v="600"/>
  </r>
  <r>
    <s v="CUST105"/>
    <x v="1"/>
    <x v="2"/>
    <n v="500"/>
    <n v="500"/>
  </r>
  <r>
    <s v="CUST128"/>
    <x v="2"/>
    <x v="1"/>
    <n v="500"/>
    <n v="500"/>
  </r>
  <r>
    <s v="CUST238"/>
    <x v="2"/>
    <x v="3"/>
    <n v="500"/>
    <n v="500"/>
  </r>
  <r>
    <s v="CUST254"/>
    <x v="1"/>
    <x v="2"/>
    <n v="500"/>
    <n v="500"/>
  </r>
  <r>
    <s v="CUST364"/>
    <x v="2"/>
    <x v="0"/>
    <n v="500"/>
    <n v="500"/>
  </r>
  <r>
    <s v="CUST384"/>
    <x v="0"/>
    <x v="1"/>
    <n v="500"/>
    <n v="500"/>
  </r>
  <r>
    <s v="CUST531"/>
    <x v="1"/>
    <x v="3"/>
    <n v="500"/>
    <n v="500"/>
  </r>
  <r>
    <s v="CUST761"/>
    <x v="0"/>
    <x v="2"/>
    <n v="500"/>
    <n v="500"/>
  </r>
  <r>
    <s v="CUST867"/>
    <x v="1"/>
    <x v="2"/>
    <n v="500"/>
    <n v="500"/>
  </r>
  <r>
    <s v="CUST883"/>
    <x v="1"/>
    <x v="0"/>
    <n v="500"/>
    <n v="500"/>
  </r>
  <r>
    <s v="CUST914"/>
    <x v="1"/>
    <x v="3"/>
    <n v="500"/>
    <n v="500"/>
  </r>
  <r>
    <s v="CUST937"/>
    <x v="2"/>
    <x v="0"/>
    <n v="500"/>
    <n v="500"/>
  </r>
  <r>
    <s v="CUST052"/>
    <x v="2"/>
    <x v="0"/>
    <n v="300"/>
    <n v="300"/>
  </r>
  <r>
    <s v="CUST070"/>
    <x v="0"/>
    <x v="3"/>
    <n v="300"/>
    <n v="300"/>
  </r>
  <r>
    <s v="CUST168"/>
    <x v="0"/>
    <x v="3"/>
    <n v="300"/>
    <n v="300"/>
  </r>
  <r>
    <s v="CUST174"/>
    <x v="2"/>
    <x v="3"/>
    <n v="300"/>
    <n v="300"/>
  </r>
  <r>
    <s v="CUST252"/>
    <x v="1"/>
    <x v="1"/>
    <n v="300"/>
    <n v="300"/>
  </r>
  <r>
    <s v="CUST270"/>
    <x v="1"/>
    <x v="3"/>
    <n v="300"/>
    <n v="300"/>
  </r>
  <r>
    <s v="CUST358"/>
    <x v="2"/>
    <x v="2"/>
    <n v="300"/>
    <n v="300"/>
  </r>
  <r>
    <s v="CUST365"/>
    <x v="0"/>
    <x v="0"/>
    <n v="300"/>
    <n v="300"/>
  </r>
  <r>
    <s v="CUST401"/>
    <x v="0"/>
    <x v="1"/>
    <n v="300"/>
    <n v="300"/>
  </r>
  <r>
    <s v="CUST555"/>
    <x v="2"/>
    <x v="3"/>
    <n v="300"/>
    <n v="300"/>
  </r>
  <r>
    <s v="CUST625"/>
    <x v="0"/>
    <x v="1"/>
    <n v="300"/>
    <n v="300"/>
  </r>
  <r>
    <s v="CUST641"/>
    <x v="1"/>
    <x v="3"/>
    <n v="300"/>
    <n v="300"/>
  </r>
  <r>
    <s v="CUST687"/>
    <x v="1"/>
    <x v="1"/>
    <n v="300"/>
    <n v="300"/>
  </r>
  <r>
    <s v="CUST698"/>
    <x v="1"/>
    <x v="0"/>
    <n v="300"/>
    <n v="300"/>
  </r>
  <r>
    <s v="CUST795"/>
    <x v="1"/>
    <x v="0"/>
    <n v="300"/>
    <n v="300"/>
  </r>
  <r>
    <s v="CUST852"/>
    <x v="0"/>
    <x v="2"/>
    <n v="300"/>
    <n v="300"/>
  </r>
  <r>
    <s v="CUST865"/>
    <x v="0"/>
    <x v="2"/>
    <n v="300"/>
    <n v="300"/>
  </r>
  <r>
    <s v="CUST939"/>
    <x v="1"/>
    <x v="3"/>
    <n v="300"/>
    <n v="300"/>
  </r>
  <r>
    <s v="CUST983"/>
    <x v="0"/>
    <x v="0"/>
    <n v="300"/>
    <n v="300"/>
  </r>
  <r>
    <s v="CUST010"/>
    <x v="0"/>
    <x v="1"/>
    <n v="200"/>
    <n v="200"/>
  </r>
  <r>
    <s v="CUST082"/>
    <x v="2"/>
    <x v="1"/>
    <n v="200"/>
    <n v="200"/>
  </r>
  <r>
    <s v="CUST186"/>
    <x v="0"/>
    <x v="1"/>
    <n v="200"/>
    <n v="200"/>
  </r>
  <r>
    <s v="CUST377"/>
    <x v="0"/>
    <x v="2"/>
    <n v="200"/>
    <n v="200"/>
  </r>
  <r>
    <s v="CUST433"/>
    <x v="2"/>
    <x v="1"/>
    <n v="200"/>
    <n v="200"/>
  </r>
  <r>
    <s v="CUST696"/>
    <x v="0"/>
    <x v="2"/>
    <n v="200"/>
    <n v="200"/>
  </r>
  <r>
    <s v="CUST817"/>
    <x v="2"/>
    <x v="2"/>
    <n v="200"/>
    <n v="200"/>
  </r>
  <r>
    <s v="CUST820"/>
    <x v="1"/>
    <x v="3"/>
    <n v="200"/>
    <n v="200"/>
  </r>
  <r>
    <s v="CUST917"/>
    <x v="1"/>
    <x v="1"/>
    <n v="200"/>
    <n v="200"/>
  </r>
  <r>
    <s v="CUST938"/>
    <x v="0"/>
    <x v="1"/>
    <n v="200"/>
    <n v="200"/>
  </r>
  <r>
    <s v="CUST034"/>
    <x v="0"/>
    <x v="0"/>
    <n v="150"/>
    <n v="150"/>
  </r>
  <r>
    <s v="CUST324"/>
    <x v="1"/>
    <x v="3"/>
    <n v="150"/>
    <n v="150"/>
  </r>
  <r>
    <s v="CUST467"/>
    <x v="1"/>
    <x v="0"/>
    <n v="150"/>
    <n v="150"/>
  </r>
  <r>
    <s v="CUST651"/>
    <x v="0"/>
    <x v="3"/>
    <n v="150"/>
    <n v="150"/>
  </r>
  <r>
    <s v="CUST668"/>
    <x v="1"/>
    <x v="1"/>
    <n v="150"/>
    <n v="150"/>
  </r>
  <r>
    <s v="CUST671"/>
    <x v="1"/>
    <x v="2"/>
    <n v="150"/>
    <n v="150"/>
  </r>
  <r>
    <s v="CUST728"/>
    <x v="1"/>
    <x v="2"/>
    <n v="150"/>
    <n v="150"/>
  </r>
  <r>
    <s v="CUST092"/>
    <x v="1"/>
    <x v="2"/>
    <n v="120"/>
    <n v="120"/>
  </r>
  <r>
    <s v="CUST271"/>
    <x v="2"/>
    <x v="2"/>
    <n v="120"/>
    <n v="120"/>
  </r>
  <r>
    <s v="CUST301"/>
    <x v="0"/>
    <x v="2"/>
    <n v="120"/>
    <n v="120"/>
  </r>
  <r>
    <s v="CUST425"/>
    <x v="1"/>
    <x v="0"/>
    <n v="120"/>
    <n v="120"/>
  </r>
  <r>
    <s v="CUST521"/>
    <x v="0"/>
    <x v="3"/>
    <n v="120"/>
    <n v="120"/>
  </r>
  <r>
    <s v="CUST645"/>
    <x v="1"/>
    <x v="1"/>
    <n v="120"/>
    <n v="120"/>
  </r>
  <r>
    <s v="CUST870"/>
    <x v="1"/>
    <x v="0"/>
    <n v="120"/>
    <n v="120"/>
  </r>
  <r>
    <s v="CUST885"/>
    <x v="0"/>
    <x v="3"/>
    <n v="120"/>
    <n v="120"/>
  </r>
  <r>
    <s v="CUST931"/>
    <x v="2"/>
    <x v="2"/>
    <n v="120"/>
    <n v="120"/>
  </r>
  <r>
    <s v="CUST957"/>
    <x v="1"/>
    <x v="3"/>
    <n v="120"/>
    <n v="120"/>
  </r>
  <r>
    <s v="CUST008"/>
    <x v="1"/>
    <x v="3"/>
    <n v="100"/>
    <n v="100"/>
  </r>
  <r>
    <s v="CUST287"/>
    <x v="0"/>
    <x v="2"/>
    <n v="100"/>
    <n v="100"/>
  </r>
  <r>
    <s v="CUST311"/>
    <x v="2"/>
    <x v="2"/>
    <n v="100"/>
    <n v="100"/>
  </r>
  <r>
    <s v="CUST360"/>
    <x v="0"/>
    <x v="2"/>
    <n v="100"/>
    <n v="100"/>
  </r>
  <r>
    <s v="CUST406"/>
    <x v="2"/>
    <x v="1"/>
    <n v="100"/>
    <n v="100"/>
  </r>
  <r>
    <s v="CUST492"/>
    <x v="2"/>
    <x v="2"/>
    <n v="100"/>
    <n v="100"/>
  </r>
  <r>
    <s v="CUST500"/>
    <x v="2"/>
    <x v="1"/>
    <n v="100"/>
    <n v="100"/>
  </r>
  <r>
    <s v="CUST516"/>
    <x v="2"/>
    <x v="2"/>
    <n v="100"/>
    <n v="100"/>
  </r>
  <r>
    <s v="CUST517"/>
    <x v="0"/>
    <x v="1"/>
    <n v="100"/>
    <n v="100"/>
  </r>
  <r>
    <s v="CUST661"/>
    <x v="0"/>
    <x v="3"/>
    <n v="100"/>
    <n v="100"/>
  </r>
  <r>
    <s v="CUST758"/>
    <x v="0"/>
    <x v="0"/>
    <n v="100"/>
    <n v="100"/>
  </r>
  <r>
    <s v="CUST775"/>
    <x v="1"/>
    <x v="3"/>
    <n v="100"/>
    <n v="100"/>
  </r>
  <r>
    <s v="CUST932"/>
    <x v="2"/>
    <x v="3"/>
    <n v="100"/>
    <n v="100"/>
  </r>
  <r>
    <s v="CUST022"/>
    <x v="0"/>
    <x v="2"/>
    <n v="100"/>
    <n v="100"/>
  </r>
  <r>
    <s v="CUST033"/>
    <x v="1"/>
    <x v="1"/>
    <n v="100"/>
    <n v="100"/>
  </r>
  <r>
    <s v="CUST077"/>
    <x v="0"/>
    <x v="0"/>
    <n v="100"/>
    <n v="100"/>
  </r>
  <r>
    <s v="CUST176"/>
    <x v="2"/>
    <x v="2"/>
    <n v="100"/>
    <n v="100"/>
  </r>
  <r>
    <s v="CUST227"/>
    <x v="1"/>
    <x v="2"/>
    <n v="100"/>
    <n v="100"/>
  </r>
  <r>
    <s v="CUST244"/>
    <x v="2"/>
    <x v="2"/>
    <n v="100"/>
    <n v="100"/>
  </r>
  <r>
    <s v="CUST511"/>
    <x v="2"/>
    <x v="3"/>
    <n v="100"/>
    <n v="100"/>
  </r>
  <r>
    <s v="CUST549"/>
    <x v="2"/>
    <x v="1"/>
    <n v="100"/>
    <n v="100"/>
  </r>
  <r>
    <s v="CUST703"/>
    <x v="1"/>
    <x v="1"/>
    <n v="100"/>
    <n v="100"/>
  </r>
  <r>
    <s v="CUST752"/>
    <x v="0"/>
    <x v="0"/>
    <n v="100"/>
    <n v="100"/>
  </r>
  <r>
    <s v="CUST951"/>
    <x v="2"/>
    <x v="1"/>
    <n v="100"/>
    <n v="100"/>
  </r>
  <r>
    <s v="CUST086"/>
    <x v="2"/>
    <x v="1"/>
    <n v="90"/>
    <n v="90"/>
  </r>
  <r>
    <s v="CUST190"/>
    <x v="2"/>
    <x v="2"/>
    <n v="90"/>
    <n v="90"/>
  </r>
  <r>
    <s v="CUST218"/>
    <x v="2"/>
    <x v="2"/>
    <n v="90"/>
    <n v="90"/>
  </r>
  <r>
    <s v="CUST219"/>
    <x v="1"/>
    <x v="3"/>
    <n v="90"/>
    <n v="90"/>
  </r>
  <r>
    <s v="CUST303"/>
    <x v="1"/>
    <x v="2"/>
    <n v="90"/>
    <n v="90"/>
  </r>
  <r>
    <s v="CUST331"/>
    <x v="1"/>
    <x v="2"/>
    <n v="90"/>
    <n v="90"/>
  </r>
  <r>
    <s v="CUST419"/>
    <x v="0"/>
    <x v="2"/>
    <n v="90"/>
    <n v="90"/>
  </r>
  <r>
    <s v="CUST557"/>
    <x v="2"/>
    <x v="2"/>
    <n v="90"/>
    <n v="90"/>
  </r>
  <r>
    <s v="CUST837"/>
    <x v="2"/>
    <x v="3"/>
    <n v="90"/>
    <n v="90"/>
  </r>
  <r>
    <s v="CUST037"/>
    <x v="2"/>
    <x v="2"/>
    <n v="75"/>
    <n v="75"/>
  </r>
  <r>
    <s v="CUST050"/>
    <x v="2"/>
    <x v="0"/>
    <n v="75"/>
    <n v="75"/>
  </r>
  <r>
    <s v="CUST350"/>
    <x v="2"/>
    <x v="0"/>
    <n v="75"/>
    <n v="75"/>
  </r>
  <r>
    <s v="CUST552"/>
    <x v="1"/>
    <x v="0"/>
    <n v="75"/>
    <n v="75"/>
  </r>
  <r>
    <s v="CUST622"/>
    <x v="2"/>
    <x v="0"/>
    <n v="75"/>
    <n v="75"/>
  </r>
  <r>
    <s v="CUST713"/>
    <x v="2"/>
    <x v="2"/>
    <n v="75"/>
    <n v="75"/>
  </r>
  <r>
    <s v="CUST767"/>
    <x v="2"/>
    <x v="0"/>
    <n v="75"/>
    <n v="75"/>
  </r>
  <r>
    <s v="CUST921"/>
    <x v="1"/>
    <x v="2"/>
    <n v="75"/>
    <n v="75"/>
  </r>
  <r>
    <s v="CUST929"/>
    <x v="2"/>
    <x v="3"/>
    <n v="75"/>
    <n v="75"/>
  </r>
  <r>
    <s v="CUST980"/>
    <x v="1"/>
    <x v="0"/>
    <n v="75"/>
    <n v="75"/>
  </r>
  <r>
    <s v="CUST080"/>
    <x v="0"/>
    <x v="1"/>
    <n v="60"/>
    <n v="60"/>
  </r>
  <r>
    <s v="CUST123"/>
    <x v="1"/>
    <x v="0"/>
    <n v="60"/>
    <n v="60"/>
  </r>
  <r>
    <s v="CUST178"/>
    <x v="0"/>
    <x v="0"/>
    <n v="60"/>
    <n v="60"/>
  </r>
  <r>
    <s v="CUST247"/>
    <x v="1"/>
    <x v="2"/>
    <n v="60"/>
    <n v="60"/>
  </r>
  <r>
    <s v="CUST263"/>
    <x v="2"/>
    <x v="0"/>
    <n v="60"/>
    <n v="60"/>
  </r>
  <r>
    <s v="CUST315"/>
    <x v="0"/>
    <x v="1"/>
    <n v="60"/>
    <n v="60"/>
  </r>
  <r>
    <s v="CUST495"/>
    <x v="2"/>
    <x v="2"/>
    <n v="60"/>
    <n v="60"/>
  </r>
  <r>
    <s v="CUST499"/>
    <x v="2"/>
    <x v="2"/>
    <n v="60"/>
    <n v="60"/>
  </r>
  <r>
    <s v="CUST548"/>
    <x v="0"/>
    <x v="3"/>
    <n v="60"/>
    <n v="60"/>
  </r>
  <r>
    <s v="CUST593"/>
    <x v="1"/>
    <x v="3"/>
    <n v="60"/>
    <n v="60"/>
  </r>
  <r>
    <s v="CUST681"/>
    <x v="1"/>
    <x v="0"/>
    <n v="60"/>
    <n v="60"/>
  </r>
  <r>
    <s v="CUST962"/>
    <x v="0"/>
    <x v="3"/>
    <n v="60"/>
    <n v="60"/>
  </r>
  <r>
    <s v="CUST992"/>
    <x v="1"/>
    <x v="3"/>
    <n v="60"/>
    <n v="60"/>
  </r>
  <r>
    <s v="CUST007"/>
    <x v="0"/>
    <x v="3"/>
    <n v="50"/>
    <n v="50"/>
  </r>
  <r>
    <s v="CUST027"/>
    <x v="2"/>
    <x v="2"/>
    <n v="50"/>
    <n v="50"/>
  </r>
  <r>
    <s v="CUST102"/>
    <x v="2"/>
    <x v="2"/>
    <n v="50"/>
    <n v="50"/>
  </r>
  <r>
    <s v="CUST113"/>
    <x v="1"/>
    <x v="2"/>
    <n v="50"/>
    <n v="50"/>
  </r>
  <r>
    <s v="CUST127"/>
    <x v="0"/>
    <x v="3"/>
    <n v="50"/>
    <n v="50"/>
  </r>
  <r>
    <s v="CUST135"/>
    <x v="0"/>
    <x v="2"/>
    <n v="50"/>
    <n v="50"/>
  </r>
  <r>
    <s v="CUST170"/>
    <x v="0"/>
    <x v="3"/>
    <n v="50"/>
    <n v="50"/>
  </r>
  <r>
    <s v="CUST172"/>
    <x v="2"/>
    <x v="2"/>
    <n v="50"/>
    <n v="50"/>
  </r>
  <r>
    <s v="CUST246"/>
    <x v="1"/>
    <x v="2"/>
    <n v="50"/>
    <n v="50"/>
  </r>
  <r>
    <s v="CUST316"/>
    <x v="0"/>
    <x v="1"/>
    <n v="50"/>
    <n v="50"/>
  </r>
  <r>
    <s v="CUST325"/>
    <x v="1"/>
    <x v="0"/>
    <n v="50"/>
    <n v="50"/>
  </r>
  <r>
    <s v="CUST527"/>
    <x v="0"/>
    <x v="3"/>
    <n v="50"/>
    <n v="50"/>
  </r>
  <r>
    <s v="CUST629"/>
    <x v="1"/>
    <x v="1"/>
    <n v="50"/>
    <n v="50"/>
  </r>
  <r>
    <s v="CUST705"/>
    <x v="1"/>
    <x v="2"/>
    <n v="50"/>
    <n v="50"/>
  </r>
  <r>
    <s v="CUST762"/>
    <x v="1"/>
    <x v="3"/>
    <n v="50"/>
    <n v="50"/>
  </r>
  <r>
    <s v="CUST763"/>
    <x v="0"/>
    <x v="2"/>
    <n v="50"/>
    <n v="50"/>
  </r>
  <r>
    <s v="CUST882"/>
    <x v="1"/>
    <x v="0"/>
    <n v="50"/>
    <n v="50"/>
  </r>
  <r>
    <s v="CUST025"/>
    <x v="2"/>
    <x v="1"/>
    <n v="50"/>
    <n v="50"/>
  </r>
  <r>
    <s v="CUST040"/>
    <x v="2"/>
    <x v="0"/>
    <n v="50"/>
    <n v="50"/>
  </r>
  <r>
    <s v="CUST141"/>
    <x v="1"/>
    <x v="1"/>
    <n v="50"/>
    <n v="50"/>
  </r>
  <r>
    <s v="CUST151"/>
    <x v="0"/>
    <x v="2"/>
    <n v="50"/>
    <n v="50"/>
  </r>
  <r>
    <s v="CUST189"/>
    <x v="2"/>
    <x v="0"/>
    <n v="50"/>
    <n v="50"/>
  </r>
  <r>
    <s v="CUST359"/>
    <x v="0"/>
    <x v="0"/>
    <n v="50"/>
    <n v="50"/>
  </r>
  <r>
    <s v="CUST367"/>
    <x v="1"/>
    <x v="2"/>
    <n v="50"/>
    <n v="50"/>
  </r>
  <r>
    <s v="CUST375"/>
    <x v="0"/>
    <x v="0"/>
    <n v="50"/>
    <n v="50"/>
  </r>
  <r>
    <s v="CUST446"/>
    <x v="1"/>
    <x v="3"/>
    <n v="50"/>
    <n v="50"/>
  </r>
  <r>
    <s v="CUST460"/>
    <x v="2"/>
    <x v="1"/>
    <n v="50"/>
    <n v="50"/>
  </r>
  <r>
    <s v="CUST571"/>
    <x v="1"/>
    <x v="1"/>
    <n v="50"/>
    <n v="50"/>
  </r>
  <r>
    <s v="CUST618"/>
    <x v="2"/>
    <x v="1"/>
    <n v="50"/>
    <n v="50"/>
  </r>
  <r>
    <s v="CUST627"/>
    <x v="0"/>
    <x v="3"/>
    <n v="50"/>
    <n v="50"/>
  </r>
  <r>
    <s v="CUST665"/>
    <x v="0"/>
    <x v="1"/>
    <n v="50"/>
    <n v="50"/>
  </r>
  <r>
    <s v="CUST770"/>
    <x v="0"/>
    <x v="2"/>
    <n v="50"/>
    <n v="50"/>
  </r>
  <r>
    <s v="CUST798"/>
    <x v="0"/>
    <x v="0"/>
    <n v="50"/>
    <n v="50"/>
  </r>
  <r>
    <s v="CUST892"/>
    <x v="1"/>
    <x v="3"/>
    <n v="50"/>
    <n v="50"/>
  </r>
  <r>
    <s v="CUST906"/>
    <x v="0"/>
    <x v="1"/>
    <n v="50"/>
    <n v="50"/>
  </r>
  <r>
    <s v="CUST916"/>
    <x v="1"/>
    <x v="2"/>
    <n v="50"/>
    <n v="50"/>
  </r>
  <r>
    <s v="CUST922"/>
    <x v="1"/>
    <x v="0"/>
    <n v="50"/>
    <n v="50"/>
  </r>
  <r>
    <s v="CUST029"/>
    <x v="1"/>
    <x v="0"/>
    <n v="30"/>
    <n v="30"/>
  </r>
  <r>
    <s v="CUST045"/>
    <x v="1"/>
    <x v="3"/>
    <n v="30"/>
    <n v="30"/>
  </r>
  <r>
    <s v="CUST066"/>
    <x v="1"/>
    <x v="3"/>
    <n v="30"/>
    <n v="30"/>
  </r>
  <r>
    <s v="CUST090"/>
    <x v="1"/>
    <x v="3"/>
    <n v="30"/>
    <n v="30"/>
  </r>
  <r>
    <s v="CUST100"/>
    <x v="1"/>
    <x v="2"/>
    <n v="30"/>
    <n v="30"/>
  </r>
  <r>
    <s v="CUST116"/>
    <x v="0"/>
    <x v="2"/>
    <n v="30"/>
    <n v="30"/>
  </r>
  <r>
    <s v="CUST195"/>
    <x v="0"/>
    <x v="3"/>
    <n v="30"/>
    <n v="30"/>
  </r>
  <r>
    <s v="CUST345"/>
    <x v="1"/>
    <x v="1"/>
    <n v="30"/>
    <n v="30"/>
  </r>
  <r>
    <s v="CUST387"/>
    <x v="2"/>
    <x v="0"/>
    <n v="30"/>
    <n v="30"/>
  </r>
  <r>
    <s v="CUST489"/>
    <x v="1"/>
    <x v="0"/>
    <n v="30"/>
    <n v="30"/>
  </r>
  <r>
    <s v="CUST579"/>
    <x v="1"/>
    <x v="2"/>
    <n v="30"/>
    <n v="30"/>
  </r>
  <r>
    <s v="CUST601"/>
    <x v="0"/>
    <x v="0"/>
    <n v="30"/>
    <n v="30"/>
  </r>
  <r>
    <s v="CUST747"/>
    <x v="2"/>
    <x v="1"/>
    <n v="30"/>
    <n v="30"/>
  </r>
  <r>
    <s v="CUST749"/>
    <x v="2"/>
    <x v="0"/>
    <n v="30"/>
    <n v="30"/>
  </r>
  <r>
    <s v="CUST753"/>
    <x v="0"/>
    <x v="2"/>
    <n v="30"/>
    <n v="30"/>
  </r>
  <r>
    <s v="CUST793"/>
    <x v="2"/>
    <x v="2"/>
    <n v="30"/>
    <n v="30"/>
  </r>
  <r>
    <s v="CUST804"/>
    <x v="1"/>
    <x v="1"/>
    <n v="30"/>
    <n v="30"/>
  </r>
  <r>
    <s v="CUST874"/>
    <x v="2"/>
    <x v="1"/>
    <n v="30"/>
    <n v="30"/>
  </r>
  <r>
    <s v="CUST926"/>
    <x v="1"/>
    <x v="0"/>
    <n v="30"/>
    <n v="30"/>
  </r>
  <r>
    <s v="CUST940"/>
    <x v="1"/>
    <x v="0"/>
    <n v="30"/>
    <n v="30"/>
  </r>
  <r>
    <s v="CUST185"/>
    <x v="0"/>
    <x v="2"/>
    <n v="25"/>
    <n v="25"/>
  </r>
  <r>
    <s v="CUST204"/>
    <x v="2"/>
    <x v="1"/>
    <n v="25"/>
    <n v="25"/>
  </r>
  <r>
    <s v="CUST285"/>
    <x v="1"/>
    <x v="1"/>
    <n v="25"/>
    <n v="25"/>
  </r>
  <r>
    <s v="CUST347"/>
    <x v="1"/>
    <x v="1"/>
    <n v="25"/>
    <n v="25"/>
  </r>
  <r>
    <s v="CUST397"/>
    <x v="2"/>
    <x v="0"/>
    <n v="25"/>
    <n v="25"/>
  </r>
  <r>
    <s v="CUST423"/>
    <x v="0"/>
    <x v="1"/>
    <n v="25"/>
    <n v="25"/>
  </r>
  <r>
    <s v="CUST512"/>
    <x v="2"/>
    <x v="2"/>
    <n v="25"/>
    <n v="25"/>
  </r>
  <r>
    <s v="CUST657"/>
    <x v="0"/>
    <x v="2"/>
    <n v="25"/>
    <n v="25"/>
  </r>
  <r>
    <s v="CUST658"/>
    <x v="0"/>
    <x v="0"/>
    <n v="25"/>
    <n v="25"/>
  </r>
  <r>
    <s v="CUST790"/>
    <x v="0"/>
    <x v="3"/>
    <n v="25"/>
    <n v="25"/>
  </r>
  <r>
    <s v="CUST945"/>
    <x v="2"/>
    <x v="0"/>
    <n v="25"/>
    <n v="25"/>
  </r>
  <r>
    <s v="CUST952"/>
    <x v="0"/>
    <x v="3"/>
    <n v="25"/>
    <n v="2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E94077A-4371-4B1D-864F-2AC5C0B8BD94}" name="PivotTable8"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Q23:R27" firstHeaderRow="1" firstDataRow="1" firstDataCol="1" rowPageCount="1" colPageCount="1"/>
  <pivotFields count="5">
    <pivotField showAll="0"/>
    <pivotField axis="axisRow" showAll="0">
      <items count="4">
        <item x="2"/>
        <item x="0"/>
        <item x="1"/>
        <item t="default"/>
      </items>
    </pivotField>
    <pivotField axis="axisPage" showAll="0">
      <items count="5">
        <item x="2"/>
        <item x="1"/>
        <item x="0"/>
        <item x="3"/>
        <item t="default"/>
      </items>
    </pivotField>
    <pivotField dataField="1" showAll="0"/>
    <pivotField showAll="0"/>
  </pivotFields>
  <rowFields count="1">
    <field x="1"/>
  </rowFields>
  <rowItems count="4">
    <i>
      <x/>
    </i>
    <i>
      <x v="1"/>
    </i>
    <i>
      <x v="2"/>
    </i>
    <i t="grand">
      <x/>
    </i>
  </rowItems>
  <colItems count="1">
    <i/>
  </colItems>
  <pageFields count="1">
    <pageField fld="2" hier="-1"/>
  </pageFields>
  <dataFields count="1">
    <dataField name="Sum of Total Amount" fld="3" baseField="0" baseItem="0"/>
  </dataFields>
  <chartFormats count="1">
    <chartFormat chart="4"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15DA19E-C8E7-4230-A106-F5AA14A956A1}"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B74:C77" firstHeaderRow="1" firstDataRow="1" firstDataCol="1"/>
  <pivotFields count="13">
    <pivotField showAll="0"/>
    <pivotField numFmtId="14" showAll="0">
      <items count="346">
        <item x="137"/>
        <item x="126"/>
        <item x="297"/>
        <item x="30"/>
        <item x="228"/>
        <item x="121"/>
        <item x="326"/>
        <item x="199"/>
        <item x="332"/>
        <item x="141"/>
        <item x="166"/>
        <item x="2"/>
        <item x="20"/>
        <item x="267"/>
        <item x="14"/>
        <item x="13"/>
        <item x="254"/>
        <item x="260"/>
        <item x="219"/>
        <item x="256"/>
        <item x="43"/>
        <item x="58"/>
        <item x="109"/>
        <item x="197"/>
        <item x="246"/>
        <item x="185"/>
        <item x="84"/>
        <item x="144"/>
        <item x="169"/>
        <item x="190"/>
        <item x="114"/>
        <item x="89"/>
        <item x="170"/>
        <item x="57"/>
        <item x="74"/>
        <item x="227"/>
        <item x="195"/>
        <item x="307"/>
        <item x="48"/>
        <item x="213"/>
        <item x="316"/>
        <item x="146"/>
        <item x="10"/>
        <item x="108"/>
        <item x="15"/>
        <item x="182"/>
        <item x="38"/>
        <item x="189"/>
        <item x="62"/>
        <item x="7"/>
        <item x="238"/>
        <item x="130"/>
        <item x="192"/>
        <item x="110"/>
        <item x="1"/>
        <item x="122"/>
        <item x="240"/>
        <item x="340"/>
        <item x="163"/>
        <item x="301"/>
        <item x="46"/>
        <item x="149"/>
        <item x="150"/>
        <item x="249"/>
        <item x="176"/>
        <item x="239"/>
        <item x="317"/>
        <item x="105"/>
        <item x="6"/>
        <item x="97"/>
        <item x="255"/>
        <item x="253"/>
        <item x="309"/>
        <item x="111"/>
        <item x="34"/>
        <item x="125"/>
        <item x="31"/>
        <item x="134"/>
        <item x="66"/>
        <item x="154"/>
        <item x="200"/>
        <item x="287"/>
        <item x="76"/>
        <item x="343"/>
        <item x="280"/>
        <item x="258"/>
        <item x="128"/>
        <item x="194"/>
        <item x="334"/>
        <item x="214"/>
        <item x="181"/>
        <item x="55"/>
        <item x="294"/>
        <item x="273"/>
        <item x="22"/>
        <item x="157"/>
        <item x="225"/>
        <item x="312"/>
        <item x="342"/>
        <item x="69"/>
        <item x="90"/>
        <item x="175"/>
        <item x="35"/>
        <item x="16"/>
        <item x="26"/>
        <item x="262"/>
        <item x="5"/>
        <item x="164"/>
        <item x="60"/>
        <item x="85"/>
        <item x="310"/>
        <item x="17"/>
        <item x="217"/>
        <item x="173"/>
        <item x="143"/>
        <item x="145"/>
        <item x="179"/>
        <item x="4"/>
        <item x="98"/>
        <item x="193"/>
        <item x="119"/>
        <item x="318"/>
        <item x="271"/>
        <item x="320"/>
        <item x="305"/>
        <item x="224"/>
        <item x="100"/>
        <item x="42"/>
        <item x="71"/>
        <item x="88"/>
        <item x="79"/>
        <item x="241"/>
        <item x="3"/>
        <item x="247"/>
        <item x="29"/>
        <item x="329"/>
        <item x="242"/>
        <item x="232"/>
        <item x="203"/>
        <item x="344"/>
        <item x="61"/>
        <item x="337"/>
        <item x="50"/>
        <item x="207"/>
        <item x="132"/>
        <item x="226"/>
        <item x="234"/>
        <item x="284"/>
        <item x="264"/>
        <item x="142"/>
        <item x="276"/>
        <item x="159"/>
        <item x="210"/>
        <item x="86"/>
        <item x="302"/>
        <item x="308"/>
        <item x="285"/>
        <item x="139"/>
        <item x="83"/>
        <item x="278"/>
        <item x="265"/>
        <item x="171"/>
        <item x="248"/>
        <item x="288"/>
        <item x="36"/>
        <item x="165"/>
        <item x="33"/>
        <item x="243"/>
        <item x="40"/>
        <item x="325"/>
        <item x="231"/>
        <item x="263"/>
        <item x="313"/>
        <item x="68"/>
        <item x="39"/>
        <item x="336"/>
        <item x="53"/>
        <item x="65"/>
        <item x="321"/>
        <item x="67"/>
        <item x="133"/>
        <item x="322"/>
        <item x="47"/>
        <item x="37"/>
        <item x="116"/>
        <item x="295"/>
        <item x="115"/>
        <item x="202"/>
        <item x="314"/>
        <item x="94"/>
        <item x="323"/>
        <item x="104"/>
        <item x="87"/>
        <item x="191"/>
        <item x="282"/>
        <item x="180"/>
        <item x="277"/>
        <item x="184"/>
        <item x="259"/>
        <item x="291"/>
        <item x="341"/>
        <item x="25"/>
        <item x="279"/>
        <item x="12"/>
        <item x="298"/>
        <item x="252"/>
        <item x="102"/>
        <item x="183"/>
        <item x="327"/>
        <item x="124"/>
        <item x="269"/>
        <item x="160"/>
        <item x="306"/>
        <item x="196"/>
        <item x="303"/>
        <item x="27"/>
        <item x="304"/>
        <item x="162"/>
        <item x="63"/>
        <item x="290"/>
        <item x="96"/>
        <item x="44"/>
        <item x="78"/>
        <item x="300"/>
        <item x="286"/>
        <item x="117"/>
        <item x="261"/>
        <item x="178"/>
        <item x="152"/>
        <item x="211"/>
        <item x="339"/>
        <item x="201"/>
        <item x="328"/>
        <item x="147"/>
        <item x="206"/>
        <item x="140"/>
        <item x="331"/>
        <item x="107"/>
        <item x="296"/>
        <item x="93"/>
        <item x="127"/>
        <item x="212"/>
        <item x="18"/>
        <item x="129"/>
        <item x="106"/>
        <item x="270"/>
        <item x="172"/>
        <item x="161"/>
        <item x="299"/>
        <item x="272"/>
        <item x="223"/>
        <item x="335"/>
        <item x="118"/>
        <item x="136"/>
        <item x="148"/>
        <item x="77"/>
        <item x="45"/>
        <item x="99"/>
        <item x="135"/>
        <item x="209"/>
        <item x="233"/>
        <item x="9"/>
        <item x="283"/>
        <item x="153"/>
        <item x="49"/>
        <item x="120"/>
        <item x="205"/>
        <item x="81"/>
        <item x="257"/>
        <item x="21"/>
        <item x="230"/>
        <item x="222"/>
        <item x="91"/>
        <item x="218"/>
        <item x="177"/>
        <item x="338"/>
        <item x="293"/>
        <item x="54"/>
        <item x="208"/>
        <item x="268"/>
        <item x="103"/>
        <item x="101"/>
        <item x="28"/>
        <item x="11"/>
        <item x="315"/>
        <item x="215"/>
        <item x="113"/>
        <item x="138"/>
        <item x="324"/>
        <item x="19"/>
        <item x="41"/>
        <item x="155"/>
        <item x="75"/>
        <item x="289"/>
        <item x="235"/>
        <item x="281"/>
        <item x="52"/>
        <item x="220"/>
        <item x="229"/>
        <item x="275"/>
        <item x="131"/>
        <item x="51"/>
        <item x="292"/>
        <item x="168"/>
        <item x="245"/>
        <item x="64"/>
        <item x="250"/>
        <item x="0"/>
        <item x="123"/>
        <item x="95"/>
        <item x="188"/>
        <item x="73"/>
        <item x="23"/>
        <item x="198"/>
        <item x="187"/>
        <item x="92"/>
        <item x="221"/>
        <item x="151"/>
        <item x="59"/>
        <item x="237"/>
        <item x="274"/>
        <item x="236"/>
        <item x="174"/>
        <item x="70"/>
        <item x="186"/>
        <item x="216"/>
        <item x="8"/>
        <item x="266"/>
        <item x="112"/>
        <item x="72"/>
        <item x="82"/>
        <item x="244"/>
        <item x="80"/>
        <item x="156"/>
        <item x="333"/>
        <item x="311"/>
        <item x="204"/>
        <item x="32"/>
        <item x="319"/>
        <item x="24"/>
        <item x="56"/>
        <item x="251"/>
        <item x="167"/>
        <item x="330"/>
        <item x="158"/>
        <item t="default"/>
      </items>
    </pivotField>
    <pivotField showAll="0"/>
    <pivotField axis="axisRow" showAll="0">
      <items count="3">
        <item x="1"/>
        <item x="0"/>
        <item t="default"/>
      </items>
    </pivotField>
    <pivotField showAll="0"/>
    <pivotField showAll="0">
      <items count="4">
        <item x="0"/>
        <item x="1"/>
        <item x="2"/>
        <item t="default"/>
      </items>
    </pivotField>
    <pivotField showAll="0">
      <items count="4">
        <item x="0"/>
        <item x="1"/>
        <item x="2"/>
        <item t="default"/>
      </items>
    </pivotField>
    <pivotField showAll="0">
      <items count="5">
        <item x="2"/>
        <item x="1"/>
        <item x="0"/>
        <item x="3"/>
        <item t="default"/>
      </items>
    </pivotField>
    <pivotField showAll="0">
      <items count="6">
        <item x="3"/>
        <item x="2"/>
        <item x="0"/>
        <item x="4"/>
        <item x="1"/>
        <item t="default"/>
      </items>
    </pivotField>
    <pivotField dataField="1" showAll="0">
      <items count="19">
        <item x="16"/>
        <item x="2"/>
        <item x="5"/>
        <item x="17"/>
        <item x="8"/>
        <item x="15"/>
        <item x="4"/>
        <item x="10"/>
        <item x="0"/>
        <item x="7"/>
        <item x="13"/>
        <item x="3"/>
        <item x="6"/>
        <item x="12"/>
        <item x="1"/>
        <item x="14"/>
        <item x="9"/>
        <item x="11"/>
        <item t="default"/>
      </items>
    </pivotField>
    <pivotField showAll="0" defaultSubtotal="0">
      <items count="14">
        <item x="0"/>
        <item x="1"/>
        <item x="2"/>
        <item x="3"/>
        <item x="4"/>
        <item x="5"/>
        <item x="6"/>
        <item x="7"/>
        <item x="8"/>
        <item x="9"/>
        <item x="10"/>
        <item x="11"/>
        <item x="12"/>
        <item x="13"/>
      </items>
    </pivotField>
    <pivotField showAll="0" defaultSubtotal="0"/>
    <pivotField showAll="0" defaultSubtotal="0">
      <items count="4">
        <item x="0"/>
        <item x="1"/>
        <item x="2"/>
        <item x="3"/>
      </items>
    </pivotField>
  </pivotFields>
  <rowFields count="1">
    <field x="3"/>
  </rowFields>
  <rowItems count="3">
    <i>
      <x/>
    </i>
    <i>
      <x v="1"/>
    </i>
    <i t="grand">
      <x/>
    </i>
  </rowItems>
  <colItems count="1">
    <i/>
  </colItems>
  <dataFields count="1">
    <dataField name="Sum of Total Amount" fld="9" baseField="0" baseItem="0"/>
  </dataFields>
  <chartFormats count="6">
    <chartFormat chart="0"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4" format="5">
      <pivotArea type="data" outline="0" fieldPosition="0">
        <references count="2">
          <reference field="4294967294" count="1" selected="0">
            <x v="0"/>
          </reference>
          <reference field="3" count="1" selected="0">
            <x v="0"/>
          </reference>
        </references>
      </pivotArea>
    </chartFormat>
    <chartFormat chart="4" format="6">
      <pivotArea type="data" outline="0" fieldPosition="0">
        <references count="2">
          <reference field="4294967294" count="1" selected="0">
            <x v="0"/>
          </reference>
          <reference field="3" count="1" selected="0">
            <x v="1"/>
          </reference>
        </references>
      </pivotArea>
    </chartFormat>
    <chartFormat chart="0" format="1">
      <pivotArea type="data" outline="0" fieldPosition="0">
        <references count="2">
          <reference field="4294967294" count="1" selected="0">
            <x v="0"/>
          </reference>
          <reference field="3" count="1" selected="0">
            <x v="0"/>
          </reference>
        </references>
      </pivotArea>
    </chartFormat>
    <chartFormat chart="0" format="2">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9AB3FBC-F66E-443D-A126-A29A8B40AC78}"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B39:F44" firstHeaderRow="1" firstDataRow="2" firstDataCol="1"/>
  <pivotFields count="13">
    <pivotField showAll="0"/>
    <pivotField numFmtId="14" showAll="0">
      <items count="346">
        <item x="137"/>
        <item x="126"/>
        <item x="297"/>
        <item x="30"/>
        <item x="228"/>
        <item x="121"/>
        <item x="326"/>
        <item x="199"/>
        <item x="332"/>
        <item x="141"/>
        <item x="166"/>
        <item x="2"/>
        <item x="20"/>
        <item x="267"/>
        <item x="14"/>
        <item x="13"/>
        <item x="254"/>
        <item x="260"/>
        <item x="219"/>
        <item x="256"/>
        <item x="43"/>
        <item x="58"/>
        <item x="109"/>
        <item x="197"/>
        <item x="246"/>
        <item x="185"/>
        <item x="84"/>
        <item x="144"/>
        <item x="169"/>
        <item x="190"/>
        <item x="114"/>
        <item x="89"/>
        <item x="170"/>
        <item x="57"/>
        <item x="74"/>
        <item x="227"/>
        <item x="195"/>
        <item x="307"/>
        <item x="48"/>
        <item x="213"/>
        <item x="316"/>
        <item x="146"/>
        <item x="10"/>
        <item x="108"/>
        <item x="15"/>
        <item x="182"/>
        <item x="38"/>
        <item x="189"/>
        <item x="62"/>
        <item x="7"/>
        <item x="238"/>
        <item x="130"/>
        <item x="192"/>
        <item x="110"/>
        <item x="1"/>
        <item x="122"/>
        <item x="240"/>
        <item x="340"/>
        <item x="163"/>
        <item x="301"/>
        <item x="46"/>
        <item x="149"/>
        <item x="150"/>
        <item x="249"/>
        <item x="176"/>
        <item x="239"/>
        <item x="317"/>
        <item x="105"/>
        <item x="6"/>
        <item x="97"/>
        <item x="255"/>
        <item x="253"/>
        <item x="309"/>
        <item x="111"/>
        <item x="34"/>
        <item x="125"/>
        <item x="31"/>
        <item x="134"/>
        <item x="66"/>
        <item x="154"/>
        <item x="200"/>
        <item x="287"/>
        <item x="76"/>
        <item x="343"/>
        <item x="280"/>
        <item x="258"/>
        <item x="128"/>
        <item x="194"/>
        <item x="334"/>
        <item x="214"/>
        <item x="181"/>
        <item x="55"/>
        <item x="294"/>
        <item x="273"/>
        <item x="22"/>
        <item x="157"/>
        <item x="225"/>
        <item x="312"/>
        <item x="342"/>
        <item x="69"/>
        <item x="90"/>
        <item x="175"/>
        <item x="35"/>
        <item x="16"/>
        <item x="26"/>
        <item x="262"/>
        <item x="5"/>
        <item x="164"/>
        <item x="60"/>
        <item x="85"/>
        <item x="310"/>
        <item x="17"/>
        <item x="217"/>
        <item x="173"/>
        <item x="143"/>
        <item x="145"/>
        <item x="179"/>
        <item x="4"/>
        <item x="98"/>
        <item x="193"/>
        <item x="119"/>
        <item x="318"/>
        <item x="271"/>
        <item x="320"/>
        <item x="305"/>
        <item x="224"/>
        <item x="100"/>
        <item x="42"/>
        <item x="71"/>
        <item x="88"/>
        <item x="79"/>
        <item x="241"/>
        <item x="3"/>
        <item x="247"/>
        <item x="29"/>
        <item x="329"/>
        <item x="242"/>
        <item x="232"/>
        <item x="203"/>
        <item x="344"/>
        <item x="61"/>
        <item x="337"/>
        <item x="50"/>
        <item x="207"/>
        <item x="132"/>
        <item x="226"/>
        <item x="234"/>
        <item x="284"/>
        <item x="264"/>
        <item x="142"/>
        <item x="276"/>
        <item x="159"/>
        <item x="210"/>
        <item x="86"/>
        <item x="302"/>
        <item x="308"/>
        <item x="285"/>
        <item x="139"/>
        <item x="83"/>
        <item x="278"/>
        <item x="265"/>
        <item x="171"/>
        <item x="248"/>
        <item x="288"/>
        <item x="36"/>
        <item x="165"/>
        <item x="33"/>
        <item x="243"/>
        <item x="40"/>
        <item x="325"/>
        <item x="231"/>
        <item x="263"/>
        <item x="313"/>
        <item x="68"/>
        <item x="39"/>
        <item x="336"/>
        <item x="53"/>
        <item x="65"/>
        <item x="321"/>
        <item x="67"/>
        <item x="133"/>
        <item x="322"/>
        <item x="47"/>
        <item x="37"/>
        <item x="116"/>
        <item x="295"/>
        <item x="115"/>
        <item x="202"/>
        <item x="314"/>
        <item x="94"/>
        <item x="323"/>
        <item x="104"/>
        <item x="87"/>
        <item x="191"/>
        <item x="282"/>
        <item x="180"/>
        <item x="277"/>
        <item x="184"/>
        <item x="259"/>
        <item x="291"/>
        <item x="341"/>
        <item x="25"/>
        <item x="279"/>
        <item x="12"/>
        <item x="298"/>
        <item x="252"/>
        <item x="102"/>
        <item x="183"/>
        <item x="327"/>
        <item x="124"/>
        <item x="269"/>
        <item x="160"/>
        <item x="306"/>
        <item x="196"/>
        <item x="303"/>
        <item x="27"/>
        <item x="304"/>
        <item x="162"/>
        <item x="63"/>
        <item x="290"/>
        <item x="96"/>
        <item x="44"/>
        <item x="78"/>
        <item x="300"/>
        <item x="286"/>
        <item x="117"/>
        <item x="261"/>
        <item x="178"/>
        <item x="152"/>
        <item x="211"/>
        <item x="339"/>
        <item x="201"/>
        <item x="328"/>
        <item x="147"/>
        <item x="206"/>
        <item x="140"/>
        <item x="331"/>
        <item x="107"/>
        <item x="296"/>
        <item x="93"/>
        <item x="127"/>
        <item x="212"/>
        <item x="18"/>
        <item x="129"/>
        <item x="106"/>
        <item x="270"/>
        <item x="172"/>
        <item x="161"/>
        <item x="299"/>
        <item x="272"/>
        <item x="223"/>
        <item x="335"/>
        <item x="118"/>
        <item x="136"/>
        <item x="148"/>
        <item x="77"/>
        <item x="45"/>
        <item x="99"/>
        <item x="135"/>
        <item x="209"/>
        <item x="233"/>
        <item x="9"/>
        <item x="283"/>
        <item x="153"/>
        <item x="49"/>
        <item x="120"/>
        <item x="205"/>
        <item x="81"/>
        <item x="257"/>
        <item x="21"/>
        <item x="230"/>
        <item x="222"/>
        <item x="91"/>
        <item x="218"/>
        <item x="177"/>
        <item x="338"/>
        <item x="293"/>
        <item x="54"/>
        <item x="208"/>
        <item x="268"/>
        <item x="103"/>
        <item x="101"/>
        <item x="28"/>
        <item x="11"/>
        <item x="315"/>
        <item x="215"/>
        <item x="113"/>
        <item x="138"/>
        <item x="324"/>
        <item x="19"/>
        <item x="41"/>
        <item x="155"/>
        <item x="75"/>
        <item x="289"/>
        <item x="235"/>
        <item x="281"/>
        <item x="52"/>
        <item x="220"/>
        <item x="229"/>
        <item x="275"/>
        <item x="131"/>
        <item x="51"/>
        <item x="292"/>
        <item x="168"/>
        <item x="245"/>
        <item x="64"/>
        <item x="250"/>
        <item x="0"/>
        <item x="123"/>
        <item x="95"/>
        <item x="188"/>
        <item x="73"/>
        <item x="23"/>
        <item x="198"/>
        <item x="187"/>
        <item x="92"/>
        <item x="221"/>
        <item x="151"/>
        <item x="59"/>
        <item x="237"/>
        <item x="274"/>
        <item x="236"/>
        <item x="174"/>
        <item x="70"/>
        <item x="186"/>
        <item x="216"/>
        <item x="8"/>
        <item x="266"/>
        <item x="112"/>
        <item x="72"/>
        <item x="82"/>
        <item x="244"/>
        <item x="80"/>
        <item x="156"/>
        <item x="333"/>
        <item x="311"/>
        <item x="204"/>
        <item x="32"/>
        <item x="319"/>
        <item x="24"/>
        <item x="56"/>
        <item x="251"/>
        <item x="167"/>
        <item x="330"/>
        <item x="158"/>
        <item t="default"/>
      </items>
    </pivotField>
    <pivotField showAll="0"/>
    <pivotField showAll="0">
      <items count="3">
        <item x="1"/>
        <item x="0"/>
        <item t="default"/>
      </items>
    </pivotField>
    <pivotField showAll="0"/>
    <pivotField axis="axisCol" showAll="0">
      <items count="4">
        <item x="0"/>
        <item x="1"/>
        <item x="2"/>
        <item t="default"/>
      </items>
    </pivotField>
    <pivotField axis="axisRow" showAll="0">
      <items count="4">
        <item x="0"/>
        <item x="1"/>
        <item x="2"/>
        <item t="default"/>
      </items>
    </pivotField>
    <pivotField dataField="1" showAll="0">
      <items count="5">
        <item x="2"/>
        <item x="1"/>
        <item x="0"/>
        <item x="3"/>
        <item t="default"/>
      </items>
    </pivotField>
    <pivotField showAll="0">
      <items count="6">
        <item x="3"/>
        <item x="2"/>
        <item x="0"/>
        <item x="4"/>
        <item x="1"/>
        <item t="default"/>
      </items>
    </pivotField>
    <pivotField showAll="0"/>
    <pivotField showAll="0" defaultSubtotal="0">
      <items count="14">
        <item x="0"/>
        <item x="1"/>
        <item x="2"/>
        <item x="3"/>
        <item x="4"/>
        <item x="5"/>
        <item x="6"/>
        <item x="7"/>
        <item x="8"/>
        <item x="9"/>
        <item x="10"/>
        <item x="11"/>
        <item x="12"/>
        <item x="13"/>
      </items>
    </pivotField>
    <pivotField showAll="0" defaultSubtotal="0"/>
    <pivotField showAll="0" defaultSubtotal="0">
      <items count="4">
        <item x="0"/>
        <item x="1"/>
        <item x="2"/>
        <item x="3"/>
      </items>
    </pivotField>
  </pivotFields>
  <rowFields count="1">
    <field x="6"/>
  </rowFields>
  <rowItems count="4">
    <i>
      <x/>
    </i>
    <i>
      <x v="1"/>
    </i>
    <i>
      <x v="2"/>
    </i>
    <i t="grand">
      <x/>
    </i>
  </rowItems>
  <colFields count="1">
    <field x="5"/>
  </colFields>
  <colItems count="4">
    <i>
      <x/>
    </i>
    <i>
      <x v="1"/>
    </i>
    <i>
      <x v="2"/>
    </i>
    <i t="grand">
      <x/>
    </i>
  </colItems>
  <dataFields count="1">
    <dataField name="Sum of Quantity" fld="7" baseField="0" baseItem="0"/>
  </dataFields>
  <chartFormats count="14">
    <chartFormat chart="0" format="0" series="1">
      <pivotArea type="data" outline="0" fieldPosition="0">
        <references count="2">
          <reference field="4294967294" count="1" selected="0">
            <x v="0"/>
          </reference>
          <reference field="5"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0" format="2" series="1">
      <pivotArea type="data" outline="0" fieldPosition="0">
        <references count="2">
          <reference field="4294967294" count="1" selected="0">
            <x v="0"/>
          </reference>
          <reference field="5" count="1" selected="0">
            <x v="2"/>
          </reference>
        </references>
      </pivotArea>
    </chartFormat>
    <chartFormat chart="2" format="3" series="1">
      <pivotArea type="data" outline="0" fieldPosition="0">
        <references count="2">
          <reference field="4294967294" count="1" selected="0">
            <x v="0"/>
          </reference>
          <reference field="5" count="1" selected="0">
            <x v="0"/>
          </reference>
        </references>
      </pivotArea>
    </chartFormat>
    <chartFormat chart="2" format="4" series="1">
      <pivotArea type="data" outline="0" fieldPosition="0">
        <references count="2">
          <reference field="4294967294" count="1" selected="0">
            <x v="0"/>
          </reference>
          <reference field="5" count="1" selected="0">
            <x v="1"/>
          </reference>
        </references>
      </pivotArea>
    </chartFormat>
    <chartFormat chart="2" format="5" series="1">
      <pivotArea type="data" outline="0" fieldPosition="0">
        <references count="2">
          <reference field="4294967294" count="1" selected="0">
            <x v="0"/>
          </reference>
          <reference field="5" count="1" selected="0">
            <x v="2"/>
          </reference>
        </references>
      </pivotArea>
    </chartFormat>
    <chartFormat chart="3" format="6" series="1">
      <pivotArea type="data" outline="0" fieldPosition="0">
        <references count="2">
          <reference field="4294967294" count="1" selected="0">
            <x v="0"/>
          </reference>
          <reference field="5" count="1" selected="0">
            <x v="0"/>
          </reference>
        </references>
      </pivotArea>
    </chartFormat>
    <chartFormat chart="3" format="7" series="1">
      <pivotArea type="data" outline="0" fieldPosition="0">
        <references count="2">
          <reference field="4294967294" count="1" selected="0">
            <x v="0"/>
          </reference>
          <reference field="5" count="1" selected="0">
            <x v="1"/>
          </reference>
        </references>
      </pivotArea>
    </chartFormat>
    <chartFormat chart="3" format="8" series="1">
      <pivotArea type="data" outline="0" fieldPosition="0">
        <references count="2">
          <reference field="4294967294" count="1" selected="0">
            <x v="0"/>
          </reference>
          <reference field="5" count="1" selected="0">
            <x v="2"/>
          </reference>
        </references>
      </pivotArea>
    </chartFormat>
    <chartFormat chart="7" format="6" series="1">
      <pivotArea type="data" outline="0" fieldPosition="0">
        <references count="2">
          <reference field="4294967294" count="1" selected="0">
            <x v="0"/>
          </reference>
          <reference field="5" count="1" selected="0">
            <x v="0"/>
          </reference>
        </references>
      </pivotArea>
    </chartFormat>
    <chartFormat chart="7" format="7" series="1">
      <pivotArea type="data" outline="0" fieldPosition="0">
        <references count="2">
          <reference field="4294967294" count="1" selected="0">
            <x v="0"/>
          </reference>
          <reference field="5" count="1" selected="0">
            <x v="1"/>
          </reference>
        </references>
      </pivotArea>
    </chartFormat>
    <chartFormat chart="7" format="8" series="1">
      <pivotArea type="data" outline="0" fieldPosition="0">
        <references count="2">
          <reference field="4294967294" count="1" selected="0">
            <x v="0"/>
          </reference>
          <reference field="5" count="1" selected="0">
            <x v="2"/>
          </reference>
        </references>
      </pivotArea>
    </chartFormat>
    <chartFormat chart="7" format="9" series="1">
      <pivotArea type="data" outline="0" fieldPosition="0">
        <references count="1">
          <reference field="4294967294" count="1" selected="0">
            <x v="0"/>
          </reference>
        </references>
      </pivotArea>
    </chartFormat>
    <chartFormat chart="0"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60023ED-3901-4C22-9A6A-AD6898BDAFE9}"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B23:E28" firstHeaderRow="1" firstDataRow="2" firstDataCol="1"/>
  <pivotFields count="13">
    <pivotField showAll="0"/>
    <pivotField numFmtId="14" showAll="0">
      <items count="346">
        <item x="137"/>
        <item x="126"/>
        <item x="297"/>
        <item x="30"/>
        <item x="228"/>
        <item x="121"/>
        <item x="326"/>
        <item x="199"/>
        <item x="332"/>
        <item x="141"/>
        <item x="166"/>
        <item x="2"/>
        <item x="20"/>
        <item x="267"/>
        <item x="14"/>
        <item x="13"/>
        <item x="254"/>
        <item x="260"/>
        <item x="219"/>
        <item x="256"/>
        <item x="43"/>
        <item x="58"/>
        <item x="109"/>
        <item x="197"/>
        <item x="246"/>
        <item x="185"/>
        <item x="84"/>
        <item x="144"/>
        <item x="169"/>
        <item x="190"/>
        <item x="114"/>
        <item x="89"/>
        <item x="170"/>
        <item x="57"/>
        <item x="74"/>
        <item x="227"/>
        <item x="195"/>
        <item x="307"/>
        <item x="48"/>
        <item x="213"/>
        <item x="316"/>
        <item x="146"/>
        <item x="10"/>
        <item x="108"/>
        <item x="15"/>
        <item x="182"/>
        <item x="38"/>
        <item x="189"/>
        <item x="62"/>
        <item x="7"/>
        <item x="238"/>
        <item x="130"/>
        <item x="192"/>
        <item x="110"/>
        <item x="1"/>
        <item x="122"/>
        <item x="240"/>
        <item x="340"/>
        <item x="163"/>
        <item x="301"/>
        <item x="46"/>
        <item x="149"/>
        <item x="150"/>
        <item x="249"/>
        <item x="176"/>
        <item x="239"/>
        <item x="317"/>
        <item x="105"/>
        <item x="6"/>
        <item x="97"/>
        <item x="255"/>
        <item x="253"/>
        <item x="309"/>
        <item x="111"/>
        <item x="34"/>
        <item x="125"/>
        <item x="31"/>
        <item x="134"/>
        <item x="66"/>
        <item x="154"/>
        <item x="200"/>
        <item x="287"/>
        <item x="76"/>
        <item x="343"/>
        <item x="280"/>
        <item x="258"/>
        <item x="128"/>
        <item x="194"/>
        <item x="334"/>
        <item x="214"/>
        <item x="181"/>
        <item x="55"/>
        <item x="294"/>
        <item x="273"/>
        <item x="22"/>
        <item x="157"/>
        <item x="225"/>
        <item x="312"/>
        <item x="342"/>
        <item x="69"/>
        <item x="90"/>
        <item x="175"/>
        <item x="35"/>
        <item x="16"/>
        <item x="26"/>
        <item x="262"/>
        <item x="5"/>
        <item x="164"/>
        <item x="60"/>
        <item x="85"/>
        <item x="310"/>
        <item x="17"/>
        <item x="217"/>
        <item x="173"/>
        <item x="143"/>
        <item x="145"/>
        <item x="179"/>
        <item x="4"/>
        <item x="98"/>
        <item x="193"/>
        <item x="119"/>
        <item x="318"/>
        <item x="271"/>
        <item x="320"/>
        <item x="305"/>
        <item x="224"/>
        <item x="100"/>
        <item x="42"/>
        <item x="71"/>
        <item x="88"/>
        <item x="79"/>
        <item x="241"/>
        <item x="3"/>
        <item x="247"/>
        <item x="29"/>
        <item x="329"/>
        <item x="242"/>
        <item x="232"/>
        <item x="203"/>
        <item x="344"/>
        <item x="61"/>
        <item x="337"/>
        <item x="50"/>
        <item x="207"/>
        <item x="132"/>
        <item x="226"/>
        <item x="234"/>
        <item x="284"/>
        <item x="264"/>
        <item x="142"/>
        <item x="276"/>
        <item x="159"/>
        <item x="210"/>
        <item x="86"/>
        <item x="302"/>
        <item x="308"/>
        <item x="285"/>
        <item x="139"/>
        <item x="83"/>
        <item x="278"/>
        <item x="265"/>
        <item x="171"/>
        <item x="248"/>
        <item x="288"/>
        <item x="36"/>
        <item x="165"/>
        <item x="33"/>
        <item x="243"/>
        <item x="40"/>
        <item x="325"/>
        <item x="231"/>
        <item x="263"/>
        <item x="313"/>
        <item x="68"/>
        <item x="39"/>
        <item x="336"/>
        <item x="53"/>
        <item x="65"/>
        <item x="321"/>
        <item x="67"/>
        <item x="133"/>
        <item x="322"/>
        <item x="47"/>
        <item x="37"/>
        <item x="116"/>
        <item x="295"/>
        <item x="115"/>
        <item x="202"/>
        <item x="314"/>
        <item x="94"/>
        <item x="323"/>
        <item x="104"/>
        <item x="87"/>
        <item x="191"/>
        <item x="282"/>
        <item x="180"/>
        <item x="277"/>
        <item x="184"/>
        <item x="259"/>
        <item x="291"/>
        <item x="341"/>
        <item x="25"/>
        <item x="279"/>
        <item x="12"/>
        <item x="298"/>
        <item x="252"/>
        <item x="102"/>
        <item x="183"/>
        <item x="327"/>
        <item x="124"/>
        <item x="269"/>
        <item x="160"/>
        <item x="306"/>
        <item x="196"/>
        <item x="303"/>
        <item x="27"/>
        <item x="304"/>
        <item x="162"/>
        <item x="63"/>
        <item x="290"/>
        <item x="96"/>
        <item x="44"/>
        <item x="78"/>
        <item x="300"/>
        <item x="286"/>
        <item x="117"/>
        <item x="261"/>
        <item x="178"/>
        <item x="152"/>
        <item x="211"/>
        <item x="339"/>
        <item x="201"/>
        <item x="328"/>
        <item x="147"/>
        <item x="206"/>
        <item x="140"/>
        <item x="331"/>
        <item x="107"/>
        <item x="296"/>
        <item x="93"/>
        <item x="127"/>
        <item x="212"/>
        <item x="18"/>
        <item x="129"/>
        <item x="106"/>
        <item x="270"/>
        <item x="172"/>
        <item x="161"/>
        <item x="299"/>
        <item x="272"/>
        <item x="223"/>
        <item x="335"/>
        <item x="118"/>
        <item x="136"/>
        <item x="148"/>
        <item x="77"/>
        <item x="45"/>
        <item x="99"/>
        <item x="135"/>
        <item x="209"/>
        <item x="233"/>
        <item x="9"/>
        <item x="283"/>
        <item x="153"/>
        <item x="49"/>
        <item x="120"/>
        <item x="205"/>
        <item x="81"/>
        <item x="257"/>
        <item x="21"/>
        <item x="230"/>
        <item x="222"/>
        <item x="91"/>
        <item x="218"/>
        <item x="177"/>
        <item x="338"/>
        <item x="293"/>
        <item x="54"/>
        <item x="208"/>
        <item x="268"/>
        <item x="103"/>
        <item x="101"/>
        <item x="28"/>
        <item x="11"/>
        <item x="315"/>
        <item x="215"/>
        <item x="113"/>
        <item x="138"/>
        <item x="324"/>
        <item x="19"/>
        <item x="41"/>
        <item x="155"/>
        <item x="75"/>
        <item x="289"/>
        <item x="235"/>
        <item x="281"/>
        <item x="52"/>
        <item x="220"/>
        <item x="229"/>
        <item x="275"/>
        <item x="131"/>
        <item x="51"/>
        <item x="292"/>
        <item x="168"/>
        <item x="245"/>
        <item x="64"/>
        <item x="250"/>
        <item x="0"/>
        <item x="123"/>
        <item x="95"/>
        <item x="188"/>
        <item x="73"/>
        <item x="23"/>
        <item x="198"/>
        <item x="187"/>
        <item x="92"/>
        <item x="221"/>
        <item x="151"/>
        <item x="59"/>
        <item x="237"/>
        <item x="274"/>
        <item x="236"/>
        <item x="174"/>
        <item x="70"/>
        <item x="186"/>
        <item x="216"/>
        <item x="8"/>
        <item x="266"/>
        <item x="112"/>
        <item x="72"/>
        <item x="82"/>
        <item x="244"/>
        <item x="80"/>
        <item x="156"/>
        <item x="333"/>
        <item x="311"/>
        <item x="204"/>
        <item x="32"/>
        <item x="319"/>
        <item x="24"/>
        <item x="56"/>
        <item x="251"/>
        <item x="167"/>
        <item x="330"/>
        <item x="158"/>
        <item t="default"/>
      </items>
    </pivotField>
    <pivotField showAll="0"/>
    <pivotField axis="axisCol" showAll="0">
      <items count="3">
        <item x="1"/>
        <item x="0"/>
        <item t="default"/>
      </items>
    </pivotField>
    <pivotField showAll="0"/>
    <pivotField showAll="0"/>
    <pivotField axis="axisRow" showAll="0">
      <items count="4">
        <item x="0"/>
        <item x="1"/>
        <item x="2"/>
        <item t="default"/>
      </items>
    </pivotField>
    <pivotField showAll="0">
      <items count="5">
        <item x="2"/>
        <item x="1"/>
        <item x="0"/>
        <item x="3"/>
        <item t="default"/>
      </items>
    </pivotField>
    <pivotField showAll="0">
      <items count="6">
        <item x="3"/>
        <item x="2"/>
        <item x="0"/>
        <item x="4"/>
        <item x="1"/>
        <item t="default"/>
      </items>
    </pivotField>
    <pivotField dataField="1" showAll="0"/>
    <pivotField showAll="0" defaultSubtotal="0">
      <items count="14">
        <item x="0"/>
        <item x="1"/>
        <item x="2"/>
        <item x="3"/>
        <item x="4"/>
        <item x="5"/>
        <item x="6"/>
        <item x="7"/>
        <item x="8"/>
        <item x="9"/>
        <item x="10"/>
        <item x="11"/>
        <item x="12"/>
        <item x="13"/>
      </items>
    </pivotField>
    <pivotField showAll="0" defaultSubtotal="0"/>
    <pivotField showAll="0" defaultSubtotal="0">
      <items count="4">
        <item x="0"/>
        <item x="1"/>
        <item x="2"/>
        <item x="3"/>
      </items>
    </pivotField>
  </pivotFields>
  <rowFields count="1">
    <field x="6"/>
  </rowFields>
  <rowItems count="4">
    <i>
      <x/>
    </i>
    <i>
      <x v="1"/>
    </i>
    <i>
      <x v="2"/>
    </i>
    <i t="grand">
      <x/>
    </i>
  </rowItems>
  <colFields count="1">
    <field x="3"/>
  </colFields>
  <colItems count="3">
    <i>
      <x/>
    </i>
    <i>
      <x v="1"/>
    </i>
    <i t="grand">
      <x/>
    </i>
  </colItems>
  <dataFields count="1">
    <dataField name="Sum of Total Amount" fld="9" baseField="0" baseItem="0"/>
  </dataFields>
  <chartFormats count="6">
    <chartFormat chart="0" format="0" series="1">
      <pivotArea type="data" outline="0" fieldPosition="0">
        <references count="2">
          <reference field="4294967294" count="1" selected="0">
            <x v="0"/>
          </reference>
          <reference field="3" count="1" selected="0">
            <x v="0"/>
          </reference>
        </references>
      </pivotArea>
    </chartFormat>
    <chartFormat chart="0" format="1" series="1">
      <pivotArea type="data" outline="0" fieldPosition="0">
        <references count="2">
          <reference field="4294967294" count="1" selected="0">
            <x v="0"/>
          </reference>
          <reference field="3" count="1" selected="0">
            <x v="1"/>
          </reference>
        </references>
      </pivotArea>
    </chartFormat>
    <chartFormat chart="10" format="4" series="1">
      <pivotArea type="data" outline="0" fieldPosition="0">
        <references count="2">
          <reference field="4294967294" count="1" selected="0">
            <x v="0"/>
          </reference>
          <reference field="3" count="1" selected="0">
            <x v="0"/>
          </reference>
        </references>
      </pivotArea>
    </chartFormat>
    <chartFormat chart="10" format="5" series="1">
      <pivotArea type="data" outline="0" fieldPosition="0">
        <references count="2">
          <reference field="4294967294" count="1" selected="0">
            <x v="0"/>
          </reference>
          <reference field="3" count="1" selected="0">
            <x v="1"/>
          </reference>
        </references>
      </pivotArea>
    </chartFormat>
    <chartFormat chart="10" format="6"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EC0641C-4B10-492F-90D9-A9C66764AE26}"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B3:F17" firstHeaderRow="1" firstDataRow="2" firstDataCol="1"/>
  <pivotFields count="13">
    <pivotField showAll="0"/>
    <pivotField numFmtId="14" showAll="0">
      <items count="346">
        <item x="137"/>
        <item x="126"/>
        <item x="297"/>
        <item x="30"/>
        <item x="228"/>
        <item x="121"/>
        <item x="326"/>
        <item x="199"/>
        <item x="332"/>
        <item x="141"/>
        <item x="166"/>
        <item x="2"/>
        <item x="20"/>
        <item x="267"/>
        <item x="14"/>
        <item x="13"/>
        <item x="254"/>
        <item x="260"/>
        <item x="219"/>
        <item x="256"/>
        <item x="43"/>
        <item x="58"/>
        <item x="109"/>
        <item x="197"/>
        <item x="246"/>
        <item x="185"/>
        <item x="84"/>
        <item x="144"/>
        <item x="169"/>
        <item x="190"/>
        <item x="114"/>
        <item x="89"/>
        <item x="170"/>
        <item x="57"/>
        <item x="74"/>
        <item x="227"/>
        <item x="195"/>
        <item x="307"/>
        <item x="48"/>
        <item x="213"/>
        <item x="316"/>
        <item x="146"/>
        <item x="10"/>
        <item x="108"/>
        <item x="15"/>
        <item x="182"/>
        <item x="38"/>
        <item x="189"/>
        <item x="62"/>
        <item x="7"/>
        <item x="238"/>
        <item x="130"/>
        <item x="192"/>
        <item x="110"/>
        <item x="1"/>
        <item x="122"/>
        <item x="240"/>
        <item x="340"/>
        <item x="163"/>
        <item x="301"/>
        <item x="46"/>
        <item x="149"/>
        <item x="150"/>
        <item x="249"/>
        <item x="176"/>
        <item x="239"/>
        <item x="317"/>
        <item x="105"/>
        <item x="6"/>
        <item x="97"/>
        <item x="255"/>
        <item x="253"/>
        <item x="309"/>
        <item x="111"/>
        <item x="34"/>
        <item x="125"/>
        <item x="31"/>
        <item x="134"/>
        <item x="66"/>
        <item x="154"/>
        <item x="200"/>
        <item x="287"/>
        <item x="76"/>
        <item x="343"/>
        <item x="280"/>
        <item x="258"/>
        <item x="128"/>
        <item x="194"/>
        <item x="334"/>
        <item x="214"/>
        <item x="181"/>
        <item x="55"/>
        <item x="294"/>
        <item x="273"/>
        <item x="22"/>
        <item x="157"/>
        <item x="225"/>
        <item x="312"/>
        <item x="342"/>
        <item x="69"/>
        <item x="90"/>
        <item x="175"/>
        <item x="35"/>
        <item x="16"/>
        <item x="26"/>
        <item x="262"/>
        <item x="5"/>
        <item x="164"/>
        <item x="60"/>
        <item x="85"/>
        <item x="310"/>
        <item x="17"/>
        <item x="217"/>
        <item x="173"/>
        <item x="143"/>
        <item x="145"/>
        <item x="179"/>
        <item x="4"/>
        <item x="98"/>
        <item x="193"/>
        <item x="119"/>
        <item x="318"/>
        <item x="271"/>
        <item x="320"/>
        <item x="305"/>
        <item x="224"/>
        <item x="100"/>
        <item x="42"/>
        <item x="71"/>
        <item x="88"/>
        <item x="79"/>
        <item x="241"/>
        <item x="3"/>
        <item x="247"/>
        <item x="29"/>
        <item x="329"/>
        <item x="242"/>
        <item x="232"/>
        <item x="203"/>
        <item x="344"/>
        <item x="61"/>
        <item x="337"/>
        <item x="50"/>
        <item x="207"/>
        <item x="132"/>
        <item x="226"/>
        <item x="234"/>
        <item x="284"/>
        <item x="264"/>
        <item x="142"/>
        <item x="276"/>
        <item x="159"/>
        <item x="210"/>
        <item x="86"/>
        <item x="302"/>
        <item x="308"/>
        <item x="285"/>
        <item x="139"/>
        <item x="83"/>
        <item x="278"/>
        <item x="265"/>
        <item x="171"/>
        <item x="248"/>
        <item x="288"/>
        <item x="36"/>
        <item x="165"/>
        <item x="33"/>
        <item x="243"/>
        <item x="40"/>
        <item x="325"/>
        <item x="231"/>
        <item x="263"/>
        <item x="313"/>
        <item x="68"/>
        <item x="39"/>
        <item x="336"/>
        <item x="53"/>
        <item x="65"/>
        <item x="321"/>
        <item x="67"/>
        <item x="133"/>
        <item x="322"/>
        <item x="47"/>
        <item x="37"/>
        <item x="116"/>
        <item x="295"/>
        <item x="115"/>
        <item x="202"/>
        <item x="314"/>
        <item x="94"/>
        <item x="323"/>
        <item x="104"/>
        <item x="87"/>
        <item x="191"/>
        <item x="282"/>
        <item x="180"/>
        <item x="277"/>
        <item x="184"/>
        <item x="259"/>
        <item x="291"/>
        <item x="341"/>
        <item x="25"/>
        <item x="279"/>
        <item x="12"/>
        <item x="298"/>
        <item x="252"/>
        <item x="102"/>
        <item x="183"/>
        <item x="327"/>
        <item x="124"/>
        <item x="269"/>
        <item x="160"/>
        <item x="306"/>
        <item x="196"/>
        <item x="303"/>
        <item x="27"/>
        <item x="304"/>
        <item x="162"/>
        <item x="63"/>
        <item x="290"/>
        <item x="96"/>
        <item x="44"/>
        <item x="78"/>
        <item x="300"/>
        <item x="286"/>
        <item x="117"/>
        <item x="261"/>
        <item x="178"/>
        <item x="152"/>
        <item x="211"/>
        <item x="339"/>
        <item x="201"/>
        <item x="328"/>
        <item x="147"/>
        <item x="206"/>
        <item x="140"/>
        <item x="331"/>
        <item x="107"/>
        <item x="296"/>
        <item x="93"/>
        <item x="127"/>
        <item x="212"/>
        <item x="18"/>
        <item x="129"/>
        <item x="106"/>
        <item x="270"/>
        <item x="172"/>
        <item x="161"/>
        <item x="299"/>
        <item x="272"/>
        <item x="223"/>
        <item x="335"/>
        <item x="118"/>
        <item x="136"/>
        <item x="148"/>
        <item x="77"/>
        <item x="45"/>
        <item x="99"/>
        <item x="135"/>
        <item x="209"/>
        <item x="233"/>
        <item x="9"/>
        <item x="283"/>
        <item x="153"/>
        <item x="49"/>
        <item x="120"/>
        <item x="205"/>
        <item x="81"/>
        <item x="257"/>
        <item x="21"/>
        <item x="230"/>
        <item x="222"/>
        <item x="91"/>
        <item x="218"/>
        <item x="177"/>
        <item x="338"/>
        <item x="293"/>
        <item x="54"/>
        <item x="208"/>
        <item x="268"/>
        <item x="103"/>
        <item x="101"/>
        <item x="28"/>
        <item x="11"/>
        <item x="315"/>
        <item x="215"/>
        <item x="113"/>
        <item x="138"/>
        <item x="324"/>
        <item x="19"/>
        <item x="41"/>
        <item x="155"/>
        <item x="75"/>
        <item x="289"/>
        <item x="235"/>
        <item x="281"/>
        <item x="52"/>
        <item x="220"/>
        <item x="229"/>
        <item x="275"/>
        <item x="131"/>
        <item x="51"/>
        <item x="292"/>
        <item x="168"/>
        <item x="245"/>
        <item x="64"/>
        <item x="250"/>
        <item x="0"/>
        <item x="123"/>
        <item x="95"/>
        <item x="188"/>
        <item x="73"/>
        <item x="23"/>
        <item x="198"/>
        <item x="187"/>
        <item x="92"/>
        <item x="221"/>
        <item x="151"/>
        <item x="59"/>
        <item x="237"/>
        <item x="274"/>
        <item x="236"/>
        <item x="174"/>
        <item x="70"/>
        <item x="186"/>
        <item x="216"/>
        <item x="8"/>
        <item x="266"/>
        <item x="112"/>
        <item x="72"/>
        <item x="82"/>
        <item x="244"/>
        <item x="80"/>
        <item x="156"/>
        <item x="333"/>
        <item x="311"/>
        <item x="204"/>
        <item x="32"/>
        <item x="319"/>
        <item x="24"/>
        <item x="56"/>
        <item x="251"/>
        <item x="167"/>
        <item x="330"/>
        <item x="158"/>
        <item t="default"/>
      </items>
    </pivotField>
    <pivotField showAll="0"/>
    <pivotField showAll="0">
      <items count="3">
        <item x="1"/>
        <item x="0"/>
        <item t="default"/>
      </items>
    </pivotField>
    <pivotField showAll="0"/>
    <pivotField showAll="0"/>
    <pivotField axis="axisCol" showAll="0">
      <items count="4">
        <item x="0"/>
        <item x="1"/>
        <item x="2"/>
        <item t="default"/>
      </items>
    </pivotField>
    <pivotField dataField="1" showAll="0">
      <items count="5">
        <item x="2"/>
        <item x="1"/>
        <item x="0"/>
        <item x="3"/>
        <item t="default"/>
      </items>
    </pivotField>
    <pivotField showAll="0">
      <items count="6">
        <item x="3"/>
        <item x="2"/>
        <item x="0"/>
        <item x="4"/>
        <item x="1"/>
        <item t="default"/>
      </items>
    </pivotField>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10"/>
  </rowFields>
  <rowItems count="13">
    <i>
      <x v="1"/>
    </i>
    <i>
      <x v="2"/>
    </i>
    <i>
      <x v="3"/>
    </i>
    <i>
      <x v="4"/>
    </i>
    <i>
      <x v="5"/>
    </i>
    <i>
      <x v="6"/>
    </i>
    <i>
      <x v="7"/>
    </i>
    <i>
      <x v="8"/>
    </i>
    <i>
      <x v="9"/>
    </i>
    <i>
      <x v="10"/>
    </i>
    <i>
      <x v="11"/>
    </i>
    <i>
      <x v="12"/>
    </i>
    <i t="grand">
      <x/>
    </i>
  </rowItems>
  <colFields count="1">
    <field x="6"/>
  </colFields>
  <colItems count="4">
    <i>
      <x/>
    </i>
    <i>
      <x v="1"/>
    </i>
    <i>
      <x v="2"/>
    </i>
    <i t="grand">
      <x/>
    </i>
  </colItems>
  <dataFields count="1">
    <dataField name="Sum of Quantity" fld="7" baseField="0" baseItem="0"/>
  </dataFields>
  <chartFormats count="8">
    <chartFormat chart="0" format="0" series="1">
      <pivotArea type="data" outline="0" fieldPosition="0">
        <references count="2">
          <reference field="4294967294" count="1" selected="0">
            <x v="0"/>
          </reference>
          <reference field="6" count="1" selected="0">
            <x v="0"/>
          </reference>
        </references>
      </pivotArea>
    </chartFormat>
    <chartFormat chart="0" format="1" series="1">
      <pivotArea type="data" outline="0" fieldPosition="0">
        <references count="2">
          <reference field="4294967294" count="1" selected="0">
            <x v="0"/>
          </reference>
          <reference field="6" count="1" selected="0">
            <x v="1"/>
          </reference>
        </references>
      </pivotArea>
    </chartFormat>
    <chartFormat chart="0" format="2" series="1">
      <pivotArea type="data" outline="0" fieldPosition="0">
        <references count="2">
          <reference field="4294967294" count="1" selected="0">
            <x v="0"/>
          </reference>
          <reference field="6" count="1" selected="0">
            <x v="2"/>
          </reference>
        </references>
      </pivotArea>
    </chartFormat>
    <chartFormat chart="5" format="6" series="1">
      <pivotArea type="data" outline="0" fieldPosition="0">
        <references count="2">
          <reference field="4294967294" count="1" selected="0">
            <x v="0"/>
          </reference>
          <reference field="6" count="1" selected="0">
            <x v="0"/>
          </reference>
        </references>
      </pivotArea>
    </chartFormat>
    <chartFormat chart="5" format="7" series="1">
      <pivotArea type="data" outline="0" fieldPosition="0">
        <references count="2">
          <reference field="4294967294" count="1" selected="0">
            <x v="0"/>
          </reference>
          <reference field="6" count="1" selected="0">
            <x v="1"/>
          </reference>
        </references>
      </pivotArea>
    </chartFormat>
    <chartFormat chart="5" format="8" series="1">
      <pivotArea type="data" outline="0" fieldPosition="0">
        <references count="2">
          <reference field="4294967294" count="1" selected="0">
            <x v="0"/>
          </reference>
          <reference field="6" count="1" selected="0">
            <x v="2"/>
          </reference>
        </references>
      </pivotArea>
    </chartFormat>
    <chartFormat chart="5" format="9" series="1">
      <pivotArea type="data" outline="0" fieldPosition="0">
        <references count="1">
          <reference field="4294967294" count="1" selected="0">
            <x v="0"/>
          </reference>
        </references>
      </pivotArea>
    </chartFormat>
    <chartFormat chart="0"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B5C8721-B69B-407C-9C62-A0E5494BA6A2}"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B87:C91" firstHeaderRow="1" firstDataRow="1" firstDataCol="1"/>
  <pivotFields count="13">
    <pivotField showAll="0"/>
    <pivotField numFmtId="14" showAll="0">
      <items count="346">
        <item x="137"/>
        <item x="126"/>
        <item x="297"/>
        <item x="30"/>
        <item x="228"/>
        <item x="121"/>
        <item x="326"/>
        <item x="199"/>
        <item x="332"/>
        <item x="141"/>
        <item x="166"/>
        <item x="2"/>
        <item x="20"/>
        <item x="267"/>
        <item x="14"/>
        <item x="13"/>
        <item x="254"/>
        <item x="260"/>
        <item x="219"/>
        <item x="256"/>
        <item x="43"/>
        <item x="58"/>
        <item x="109"/>
        <item x="197"/>
        <item x="246"/>
        <item x="185"/>
        <item x="84"/>
        <item x="144"/>
        <item x="169"/>
        <item x="190"/>
        <item x="114"/>
        <item x="89"/>
        <item x="170"/>
        <item x="57"/>
        <item x="74"/>
        <item x="227"/>
        <item x="195"/>
        <item x="307"/>
        <item x="48"/>
        <item x="213"/>
        <item x="316"/>
        <item x="146"/>
        <item x="10"/>
        <item x="108"/>
        <item x="15"/>
        <item x="182"/>
        <item x="38"/>
        <item x="189"/>
        <item x="62"/>
        <item x="7"/>
        <item x="238"/>
        <item x="130"/>
        <item x="192"/>
        <item x="110"/>
        <item x="1"/>
        <item x="122"/>
        <item x="240"/>
        <item x="340"/>
        <item x="163"/>
        <item x="301"/>
        <item x="46"/>
        <item x="149"/>
        <item x="150"/>
        <item x="249"/>
        <item x="176"/>
        <item x="239"/>
        <item x="317"/>
        <item x="105"/>
        <item x="6"/>
        <item x="97"/>
        <item x="255"/>
        <item x="253"/>
        <item x="309"/>
        <item x="111"/>
        <item x="34"/>
        <item x="125"/>
        <item x="31"/>
        <item x="134"/>
        <item x="66"/>
        <item x="154"/>
        <item x="200"/>
        <item x="287"/>
        <item x="76"/>
        <item x="343"/>
        <item x="280"/>
        <item x="258"/>
        <item x="128"/>
        <item x="194"/>
        <item x="334"/>
        <item x="214"/>
        <item x="181"/>
        <item x="55"/>
        <item x="294"/>
        <item x="273"/>
        <item x="22"/>
        <item x="157"/>
        <item x="225"/>
        <item x="312"/>
        <item x="342"/>
        <item x="69"/>
        <item x="90"/>
        <item x="175"/>
        <item x="35"/>
        <item x="16"/>
        <item x="26"/>
        <item x="262"/>
        <item x="5"/>
        <item x="164"/>
        <item x="60"/>
        <item x="85"/>
        <item x="310"/>
        <item x="17"/>
        <item x="217"/>
        <item x="173"/>
        <item x="143"/>
        <item x="145"/>
        <item x="179"/>
        <item x="4"/>
        <item x="98"/>
        <item x="193"/>
        <item x="119"/>
        <item x="318"/>
        <item x="271"/>
        <item x="320"/>
        <item x="305"/>
        <item x="224"/>
        <item x="100"/>
        <item x="42"/>
        <item x="71"/>
        <item x="88"/>
        <item x="79"/>
        <item x="241"/>
        <item x="3"/>
        <item x="247"/>
        <item x="29"/>
        <item x="329"/>
        <item x="242"/>
        <item x="232"/>
        <item x="203"/>
        <item x="344"/>
        <item x="61"/>
        <item x="337"/>
        <item x="50"/>
        <item x="207"/>
        <item x="132"/>
        <item x="226"/>
        <item x="234"/>
        <item x="284"/>
        <item x="264"/>
        <item x="142"/>
        <item x="276"/>
        <item x="159"/>
        <item x="210"/>
        <item x="86"/>
        <item x="302"/>
        <item x="308"/>
        <item x="285"/>
        <item x="139"/>
        <item x="83"/>
        <item x="278"/>
        <item x="265"/>
        <item x="171"/>
        <item x="248"/>
        <item x="288"/>
        <item x="36"/>
        <item x="165"/>
        <item x="33"/>
        <item x="243"/>
        <item x="40"/>
        <item x="325"/>
        <item x="231"/>
        <item x="263"/>
        <item x="313"/>
        <item x="68"/>
        <item x="39"/>
        <item x="336"/>
        <item x="53"/>
        <item x="65"/>
        <item x="321"/>
        <item x="67"/>
        <item x="133"/>
        <item x="322"/>
        <item x="47"/>
        <item x="37"/>
        <item x="116"/>
        <item x="295"/>
        <item x="115"/>
        <item x="202"/>
        <item x="314"/>
        <item x="94"/>
        <item x="323"/>
        <item x="104"/>
        <item x="87"/>
        <item x="191"/>
        <item x="282"/>
        <item x="180"/>
        <item x="277"/>
        <item x="184"/>
        <item x="259"/>
        <item x="291"/>
        <item x="341"/>
        <item x="25"/>
        <item x="279"/>
        <item x="12"/>
        <item x="298"/>
        <item x="252"/>
        <item x="102"/>
        <item x="183"/>
        <item x="327"/>
        <item x="124"/>
        <item x="269"/>
        <item x="160"/>
        <item x="306"/>
        <item x="196"/>
        <item x="303"/>
        <item x="27"/>
        <item x="304"/>
        <item x="162"/>
        <item x="63"/>
        <item x="290"/>
        <item x="96"/>
        <item x="44"/>
        <item x="78"/>
        <item x="300"/>
        <item x="286"/>
        <item x="117"/>
        <item x="261"/>
        <item x="178"/>
        <item x="152"/>
        <item x="211"/>
        <item x="339"/>
        <item x="201"/>
        <item x="328"/>
        <item x="147"/>
        <item x="206"/>
        <item x="140"/>
        <item x="331"/>
        <item x="107"/>
        <item x="296"/>
        <item x="93"/>
        <item x="127"/>
        <item x="212"/>
        <item x="18"/>
        <item x="129"/>
        <item x="106"/>
        <item x="270"/>
        <item x="172"/>
        <item x="161"/>
        <item x="299"/>
        <item x="272"/>
        <item x="223"/>
        <item x="335"/>
        <item x="118"/>
        <item x="136"/>
        <item x="148"/>
        <item x="77"/>
        <item x="45"/>
        <item x="99"/>
        <item x="135"/>
        <item x="209"/>
        <item x="233"/>
        <item x="9"/>
        <item x="283"/>
        <item x="153"/>
        <item x="49"/>
        <item x="120"/>
        <item x="205"/>
        <item x="81"/>
        <item x="257"/>
        <item x="21"/>
        <item x="230"/>
        <item x="222"/>
        <item x="91"/>
        <item x="218"/>
        <item x="177"/>
        <item x="338"/>
        <item x="293"/>
        <item x="54"/>
        <item x="208"/>
        <item x="268"/>
        <item x="103"/>
        <item x="101"/>
        <item x="28"/>
        <item x="11"/>
        <item x="315"/>
        <item x="215"/>
        <item x="113"/>
        <item x="138"/>
        <item x="324"/>
        <item x="19"/>
        <item x="41"/>
        <item x="155"/>
        <item x="75"/>
        <item x="289"/>
        <item x="235"/>
        <item x="281"/>
        <item x="52"/>
        <item x="220"/>
        <item x="229"/>
        <item x="275"/>
        <item x="131"/>
        <item x="51"/>
        <item x="292"/>
        <item x="168"/>
        <item x="245"/>
        <item x="64"/>
        <item x="250"/>
        <item x="0"/>
        <item x="123"/>
        <item x="95"/>
        <item x="188"/>
        <item x="73"/>
        <item x="23"/>
        <item x="198"/>
        <item x="187"/>
        <item x="92"/>
        <item x="221"/>
        <item x="151"/>
        <item x="59"/>
        <item x="237"/>
        <item x="274"/>
        <item x="236"/>
        <item x="174"/>
        <item x="70"/>
        <item x="186"/>
        <item x="216"/>
        <item x="8"/>
        <item x="266"/>
        <item x="112"/>
        <item x="72"/>
        <item x="82"/>
        <item x="244"/>
        <item x="80"/>
        <item x="156"/>
        <item x="333"/>
        <item x="311"/>
        <item x="204"/>
        <item x="32"/>
        <item x="319"/>
        <item x="24"/>
        <item x="56"/>
        <item x="251"/>
        <item x="167"/>
        <item x="330"/>
        <item x="158"/>
        <item t="default"/>
      </items>
    </pivotField>
    <pivotField showAll="0"/>
    <pivotField showAll="0">
      <items count="3">
        <item x="1"/>
        <item x="0"/>
        <item t="default"/>
      </items>
    </pivotField>
    <pivotField showAll="0"/>
    <pivotField showAll="0"/>
    <pivotField axis="axisRow" showAll="0">
      <items count="4">
        <item x="0"/>
        <item x="1"/>
        <item x="2"/>
        <item t="default"/>
      </items>
    </pivotField>
    <pivotField showAll="0">
      <items count="5">
        <item x="2"/>
        <item x="1"/>
        <item x="0"/>
        <item x="3"/>
        <item t="default"/>
      </items>
    </pivotField>
    <pivotField showAll="0">
      <items count="6">
        <item x="3"/>
        <item x="2"/>
        <item x="0"/>
        <item x="4"/>
        <item x="1"/>
        <item t="default"/>
      </items>
    </pivotField>
    <pivotField dataField="1" showAll="0"/>
    <pivotField showAll="0" defaultSubtotal="0">
      <items count="14">
        <item x="0"/>
        <item x="1"/>
        <item x="2"/>
        <item x="3"/>
        <item x="4"/>
        <item x="5"/>
        <item x="6"/>
        <item x="7"/>
        <item x="8"/>
        <item x="9"/>
        <item x="10"/>
        <item x="11"/>
        <item x="12"/>
        <item x="13"/>
      </items>
    </pivotField>
    <pivotField showAll="0" defaultSubtotal="0"/>
    <pivotField showAll="0" defaultSubtotal="0">
      <items count="4">
        <item x="0"/>
        <item x="1"/>
        <item x="2"/>
        <item x="3"/>
      </items>
    </pivotField>
  </pivotFields>
  <rowFields count="1">
    <field x="6"/>
  </rowFields>
  <rowItems count="4">
    <i>
      <x/>
    </i>
    <i>
      <x v="1"/>
    </i>
    <i>
      <x v="2"/>
    </i>
    <i t="grand">
      <x/>
    </i>
  </rowItems>
  <colItems count="1">
    <i/>
  </colItems>
  <dataFields count="1">
    <dataField name="Sum of Total Amount" fld="9" baseField="0" baseItem="0"/>
  </dataFields>
  <chartFormats count="8">
    <chartFormat chart="0" format="0"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0"/>
          </reference>
        </references>
      </pivotArea>
    </chartFormat>
    <chartFormat chart="4" format="6">
      <pivotArea type="data" outline="0" fieldPosition="0">
        <references count="2">
          <reference field="4294967294" count="1" selected="0">
            <x v="0"/>
          </reference>
          <reference field="6" count="1" selected="0">
            <x v="0"/>
          </reference>
        </references>
      </pivotArea>
    </chartFormat>
    <chartFormat chart="4" format="7">
      <pivotArea type="data" outline="0" fieldPosition="0">
        <references count="2">
          <reference field="4294967294" count="1" selected="0">
            <x v="0"/>
          </reference>
          <reference field="6" count="1" selected="0">
            <x v="1"/>
          </reference>
        </references>
      </pivotArea>
    </chartFormat>
    <chartFormat chart="4" format="8">
      <pivotArea type="data" outline="0" fieldPosition="0">
        <references count="2">
          <reference field="4294967294" count="1" selected="0">
            <x v="0"/>
          </reference>
          <reference field="6" count="1" selected="0">
            <x v="2"/>
          </reference>
        </references>
      </pivotArea>
    </chartFormat>
    <chartFormat chart="0" format="1">
      <pivotArea type="data" outline="0" fieldPosition="0">
        <references count="2">
          <reference field="4294967294" count="1" selected="0">
            <x v="0"/>
          </reference>
          <reference field="6" count="1" selected="0">
            <x v="0"/>
          </reference>
        </references>
      </pivotArea>
    </chartFormat>
    <chartFormat chart="0" format="2">
      <pivotArea type="data" outline="0" fieldPosition="0">
        <references count="2">
          <reference field="4294967294" count="1" selected="0">
            <x v="0"/>
          </reference>
          <reference field="6" count="1" selected="0">
            <x v="1"/>
          </reference>
        </references>
      </pivotArea>
    </chartFormat>
    <chartFormat chart="0" format="3">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54B2D7B-FF95-4A94-938B-15DA146AA6C8}"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B103:C107" firstHeaderRow="1" firstDataRow="1" firstDataCol="1"/>
  <pivotFields count="13">
    <pivotField showAll="0"/>
    <pivotField numFmtId="14" showAll="0">
      <items count="346">
        <item x="137"/>
        <item x="126"/>
        <item x="297"/>
        <item x="30"/>
        <item x="228"/>
        <item x="121"/>
        <item x="326"/>
        <item x="199"/>
        <item x="332"/>
        <item x="141"/>
        <item x="166"/>
        <item x="2"/>
        <item x="20"/>
        <item x="267"/>
        <item x="14"/>
        <item x="13"/>
        <item x="254"/>
        <item x="260"/>
        <item x="219"/>
        <item x="256"/>
        <item x="43"/>
        <item x="58"/>
        <item x="109"/>
        <item x="197"/>
        <item x="246"/>
        <item x="185"/>
        <item x="84"/>
        <item x="144"/>
        <item x="169"/>
        <item x="190"/>
        <item x="114"/>
        <item x="89"/>
        <item x="170"/>
        <item x="57"/>
        <item x="74"/>
        <item x="227"/>
        <item x="195"/>
        <item x="307"/>
        <item x="48"/>
        <item x="213"/>
        <item x="316"/>
        <item x="146"/>
        <item x="10"/>
        <item x="108"/>
        <item x="15"/>
        <item x="182"/>
        <item x="38"/>
        <item x="189"/>
        <item x="62"/>
        <item x="7"/>
        <item x="238"/>
        <item x="130"/>
        <item x="192"/>
        <item x="110"/>
        <item x="1"/>
        <item x="122"/>
        <item x="240"/>
        <item x="340"/>
        <item x="163"/>
        <item x="301"/>
        <item x="46"/>
        <item x="149"/>
        <item x="150"/>
        <item x="249"/>
        <item x="176"/>
        <item x="239"/>
        <item x="317"/>
        <item x="105"/>
        <item x="6"/>
        <item x="97"/>
        <item x="255"/>
        <item x="253"/>
        <item x="309"/>
        <item x="111"/>
        <item x="34"/>
        <item x="125"/>
        <item x="31"/>
        <item x="134"/>
        <item x="66"/>
        <item x="154"/>
        <item x="200"/>
        <item x="287"/>
        <item x="76"/>
        <item x="343"/>
        <item x="280"/>
        <item x="258"/>
        <item x="128"/>
        <item x="194"/>
        <item x="334"/>
        <item x="214"/>
        <item x="181"/>
        <item x="55"/>
        <item x="294"/>
        <item x="273"/>
        <item x="22"/>
        <item x="157"/>
        <item x="225"/>
        <item x="312"/>
        <item x="342"/>
        <item x="69"/>
        <item x="90"/>
        <item x="175"/>
        <item x="35"/>
        <item x="16"/>
        <item x="26"/>
        <item x="262"/>
        <item x="5"/>
        <item x="164"/>
        <item x="60"/>
        <item x="85"/>
        <item x="310"/>
        <item x="17"/>
        <item x="217"/>
        <item x="173"/>
        <item x="143"/>
        <item x="145"/>
        <item x="179"/>
        <item x="4"/>
        <item x="98"/>
        <item x="193"/>
        <item x="119"/>
        <item x="318"/>
        <item x="271"/>
        <item x="320"/>
        <item x="305"/>
        <item x="224"/>
        <item x="100"/>
        <item x="42"/>
        <item x="71"/>
        <item x="88"/>
        <item x="79"/>
        <item x="241"/>
        <item x="3"/>
        <item x="247"/>
        <item x="29"/>
        <item x="329"/>
        <item x="242"/>
        <item x="232"/>
        <item x="203"/>
        <item x="344"/>
        <item x="61"/>
        <item x="337"/>
        <item x="50"/>
        <item x="207"/>
        <item x="132"/>
        <item x="226"/>
        <item x="234"/>
        <item x="284"/>
        <item x="264"/>
        <item x="142"/>
        <item x="276"/>
        <item x="159"/>
        <item x="210"/>
        <item x="86"/>
        <item x="302"/>
        <item x="308"/>
        <item x="285"/>
        <item x="139"/>
        <item x="83"/>
        <item x="278"/>
        <item x="265"/>
        <item x="171"/>
        <item x="248"/>
        <item x="288"/>
        <item x="36"/>
        <item x="165"/>
        <item x="33"/>
        <item x="243"/>
        <item x="40"/>
        <item x="325"/>
        <item x="231"/>
        <item x="263"/>
        <item x="313"/>
        <item x="68"/>
        <item x="39"/>
        <item x="336"/>
        <item x="53"/>
        <item x="65"/>
        <item x="321"/>
        <item x="67"/>
        <item x="133"/>
        <item x="322"/>
        <item x="47"/>
        <item x="37"/>
        <item x="116"/>
        <item x="295"/>
        <item x="115"/>
        <item x="202"/>
        <item x="314"/>
        <item x="94"/>
        <item x="323"/>
        <item x="104"/>
        <item x="87"/>
        <item x="191"/>
        <item x="282"/>
        <item x="180"/>
        <item x="277"/>
        <item x="184"/>
        <item x="259"/>
        <item x="291"/>
        <item x="341"/>
        <item x="25"/>
        <item x="279"/>
        <item x="12"/>
        <item x="298"/>
        <item x="252"/>
        <item x="102"/>
        <item x="183"/>
        <item x="327"/>
        <item x="124"/>
        <item x="269"/>
        <item x="160"/>
        <item x="306"/>
        <item x="196"/>
        <item x="303"/>
        <item x="27"/>
        <item x="304"/>
        <item x="162"/>
        <item x="63"/>
        <item x="290"/>
        <item x="96"/>
        <item x="44"/>
        <item x="78"/>
        <item x="300"/>
        <item x="286"/>
        <item x="117"/>
        <item x="261"/>
        <item x="178"/>
        <item x="152"/>
        <item x="211"/>
        <item x="339"/>
        <item x="201"/>
        <item x="328"/>
        <item x="147"/>
        <item x="206"/>
        <item x="140"/>
        <item x="331"/>
        <item x="107"/>
        <item x="296"/>
        <item x="93"/>
        <item x="127"/>
        <item x="212"/>
        <item x="18"/>
        <item x="129"/>
        <item x="106"/>
        <item x="270"/>
        <item x="172"/>
        <item x="161"/>
        <item x="299"/>
        <item x="272"/>
        <item x="223"/>
        <item x="335"/>
        <item x="118"/>
        <item x="136"/>
        <item x="148"/>
        <item x="77"/>
        <item x="45"/>
        <item x="99"/>
        <item x="135"/>
        <item x="209"/>
        <item x="233"/>
        <item x="9"/>
        <item x="283"/>
        <item x="153"/>
        <item x="49"/>
        <item x="120"/>
        <item x="205"/>
        <item x="81"/>
        <item x="257"/>
        <item x="21"/>
        <item x="230"/>
        <item x="222"/>
        <item x="91"/>
        <item x="218"/>
        <item x="177"/>
        <item x="338"/>
        <item x="293"/>
        <item x="54"/>
        <item x="208"/>
        <item x="268"/>
        <item x="103"/>
        <item x="101"/>
        <item x="28"/>
        <item x="11"/>
        <item x="315"/>
        <item x="215"/>
        <item x="113"/>
        <item x="138"/>
        <item x="324"/>
        <item x="19"/>
        <item x="41"/>
        <item x="155"/>
        <item x="75"/>
        <item x="289"/>
        <item x="235"/>
        <item x="281"/>
        <item x="52"/>
        <item x="220"/>
        <item x="229"/>
        <item x="275"/>
        <item x="131"/>
        <item x="51"/>
        <item x="292"/>
        <item x="168"/>
        <item x="245"/>
        <item x="64"/>
        <item x="250"/>
        <item x="0"/>
        <item x="123"/>
        <item x="95"/>
        <item x="188"/>
        <item x="73"/>
        <item x="23"/>
        <item x="198"/>
        <item x="187"/>
        <item x="92"/>
        <item x="221"/>
        <item x="151"/>
        <item x="59"/>
        <item x="237"/>
        <item x="274"/>
        <item x="236"/>
        <item x="174"/>
        <item x="70"/>
        <item x="186"/>
        <item x="216"/>
        <item x="8"/>
        <item x="266"/>
        <item x="112"/>
        <item x="72"/>
        <item x="82"/>
        <item x="244"/>
        <item x="80"/>
        <item x="156"/>
        <item x="333"/>
        <item x="311"/>
        <item x="204"/>
        <item x="32"/>
        <item x="319"/>
        <item x="24"/>
        <item x="56"/>
        <item x="251"/>
        <item x="167"/>
        <item x="330"/>
        <item x="158"/>
        <item t="default"/>
      </items>
    </pivotField>
    <pivotField showAll="0"/>
    <pivotField showAll="0">
      <items count="3">
        <item x="1"/>
        <item x="0"/>
        <item t="default"/>
      </items>
    </pivotField>
    <pivotField showAll="0"/>
    <pivotField showAll="0">
      <items count="4">
        <item x="0"/>
        <item x="1"/>
        <item x="2"/>
        <item t="default"/>
      </items>
    </pivotField>
    <pivotField axis="axisRow" showAll="0">
      <items count="4">
        <item x="0"/>
        <item x="1"/>
        <item x="2"/>
        <item t="default"/>
      </items>
    </pivotField>
    <pivotField showAll="0">
      <items count="5">
        <item x="2"/>
        <item x="1"/>
        <item x="0"/>
        <item x="3"/>
        <item t="default"/>
      </items>
    </pivotField>
    <pivotField showAll="0">
      <items count="6">
        <item x="3"/>
        <item x="2"/>
        <item x="0"/>
        <item x="4"/>
        <item x="1"/>
        <item t="default"/>
      </items>
    </pivotField>
    <pivotField dataField="1" showAll="0"/>
    <pivotField showAll="0" defaultSubtotal="0">
      <items count="14">
        <item x="0"/>
        <item x="1"/>
        <item x="2"/>
        <item x="3"/>
        <item x="4"/>
        <item x="5"/>
        <item x="6"/>
        <item x="7"/>
        <item x="8"/>
        <item x="9"/>
        <item x="10"/>
        <item x="11"/>
        <item x="12"/>
        <item x="13"/>
      </items>
    </pivotField>
    <pivotField showAll="0" defaultSubtotal="0"/>
    <pivotField showAll="0" defaultSubtotal="0">
      <items count="4">
        <item x="0"/>
        <item x="1"/>
        <item x="2"/>
        <item x="3"/>
      </items>
    </pivotField>
  </pivotFields>
  <rowFields count="1">
    <field x="6"/>
  </rowFields>
  <rowItems count="4">
    <i>
      <x/>
    </i>
    <i>
      <x v="1"/>
    </i>
    <i>
      <x v="2"/>
    </i>
    <i t="grand">
      <x/>
    </i>
  </rowItems>
  <colItems count="1">
    <i/>
  </colItems>
  <dataFields count="1">
    <dataField name="Sum of Total Amount" fld="9" showDataAs="percentOfCol" baseField="0" baseItem="0" numFmtId="10"/>
  </dataFields>
  <chartFormats count="24">
    <chartFormat chart="0" format="0"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0"/>
          </reference>
        </references>
      </pivotArea>
    </chartFormat>
    <chartFormat chart="4" format="6">
      <pivotArea type="data" outline="0" fieldPosition="0">
        <references count="2">
          <reference field="4294967294" count="1" selected="0">
            <x v="0"/>
          </reference>
          <reference field="6" count="1" selected="0">
            <x v="0"/>
          </reference>
        </references>
      </pivotArea>
    </chartFormat>
    <chartFormat chart="4" format="7">
      <pivotArea type="data" outline="0" fieldPosition="0">
        <references count="2">
          <reference field="4294967294" count="1" selected="0">
            <x v="0"/>
          </reference>
          <reference field="6" count="1" selected="0">
            <x v="1"/>
          </reference>
        </references>
      </pivotArea>
    </chartFormat>
    <chartFormat chart="4" format="8">
      <pivotArea type="data" outline="0" fieldPosition="0">
        <references count="2">
          <reference field="4294967294" count="1" selected="0">
            <x v="0"/>
          </reference>
          <reference field="6" count="1" selected="0">
            <x v="2"/>
          </reference>
        </references>
      </pivotArea>
    </chartFormat>
    <chartFormat chart="0" format="1">
      <pivotArea type="data" outline="0" fieldPosition="0">
        <references count="2">
          <reference field="4294967294" count="1" selected="0">
            <x v="0"/>
          </reference>
          <reference field="6" count="1" selected="0">
            <x v="0"/>
          </reference>
        </references>
      </pivotArea>
    </chartFormat>
    <chartFormat chart="0" format="2">
      <pivotArea type="data" outline="0" fieldPosition="0">
        <references count="2">
          <reference field="4294967294" count="1" selected="0">
            <x v="0"/>
          </reference>
          <reference field="6" count="1" selected="0">
            <x v="1"/>
          </reference>
        </references>
      </pivotArea>
    </chartFormat>
    <chartFormat chart="0" format="3">
      <pivotArea type="data" outline="0" fieldPosition="0">
        <references count="2">
          <reference field="4294967294" count="1" selected="0">
            <x v="0"/>
          </reference>
          <reference field="6" count="1" selected="0">
            <x v="2"/>
          </reference>
        </references>
      </pivotArea>
    </chartFormat>
    <chartFormat chart="5" format="0"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0"/>
          </reference>
        </references>
      </pivotArea>
    </chartFormat>
    <chartFormat chart="8" format="2">
      <pivotArea type="data" outline="0" fieldPosition="0">
        <references count="2">
          <reference field="4294967294" count="1" selected="0">
            <x v="0"/>
          </reference>
          <reference field="6" count="1" selected="0">
            <x v="0"/>
          </reference>
        </references>
      </pivotArea>
    </chartFormat>
    <chartFormat chart="8" format="3">
      <pivotArea type="data" outline="0" fieldPosition="0">
        <references count="2">
          <reference field="4294967294" count="1" selected="0">
            <x v="0"/>
          </reference>
          <reference field="6" count="1" selected="0">
            <x v="1"/>
          </reference>
        </references>
      </pivotArea>
    </chartFormat>
    <chartFormat chart="8" format="4">
      <pivotArea type="data" outline="0" fieldPosition="0">
        <references count="2">
          <reference field="4294967294" count="1" selected="0">
            <x v="0"/>
          </reference>
          <reference field="6" count="1" selected="0">
            <x v="2"/>
          </reference>
        </references>
      </pivotArea>
    </chartFormat>
    <chartFormat chart="9" format="5" series="1">
      <pivotArea type="data" outline="0" fieldPosition="0">
        <references count="1">
          <reference field="4294967294" count="1" selected="0">
            <x v="0"/>
          </reference>
        </references>
      </pivotArea>
    </chartFormat>
    <chartFormat chart="9" format="6">
      <pivotArea type="data" outline="0" fieldPosition="0">
        <references count="2">
          <reference field="4294967294" count="1" selected="0">
            <x v="0"/>
          </reference>
          <reference field="6" count="1" selected="0">
            <x v="0"/>
          </reference>
        </references>
      </pivotArea>
    </chartFormat>
    <chartFormat chart="9" format="7">
      <pivotArea type="data" outline="0" fieldPosition="0">
        <references count="2">
          <reference field="4294967294" count="1" selected="0">
            <x v="0"/>
          </reference>
          <reference field="6" count="1" selected="0">
            <x v="1"/>
          </reference>
        </references>
      </pivotArea>
    </chartFormat>
    <chartFormat chart="9" format="8">
      <pivotArea type="data" outline="0" fieldPosition="0">
        <references count="2">
          <reference field="4294967294" count="1" selected="0">
            <x v="0"/>
          </reference>
          <reference field="6" count="1" selected="0">
            <x v="2"/>
          </reference>
        </references>
      </pivotArea>
    </chartFormat>
    <chartFormat chart="10" format="5" series="1">
      <pivotArea type="data" outline="0" fieldPosition="0">
        <references count="1">
          <reference field="4294967294" count="1" selected="0">
            <x v="0"/>
          </reference>
        </references>
      </pivotArea>
    </chartFormat>
    <chartFormat chart="10" format="6">
      <pivotArea type="data" outline="0" fieldPosition="0">
        <references count="2">
          <reference field="4294967294" count="1" selected="0">
            <x v="0"/>
          </reference>
          <reference field="6" count="1" selected="0">
            <x v="0"/>
          </reference>
        </references>
      </pivotArea>
    </chartFormat>
    <chartFormat chart="10" format="7">
      <pivotArea type="data" outline="0" fieldPosition="0">
        <references count="2">
          <reference field="4294967294" count="1" selected="0">
            <x v="0"/>
          </reference>
          <reference field="6" count="1" selected="0">
            <x v="1"/>
          </reference>
        </references>
      </pivotArea>
    </chartFormat>
    <chartFormat chart="10" format="8">
      <pivotArea type="data" outline="0" fieldPosition="0">
        <references count="2">
          <reference field="4294967294" count="1" selected="0">
            <x v="0"/>
          </reference>
          <reference field="6" count="1" selected="0">
            <x v="2"/>
          </reference>
        </references>
      </pivotArea>
    </chartFormat>
    <chartFormat chart="5" format="1">
      <pivotArea type="data" outline="0" fieldPosition="0">
        <references count="2">
          <reference field="4294967294" count="1" selected="0">
            <x v="0"/>
          </reference>
          <reference field="6" count="1" selected="0">
            <x v="0"/>
          </reference>
        </references>
      </pivotArea>
    </chartFormat>
    <chartFormat chart="5" format="2">
      <pivotArea type="data" outline="0" fieldPosition="0">
        <references count="2">
          <reference field="4294967294" count="1" selected="0">
            <x v="0"/>
          </reference>
          <reference field="6" count="1" selected="0">
            <x v="1"/>
          </reference>
        </references>
      </pivotArea>
    </chartFormat>
    <chartFormat chart="5" format="3">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D11DD56-93C2-4C86-B057-E5CFDCC19661}"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B56:F60" firstHeaderRow="1" firstDataRow="2" firstDataCol="1"/>
  <pivotFields count="13">
    <pivotField showAll="0"/>
    <pivotField numFmtId="14" showAll="0">
      <items count="346">
        <item x="137"/>
        <item x="126"/>
        <item x="297"/>
        <item x="30"/>
        <item x="228"/>
        <item x="121"/>
        <item x="326"/>
        <item x="199"/>
        <item x="332"/>
        <item x="141"/>
        <item x="166"/>
        <item x="2"/>
        <item x="20"/>
        <item x="267"/>
        <item x="14"/>
        <item x="13"/>
        <item x="254"/>
        <item x="260"/>
        <item x="219"/>
        <item x="256"/>
        <item x="43"/>
        <item x="58"/>
        <item x="109"/>
        <item x="197"/>
        <item x="246"/>
        <item x="185"/>
        <item x="84"/>
        <item x="144"/>
        <item x="169"/>
        <item x="190"/>
        <item x="114"/>
        <item x="89"/>
        <item x="170"/>
        <item x="57"/>
        <item x="74"/>
        <item x="227"/>
        <item x="195"/>
        <item x="307"/>
        <item x="48"/>
        <item x="213"/>
        <item x="316"/>
        <item x="146"/>
        <item x="10"/>
        <item x="108"/>
        <item x="15"/>
        <item x="182"/>
        <item x="38"/>
        <item x="189"/>
        <item x="62"/>
        <item x="7"/>
        <item x="238"/>
        <item x="130"/>
        <item x="192"/>
        <item x="110"/>
        <item x="1"/>
        <item x="122"/>
        <item x="240"/>
        <item x="340"/>
        <item x="163"/>
        <item x="301"/>
        <item x="46"/>
        <item x="149"/>
        <item x="150"/>
        <item x="249"/>
        <item x="176"/>
        <item x="239"/>
        <item x="317"/>
        <item x="105"/>
        <item x="6"/>
        <item x="97"/>
        <item x="255"/>
        <item x="253"/>
        <item x="309"/>
        <item x="111"/>
        <item x="34"/>
        <item x="125"/>
        <item x="31"/>
        <item x="134"/>
        <item x="66"/>
        <item x="154"/>
        <item x="200"/>
        <item x="287"/>
        <item x="76"/>
        <item x="343"/>
        <item x="280"/>
        <item x="258"/>
        <item x="128"/>
        <item x="194"/>
        <item x="334"/>
        <item x="214"/>
        <item x="181"/>
        <item x="55"/>
        <item x="294"/>
        <item x="273"/>
        <item x="22"/>
        <item x="157"/>
        <item x="225"/>
        <item x="312"/>
        <item x="342"/>
        <item x="69"/>
        <item x="90"/>
        <item x="175"/>
        <item x="35"/>
        <item x="16"/>
        <item x="26"/>
        <item x="262"/>
        <item x="5"/>
        <item x="164"/>
        <item x="60"/>
        <item x="85"/>
        <item x="310"/>
        <item x="17"/>
        <item x="217"/>
        <item x="173"/>
        <item x="143"/>
        <item x="145"/>
        <item x="179"/>
        <item x="4"/>
        <item x="98"/>
        <item x="193"/>
        <item x="119"/>
        <item x="318"/>
        <item x="271"/>
        <item x="320"/>
        <item x="305"/>
        <item x="224"/>
        <item x="100"/>
        <item x="42"/>
        <item x="71"/>
        <item x="88"/>
        <item x="79"/>
        <item x="241"/>
        <item x="3"/>
        <item x="247"/>
        <item x="29"/>
        <item x="329"/>
        <item x="242"/>
        <item x="232"/>
        <item x="203"/>
        <item x="344"/>
        <item x="61"/>
        <item x="337"/>
        <item x="50"/>
        <item x="207"/>
        <item x="132"/>
        <item x="226"/>
        <item x="234"/>
        <item x="284"/>
        <item x="264"/>
        <item x="142"/>
        <item x="276"/>
        <item x="159"/>
        <item x="210"/>
        <item x="86"/>
        <item x="302"/>
        <item x="308"/>
        <item x="285"/>
        <item x="139"/>
        <item x="83"/>
        <item x="278"/>
        <item x="265"/>
        <item x="171"/>
        <item x="248"/>
        <item x="288"/>
        <item x="36"/>
        <item x="165"/>
        <item x="33"/>
        <item x="243"/>
        <item x="40"/>
        <item x="325"/>
        <item x="231"/>
        <item x="263"/>
        <item x="313"/>
        <item x="68"/>
        <item x="39"/>
        <item x="336"/>
        <item x="53"/>
        <item x="65"/>
        <item x="321"/>
        <item x="67"/>
        <item x="133"/>
        <item x="322"/>
        <item x="47"/>
        <item x="37"/>
        <item x="116"/>
        <item x="295"/>
        <item x="115"/>
        <item x="202"/>
        <item x="314"/>
        <item x="94"/>
        <item x="323"/>
        <item x="104"/>
        <item x="87"/>
        <item x="191"/>
        <item x="282"/>
        <item x="180"/>
        <item x="277"/>
        <item x="184"/>
        <item x="259"/>
        <item x="291"/>
        <item x="341"/>
        <item x="25"/>
        <item x="279"/>
        <item x="12"/>
        <item x="298"/>
        <item x="252"/>
        <item x="102"/>
        <item x="183"/>
        <item x="327"/>
        <item x="124"/>
        <item x="269"/>
        <item x="160"/>
        <item x="306"/>
        <item x="196"/>
        <item x="303"/>
        <item x="27"/>
        <item x="304"/>
        <item x="162"/>
        <item x="63"/>
        <item x="290"/>
        <item x="96"/>
        <item x="44"/>
        <item x="78"/>
        <item x="300"/>
        <item x="286"/>
        <item x="117"/>
        <item x="261"/>
        <item x="178"/>
        <item x="152"/>
        <item x="211"/>
        <item x="339"/>
        <item x="201"/>
        <item x="328"/>
        <item x="147"/>
        <item x="206"/>
        <item x="140"/>
        <item x="331"/>
        <item x="107"/>
        <item x="296"/>
        <item x="93"/>
        <item x="127"/>
        <item x="212"/>
        <item x="18"/>
        <item x="129"/>
        <item x="106"/>
        <item x="270"/>
        <item x="172"/>
        <item x="161"/>
        <item x="299"/>
        <item x="272"/>
        <item x="223"/>
        <item x="335"/>
        <item x="118"/>
        <item x="136"/>
        <item x="148"/>
        <item x="77"/>
        <item x="45"/>
        <item x="99"/>
        <item x="135"/>
        <item x="209"/>
        <item x="233"/>
        <item x="9"/>
        <item x="283"/>
        <item x="153"/>
        <item x="49"/>
        <item x="120"/>
        <item x="205"/>
        <item x="81"/>
        <item x="257"/>
        <item x="21"/>
        <item x="230"/>
        <item x="222"/>
        <item x="91"/>
        <item x="218"/>
        <item x="177"/>
        <item x="338"/>
        <item x="293"/>
        <item x="54"/>
        <item x="208"/>
        <item x="268"/>
        <item x="103"/>
        <item x="101"/>
        <item x="28"/>
        <item x="11"/>
        <item x="315"/>
        <item x="215"/>
        <item x="113"/>
        <item x="138"/>
        <item x="324"/>
        <item x="19"/>
        <item x="41"/>
        <item x="155"/>
        <item x="75"/>
        <item x="289"/>
        <item x="235"/>
        <item x="281"/>
        <item x="52"/>
        <item x="220"/>
        <item x="229"/>
        <item x="275"/>
        <item x="131"/>
        <item x="51"/>
        <item x="292"/>
        <item x="168"/>
        <item x="245"/>
        <item x="64"/>
        <item x="250"/>
        <item x="0"/>
        <item x="123"/>
        <item x="95"/>
        <item x="188"/>
        <item x="73"/>
        <item x="23"/>
        <item x="198"/>
        <item x="187"/>
        <item x="92"/>
        <item x="221"/>
        <item x="151"/>
        <item x="59"/>
        <item x="237"/>
        <item x="274"/>
        <item x="236"/>
        <item x="174"/>
        <item x="70"/>
        <item x="186"/>
        <item x="216"/>
        <item x="8"/>
        <item x="266"/>
        <item x="112"/>
        <item x="72"/>
        <item x="82"/>
        <item x="244"/>
        <item x="80"/>
        <item x="156"/>
        <item x="333"/>
        <item x="311"/>
        <item x="204"/>
        <item x="32"/>
        <item x="319"/>
        <item x="24"/>
        <item x="56"/>
        <item x="251"/>
        <item x="167"/>
        <item x="330"/>
        <item x="158"/>
        <item t="default"/>
      </items>
    </pivotField>
    <pivotField showAll="0"/>
    <pivotField axis="axisRow" showAll="0">
      <items count="3">
        <item x="1"/>
        <item x="0"/>
        <item t="default"/>
      </items>
    </pivotField>
    <pivotField showAll="0"/>
    <pivotField axis="axisCol" showAll="0">
      <items count="4">
        <item x="0"/>
        <item x="1"/>
        <item x="2"/>
        <item t="default"/>
      </items>
    </pivotField>
    <pivotField showAll="0">
      <items count="4">
        <item x="0"/>
        <item x="1"/>
        <item x="2"/>
        <item t="default"/>
      </items>
    </pivotField>
    <pivotField showAll="0">
      <items count="5">
        <item x="2"/>
        <item x="1"/>
        <item x="0"/>
        <item x="3"/>
        <item t="default"/>
      </items>
    </pivotField>
    <pivotField showAll="0">
      <items count="6">
        <item x="3"/>
        <item x="2"/>
        <item x="0"/>
        <item x="4"/>
        <item x="1"/>
        <item t="default"/>
      </items>
    </pivotField>
    <pivotField dataField="1" showAll="0"/>
    <pivotField showAll="0" defaultSubtotal="0">
      <items count="14">
        <item x="0"/>
        <item x="1"/>
        <item x="2"/>
        <item x="3"/>
        <item x="4"/>
        <item x="5"/>
        <item x="6"/>
        <item x="7"/>
        <item x="8"/>
        <item x="9"/>
        <item x="10"/>
        <item x="11"/>
        <item x="12"/>
        <item x="13"/>
      </items>
    </pivotField>
    <pivotField showAll="0" defaultSubtotal="0"/>
    <pivotField showAll="0" defaultSubtotal="0">
      <items count="4">
        <item x="0"/>
        <item x="1"/>
        <item x="2"/>
        <item x="3"/>
      </items>
    </pivotField>
  </pivotFields>
  <rowFields count="1">
    <field x="3"/>
  </rowFields>
  <rowItems count="3">
    <i>
      <x/>
    </i>
    <i>
      <x v="1"/>
    </i>
    <i t="grand">
      <x/>
    </i>
  </rowItems>
  <colFields count="1">
    <field x="5"/>
  </colFields>
  <colItems count="4">
    <i>
      <x/>
    </i>
    <i>
      <x v="1"/>
    </i>
    <i>
      <x v="2"/>
    </i>
    <i t="grand">
      <x/>
    </i>
  </colItems>
  <dataFields count="1">
    <dataField name="Sum of Total Amount" fld="9" baseField="0" baseItem="0"/>
  </dataFields>
  <chartFormats count="8">
    <chartFormat chart="0" format="0" series="1">
      <pivotArea type="data" outline="0" fieldPosition="0">
        <references count="2">
          <reference field="4294967294" count="1" selected="0">
            <x v="0"/>
          </reference>
          <reference field="5"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0" format="2" series="1">
      <pivotArea type="data" outline="0" fieldPosition="0">
        <references count="2">
          <reference field="4294967294" count="1" selected="0">
            <x v="0"/>
          </reference>
          <reference field="5" count="1" selected="0">
            <x v="2"/>
          </reference>
        </references>
      </pivotArea>
    </chartFormat>
    <chartFormat chart="7" format="6" series="1">
      <pivotArea type="data" outline="0" fieldPosition="0">
        <references count="2">
          <reference field="4294967294" count="1" selected="0">
            <x v="0"/>
          </reference>
          <reference field="5" count="1" selected="0">
            <x v="0"/>
          </reference>
        </references>
      </pivotArea>
    </chartFormat>
    <chartFormat chart="7" format="7" series="1">
      <pivotArea type="data" outline="0" fieldPosition="0">
        <references count="2">
          <reference field="4294967294" count="1" selected="0">
            <x v="0"/>
          </reference>
          <reference field="5" count="1" selected="0">
            <x v="1"/>
          </reference>
        </references>
      </pivotArea>
    </chartFormat>
    <chartFormat chart="7" format="8" series="1">
      <pivotArea type="data" outline="0" fieldPosition="0">
        <references count="2">
          <reference field="4294967294" count="1" selected="0">
            <x v="0"/>
          </reference>
          <reference field="5" count="1" selected="0">
            <x v="2"/>
          </reference>
        </references>
      </pivotArea>
    </chartFormat>
    <chartFormat chart="7" format="9" series="1">
      <pivotArea type="data" outline="0" fieldPosition="0">
        <references count="1">
          <reference field="4294967294" count="1" selected="0">
            <x v="0"/>
          </reference>
        </references>
      </pivotArea>
    </chartFormat>
    <chartFormat chart="0"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5E0FFCA8-55DD-43BE-8C01-F4A607D72DA4}" sourceName="Gender">
  <pivotTables>
    <pivotTable tabId="3" name="PivotTable6"/>
    <pivotTable tabId="3" name="PivotTable2"/>
    <pivotTable tabId="3" name="PivotTable3"/>
    <pivotTable tabId="3" name="PivotTable4"/>
    <pivotTable tabId="3" name="PivotTable5"/>
    <pivotTable tabId="3" name="PivotTable7"/>
    <pivotTable tabId="3" name="PivotTable1"/>
  </pivotTables>
  <data>
    <tabular pivotCacheId="1250953996">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Range" xr10:uid="{E18B5615-1B09-4DA5-9763-7DA10BF76509}" sourceName="Age_Range">
  <pivotTables>
    <pivotTable tabId="3" name="PivotTable6"/>
    <pivotTable tabId="3" name="PivotTable1"/>
  </pivotTables>
  <data>
    <tabular pivotCacheId="1250953996">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666C4BE8-B642-45B5-9C56-1A9E851429CA}" sourceName="Product Category">
  <pivotTables>
    <pivotTable tabId="3" name="PivotTable6"/>
    <pivotTable tabId="3" name="PivotTable2"/>
    <pivotTable tabId="3" name="PivotTable3"/>
    <pivotTable tabId="3" name="PivotTable4"/>
    <pivotTable tabId="3" name="PivotTable5"/>
    <pivotTable tabId="3" name="PivotTable7"/>
    <pivotTable tabId="3" name="PivotTable1"/>
  </pivotTables>
  <data>
    <tabular pivotCacheId="1250953996">
      <items count="3">
        <i x="0" s="1"/>
        <i x="1"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ntity" xr10:uid="{3AD3CD1E-40C6-4056-92C8-C2DDC8E9BD0B}" sourceName="Quantity">
  <pivotTables>
    <pivotTable tabId="3" name="PivotTable6"/>
    <pivotTable tabId="3" name="PivotTable2"/>
    <pivotTable tabId="3" name="PivotTable3"/>
    <pivotTable tabId="3" name="PivotTable4"/>
    <pivotTable tabId="3" name="PivotTable5"/>
    <pivotTable tabId="3" name="PivotTable7"/>
    <pivotTable tabId="3" name="PivotTable1"/>
  </pivotTables>
  <data>
    <tabular pivotCacheId="1250953996">
      <items count="4">
        <i x="2" s="1"/>
        <i x="1" s="1"/>
        <i x="0" s="1"/>
        <i x="3"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Date" xr10:uid="{707D4C5D-995E-4D39-BFD4-5CC462974C67}" sourceName="Months (Date)">
  <pivotTables>
    <pivotTable tabId="3" name="PivotTable6"/>
    <pivotTable tabId="3" name="PivotTable2"/>
    <pivotTable tabId="3" name="PivotTable3"/>
    <pivotTable tabId="3" name="PivotTable4"/>
    <pivotTable tabId="3" name="PivotTable5"/>
    <pivotTable tabId="3" name="PivotTable7"/>
    <pivotTable tabId="3" name="PivotTable1"/>
  </pivotTables>
  <data>
    <tabular pivotCacheId="1250953996">
      <items count="14">
        <i x="1" s="1"/>
        <i x="2" s="1"/>
        <i x="3" s="1"/>
        <i x="4" s="1"/>
        <i x="5" s="1"/>
        <i x="6" s="1"/>
        <i x="7" s="1"/>
        <i x="8" s="1"/>
        <i x="9" s="1"/>
        <i x="10" s="1"/>
        <i x="11" s="1"/>
        <i x="12" s="1"/>
        <i x="0" s="1" nd="1"/>
        <i x="13" s="1" nd="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ice_per_Unit" xr10:uid="{780D1927-326D-4B71-BDF5-9D1AFF731870}" sourceName="Price per Unit">
  <pivotTables>
    <pivotTable tabId="3" name="PivotTable3"/>
    <pivotTable tabId="3" name="PivotTable2"/>
    <pivotTable tabId="3" name="PivotTable4"/>
    <pivotTable tabId="3" name="PivotTable5"/>
    <pivotTable tabId="3" name="PivotTable6"/>
    <pivotTable tabId="3" name="PivotTable7"/>
    <pivotTable tabId="3" name="PivotTable1"/>
  </pivotTables>
  <data>
    <tabular pivotCacheId="1250953996">
      <items count="5">
        <i x="3" s="1"/>
        <i x="2" s="1"/>
        <i x="0" s="1"/>
        <i x="4" s="1"/>
        <i x="1"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Date" xr10:uid="{026D862E-AE12-40BF-8DF4-2BE4F8630304}" sourceName="Years (Date)">
  <pivotTables>
    <pivotTable tabId="3" name="PivotTable3"/>
    <pivotTable tabId="3" name="PivotTable2"/>
    <pivotTable tabId="3" name="PivotTable4"/>
    <pivotTable tabId="3" name="PivotTable5"/>
    <pivotTable tabId="3" name="PivotTable6"/>
    <pivotTable tabId="3" name="PivotTable7"/>
    <pivotTable tabId="3" name="PivotTable1"/>
  </pivotTables>
  <data>
    <tabular pivotCacheId="1250953996">
      <items count="4">
        <i x="1" s="1"/>
        <i x="2" s="1"/>
        <i x="0" s="1" nd="1"/>
        <i x="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1A5A5296-06D4-4EED-A053-0B11E9246AB6}" cache="Slicer_Gender" caption="Gender" rowHeight="241300"/>
  <slicer name="Age_Range" xr10:uid="{128658B9-FF19-40AF-9177-6AF44C398EBA}" cache="Slicer_Age_Range" caption="Age_Range" style="SlicerStyleDark1" rowHeight="241300"/>
  <slicer name="Product Category" xr10:uid="{3E7153A0-83B1-4A16-AEA2-8F23324F48F0}" cache="Slicer_Product_Category" caption="Product Category" style="SlicerStyleDark1" rowHeight="241300"/>
  <slicer name="Quantity" xr10:uid="{A8C1763D-64B3-45AC-999E-83FF2E8EADCF}" cache="Slicer_Quantity" caption="Quantity" style="SlicerStyleDark1" rowHeight="241300"/>
  <slicer name="Months (Date)" xr10:uid="{9CE6076D-F0AB-4F97-A5CB-D8F0805E1017}" cache="Slicer_Months__Date" caption="Months (Date)" columnCount="3" style="SlicerStyleDark1" rowHeight="241300"/>
  <slicer name="Price per Unit" xr10:uid="{BB09A933-8E92-4A48-95EA-5B79D7993283}" cache="Slicer_Price_per_Unit" caption="Price per Unit" style="SlicerStyleDark1" rowHeight="241300"/>
  <slicer name="Years (Date)" xr10:uid="{94D1A839-7F00-45AE-981C-469CF3BE63D8}" cache="Slicer_Years__Date" caption="Years (Date)" style="SlicerStyleDark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FDD2B5F-DA9D-4B70-922D-EEA31D2700E8}" name="Table1" displayName="Table1" ref="A1:J1001" totalsRowShown="0">
  <autoFilter ref="A1:J1001" xr:uid="{E1C08CAF-F17B-41CC-B728-7D86A7C9FED5}"/>
  <tableColumns count="10">
    <tableColumn id="1" xr3:uid="{2917C6A9-BD7E-48A2-BDA5-00227F290D34}" name="Transaction ID"/>
    <tableColumn id="2" xr3:uid="{1FED10BA-8A70-4B3E-B177-96DDA8E25383}" name="Date" dataDxfId="10"/>
    <tableColumn id="3" xr3:uid="{948DA092-3B1B-41A6-BB07-8E554B0E9823}" name="Customer ID"/>
    <tableColumn id="4" xr3:uid="{F7AD85B0-7539-44A8-B3CB-641315062F63}" name="Gender"/>
    <tableColumn id="5" xr3:uid="{E7B00F42-BC6D-4538-9D5D-B32E5E428CFC}" name="Age"/>
    <tableColumn id="10" xr3:uid="{7EE659C7-8C78-46D5-8D59-D16E4BE18FEE}" name="Age_Range" dataDxfId="9">
      <calculatedColumnFormula>IF(Table1[[#This Row],[Age]]&lt;=25,"Young",IF(Table1[[#This Row],[Age]]&gt;55,"Old",IF(Table1[[#This Row],[Age]]&gt;25,"Middle","Na")))</calculatedColumnFormula>
    </tableColumn>
    <tableColumn id="6" xr3:uid="{E55DCF34-8587-48DF-8536-48D327E0D748}" name="Product Category"/>
    <tableColumn id="7" xr3:uid="{32FF2A2F-1EE0-4BD0-9585-749D9FD867A5}" name="Quantity"/>
    <tableColumn id="8" xr3:uid="{C3B2EC9B-C502-4937-B064-D6E901DDF099}" name="Price per Unit"/>
    <tableColumn id="9" xr3:uid="{96C0CC69-8122-49FE-9E75-7692B5CD836E}" name="Total Amount"/>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B4F5144-3BC5-48C9-964C-4E1B366EC0BB}" name="Table14" displayName="Table14" ref="B3:K1003" totalsRowShown="0">
  <autoFilter ref="B3:K1003" xr:uid="{4B4F5144-3BC5-48C9-964C-4E1B366EC0BB}"/>
  <tableColumns count="10">
    <tableColumn id="1" xr3:uid="{51591220-89E7-44D3-AF99-69CD90F4E18C}" name="Transaction ID"/>
    <tableColumn id="2" xr3:uid="{A6364803-2663-4C93-94DE-45E33EAEB2E7}" name="Date" dataDxfId="8"/>
    <tableColumn id="3" xr3:uid="{71C74395-FC9D-4A48-8C79-C2B614905E1D}" name="Customer ID"/>
    <tableColumn id="4" xr3:uid="{19C2CE8E-AECA-4176-9F45-8D96937A045D}" name="Gender"/>
    <tableColumn id="5" xr3:uid="{E361EEDF-FE21-461D-9A7C-96A639BB527C}" name="Age"/>
    <tableColumn id="10" xr3:uid="{C00A7137-727E-4F39-886E-B42B6195261C}" name="Column1" dataDxfId="7">
      <calculatedColumnFormula>IF(Table14[[#This Row],[Age]]&lt;=25,"Young",IF(Table14[[#This Row],[Age]]&gt;55,"Old",IF(Table14[[#This Row],[Age]]&gt;25,"Middle","Na")))</calculatedColumnFormula>
    </tableColumn>
    <tableColumn id="6" xr3:uid="{BAD7C2EE-AEDF-44B9-B741-99A56DEB5CE8}" name="Product Category"/>
    <tableColumn id="7" xr3:uid="{5F1FEB98-4236-4AC6-8097-9B3DDE0F19EA}" name="Quantity"/>
    <tableColumn id="8" xr3:uid="{A8A8DE24-DEF1-4F71-A77B-8556FFFE2436}" name="Price per Unit"/>
    <tableColumn id="9" xr3:uid="{C2BC7C09-0283-43E5-90CB-C9A9AD1A1094}" name="Total Amount"/>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B6BE90A-3063-4F53-A387-CB4E41E14434}" name="Table4" displayName="Table4" ref="N5:R1005" totalsRowShown="0" headerRowDxfId="6" dataDxfId="0">
  <sortState xmlns:xlrd2="http://schemas.microsoft.com/office/spreadsheetml/2017/richdata2" ref="N7:R775">
    <sortCondition descending="1" ref="P5:P1005"/>
  </sortState>
  <tableColumns count="5">
    <tableColumn id="1" xr3:uid="{6FCBE30C-67B2-4A24-B858-BA233A60C188}" name="Customer ID" dataDxfId="5"/>
    <tableColumn id="6" xr3:uid="{B25C5444-FD8E-4B95-A8BA-98EEB4D77830}" name="Product Category" dataDxfId="4"/>
    <tableColumn id="2" xr3:uid="{81A8DFA4-785C-4774-B4B7-41C1C4CE3574}" name="units" dataDxfId="3">
      <calculatedColumnFormula>K4/J4</calculatedColumnFormula>
    </tableColumn>
    <tableColumn id="3" xr3:uid="{805FC00E-7E2B-43A6-A36B-C1F50D2C0DE1}" name="Total Amount" dataDxfId="2"/>
    <tableColumn id="4" xr3:uid="{22AC5E8A-B5D2-43C1-8653-058E3562C225}" name=" " dataDxfId="1"/>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996A84-E7BB-4809-AB8B-031C6605FA77}">
  <dimension ref="A1:I1001"/>
  <sheetViews>
    <sheetView workbookViewId="0">
      <selection sqref="A1:I1001"/>
    </sheetView>
  </sheetViews>
  <sheetFormatPr defaultRowHeight="14.5" x14ac:dyDescent="0.35"/>
  <sheetData>
    <row r="1" spans="1:9" x14ac:dyDescent="0.35">
      <c r="A1" t="s">
        <v>0</v>
      </c>
      <c r="B1" t="s">
        <v>1</v>
      </c>
      <c r="C1" t="s">
        <v>2</v>
      </c>
      <c r="D1" t="s">
        <v>3</v>
      </c>
      <c r="E1" t="s">
        <v>4</v>
      </c>
      <c r="F1" t="s">
        <v>5</v>
      </c>
      <c r="G1" t="s">
        <v>6</v>
      </c>
      <c r="H1" t="s">
        <v>7</v>
      </c>
      <c r="I1" t="s">
        <v>8</v>
      </c>
    </row>
    <row r="2" spans="1:9" x14ac:dyDescent="0.35">
      <c r="A2">
        <v>1</v>
      </c>
      <c r="B2" s="1">
        <v>45254</v>
      </c>
      <c r="C2" t="s">
        <v>9</v>
      </c>
      <c r="D2" t="s">
        <v>10</v>
      </c>
      <c r="E2">
        <v>34</v>
      </c>
      <c r="F2" t="s">
        <v>11</v>
      </c>
      <c r="G2">
        <v>3</v>
      </c>
      <c r="H2">
        <v>50</v>
      </c>
      <c r="I2">
        <v>150</v>
      </c>
    </row>
    <row r="3" spans="1:9" x14ac:dyDescent="0.35">
      <c r="A3">
        <v>2</v>
      </c>
      <c r="B3" s="1">
        <v>44984</v>
      </c>
      <c r="C3" t="s">
        <v>12</v>
      </c>
      <c r="D3" t="s">
        <v>13</v>
      </c>
      <c r="E3">
        <v>26</v>
      </c>
      <c r="F3" t="s">
        <v>14</v>
      </c>
      <c r="G3">
        <v>2</v>
      </c>
      <c r="H3">
        <v>500</v>
      </c>
      <c r="I3">
        <v>1000</v>
      </c>
    </row>
    <row r="4" spans="1:9" x14ac:dyDescent="0.35">
      <c r="A4">
        <v>3</v>
      </c>
      <c r="B4" s="1">
        <v>44939</v>
      </c>
      <c r="C4" t="s">
        <v>15</v>
      </c>
      <c r="D4" t="s">
        <v>10</v>
      </c>
      <c r="E4">
        <v>50</v>
      </c>
      <c r="F4" t="s">
        <v>16</v>
      </c>
      <c r="G4">
        <v>1</v>
      </c>
      <c r="H4">
        <v>30</v>
      </c>
      <c r="I4">
        <v>30</v>
      </c>
    </row>
    <row r="5" spans="1:9" x14ac:dyDescent="0.35">
      <c r="A5">
        <v>4</v>
      </c>
      <c r="B5" s="1">
        <v>45067</v>
      </c>
      <c r="C5" t="s">
        <v>17</v>
      </c>
      <c r="D5" t="s">
        <v>10</v>
      </c>
      <c r="E5">
        <v>37</v>
      </c>
      <c r="F5" t="s">
        <v>14</v>
      </c>
      <c r="G5">
        <v>1</v>
      </c>
      <c r="H5">
        <v>500</v>
      </c>
      <c r="I5">
        <v>500</v>
      </c>
    </row>
    <row r="6" spans="1:9" x14ac:dyDescent="0.35">
      <c r="A6">
        <v>5</v>
      </c>
      <c r="B6" s="1">
        <v>45052</v>
      </c>
      <c r="C6" t="s">
        <v>18</v>
      </c>
      <c r="D6" t="s">
        <v>10</v>
      </c>
      <c r="E6">
        <v>30</v>
      </c>
      <c r="F6" t="s">
        <v>11</v>
      </c>
      <c r="G6">
        <v>2</v>
      </c>
      <c r="H6">
        <v>50</v>
      </c>
      <c r="I6">
        <v>100</v>
      </c>
    </row>
    <row r="7" spans="1:9" x14ac:dyDescent="0.35">
      <c r="A7">
        <v>6</v>
      </c>
      <c r="B7" s="1">
        <v>45041</v>
      </c>
      <c r="C7" t="s">
        <v>19</v>
      </c>
      <c r="D7" t="s">
        <v>13</v>
      </c>
      <c r="E7">
        <v>45</v>
      </c>
      <c r="F7" t="s">
        <v>11</v>
      </c>
      <c r="G7">
        <v>1</v>
      </c>
      <c r="H7">
        <v>30</v>
      </c>
      <c r="I7">
        <v>30</v>
      </c>
    </row>
    <row r="8" spans="1:9" x14ac:dyDescent="0.35">
      <c r="A8">
        <v>7</v>
      </c>
      <c r="B8" s="1">
        <v>44998</v>
      </c>
      <c r="C8" t="s">
        <v>20</v>
      </c>
      <c r="D8" t="s">
        <v>10</v>
      </c>
      <c r="E8">
        <v>46</v>
      </c>
      <c r="F8" t="s">
        <v>14</v>
      </c>
      <c r="G8">
        <v>2</v>
      </c>
      <c r="H8">
        <v>25</v>
      </c>
      <c r="I8">
        <v>50</v>
      </c>
    </row>
    <row r="9" spans="1:9" x14ac:dyDescent="0.35">
      <c r="A9">
        <v>8</v>
      </c>
      <c r="B9" s="1">
        <v>44979</v>
      </c>
      <c r="C9" t="s">
        <v>21</v>
      </c>
      <c r="D9" t="s">
        <v>10</v>
      </c>
      <c r="E9">
        <v>30</v>
      </c>
      <c r="F9" t="s">
        <v>16</v>
      </c>
      <c r="G9">
        <v>4</v>
      </c>
      <c r="H9">
        <v>25</v>
      </c>
      <c r="I9">
        <v>100</v>
      </c>
    </row>
    <row r="10" spans="1:9" x14ac:dyDescent="0.35">
      <c r="A10">
        <v>9</v>
      </c>
      <c r="B10" s="1">
        <v>45273</v>
      </c>
      <c r="C10" t="s">
        <v>22</v>
      </c>
      <c r="D10" t="s">
        <v>10</v>
      </c>
      <c r="E10">
        <v>63</v>
      </c>
      <c r="F10" t="s">
        <v>16</v>
      </c>
      <c r="G10">
        <v>2</v>
      </c>
      <c r="H10">
        <v>300</v>
      </c>
      <c r="I10">
        <v>600</v>
      </c>
    </row>
    <row r="11" spans="1:9" x14ac:dyDescent="0.35">
      <c r="A11">
        <v>10</v>
      </c>
      <c r="B11" s="1">
        <v>45206</v>
      </c>
      <c r="C11" t="s">
        <v>23</v>
      </c>
      <c r="D11" t="s">
        <v>13</v>
      </c>
      <c r="E11">
        <v>52</v>
      </c>
      <c r="F11" t="s">
        <v>14</v>
      </c>
      <c r="G11">
        <v>4</v>
      </c>
      <c r="H11">
        <v>50</v>
      </c>
      <c r="I11">
        <v>200</v>
      </c>
    </row>
    <row r="12" spans="1:9" x14ac:dyDescent="0.35">
      <c r="A12">
        <v>11</v>
      </c>
      <c r="B12" s="1">
        <v>44971</v>
      </c>
      <c r="C12" t="s">
        <v>24</v>
      </c>
      <c r="D12" t="s">
        <v>10</v>
      </c>
      <c r="E12">
        <v>23</v>
      </c>
      <c r="F12" t="s">
        <v>14</v>
      </c>
      <c r="G12">
        <v>2</v>
      </c>
      <c r="H12">
        <v>50</v>
      </c>
      <c r="I12">
        <v>100</v>
      </c>
    </row>
    <row r="13" spans="1:9" x14ac:dyDescent="0.35">
      <c r="A13">
        <v>12</v>
      </c>
      <c r="B13" s="1">
        <v>45229</v>
      </c>
      <c r="C13" t="s">
        <v>25</v>
      </c>
      <c r="D13" t="s">
        <v>10</v>
      </c>
      <c r="E13">
        <v>35</v>
      </c>
      <c r="F13" t="s">
        <v>11</v>
      </c>
      <c r="G13">
        <v>3</v>
      </c>
      <c r="H13">
        <v>25</v>
      </c>
      <c r="I13">
        <v>75</v>
      </c>
    </row>
    <row r="14" spans="1:9" x14ac:dyDescent="0.35">
      <c r="A14">
        <v>13</v>
      </c>
      <c r="B14" s="1">
        <v>45143</v>
      </c>
      <c r="C14" t="s">
        <v>26</v>
      </c>
      <c r="D14" t="s">
        <v>10</v>
      </c>
      <c r="E14">
        <v>22</v>
      </c>
      <c r="F14" t="s">
        <v>16</v>
      </c>
      <c r="G14">
        <v>3</v>
      </c>
      <c r="H14">
        <v>500</v>
      </c>
      <c r="I14">
        <v>1500</v>
      </c>
    </row>
    <row r="15" spans="1:9" x14ac:dyDescent="0.35">
      <c r="A15">
        <v>14</v>
      </c>
      <c r="B15" s="1">
        <v>44943</v>
      </c>
      <c r="C15" t="s">
        <v>27</v>
      </c>
      <c r="D15" t="s">
        <v>10</v>
      </c>
      <c r="E15">
        <v>64</v>
      </c>
      <c r="F15" t="s">
        <v>14</v>
      </c>
      <c r="G15">
        <v>4</v>
      </c>
      <c r="H15">
        <v>30</v>
      </c>
      <c r="I15">
        <v>120</v>
      </c>
    </row>
    <row r="16" spans="1:9" x14ac:dyDescent="0.35">
      <c r="A16">
        <v>15</v>
      </c>
      <c r="B16" s="1">
        <v>44942</v>
      </c>
      <c r="C16" t="s">
        <v>28</v>
      </c>
      <c r="D16" t="s">
        <v>13</v>
      </c>
      <c r="E16">
        <v>42</v>
      </c>
      <c r="F16" t="s">
        <v>16</v>
      </c>
      <c r="G16">
        <v>4</v>
      </c>
      <c r="H16">
        <v>500</v>
      </c>
      <c r="I16">
        <v>2000</v>
      </c>
    </row>
    <row r="17" spans="1:9" x14ac:dyDescent="0.35">
      <c r="A17">
        <v>16</v>
      </c>
      <c r="B17" s="1">
        <v>44974</v>
      </c>
      <c r="C17" t="s">
        <v>29</v>
      </c>
      <c r="D17" t="s">
        <v>10</v>
      </c>
      <c r="E17">
        <v>19</v>
      </c>
      <c r="F17" t="s">
        <v>14</v>
      </c>
      <c r="G17">
        <v>3</v>
      </c>
      <c r="H17">
        <v>500</v>
      </c>
      <c r="I17">
        <v>1500</v>
      </c>
    </row>
    <row r="18" spans="1:9" x14ac:dyDescent="0.35">
      <c r="A18">
        <v>17</v>
      </c>
      <c r="B18" s="1">
        <v>45038</v>
      </c>
      <c r="C18" t="s">
        <v>30</v>
      </c>
      <c r="D18" t="s">
        <v>13</v>
      </c>
      <c r="E18">
        <v>27</v>
      </c>
      <c r="F18" t="s">
        <v>14</v>
      </c>
      <c r="G18">
        <v>4</v>
      </c>
      <c r="H18">
        <v>25</v>
      </c>
      <c r="I18">
        <v>100</v>
      </c>
    </row>
    <row r="19" spans="1:9" x14ac:dyDescent="0.35">
      <c r="A19">
        <v>18</v>
      </c>
      <c r="B19" s="1">
        <v>45046</v>
      </c>
      <c r="C19" t="s">
        <v>31</v>
      </c>
      <c r="D19" t="s">
        <v>13</v>
      </c>
      <c r="E19">
        <v>47</v>
      </c>
      <c r="F19" t="s">
        <v>16</v>
      </c>
      <c r="G19">
        <v>2</v>
      </c>
      <c r="H19">
        <v>25</v>
      </c>
      <c r="I19">
        <v>50</v>
      </c>
    </row>
    <row r="20" spans="1:9" x14ac:dyDescent="0.35">
      <c r="A20">
        <v>19</v>
      </c>
      <c r="B20" s="1">
        <v>45185</v>
      </c>
      <c r="C20" t="s">
        <v>32</v>
      </c>
      <c r="D20" t="s">
        <v>13</v>
      </c>
      <c r="E20">
        <v>62</v>
      </c>
      <c r="F20" t="s">
        <v>14</v>
      </c>
      <c r="G20">
        <v>2</v>
      </c>
      <c r="H20">
        <v>25</v>
      </c>
      <c r="I20">
        <v>50</v>
      </c>
    </row>
    <row r="21" spans="1:9" x14ac:dyDescent="0.35">
      <c r="A21">
        <v>20</v>
      </c>
      <c r="B21" s="1">
        <v>45235</v>
      </c>
      <c r="C21" t="s">
        <v>33</v>
      </c>
      <c r="D21" t="s">
        <v>10</v>
      </c>
      <c r="E21">
        <v>22</v>
      </c>
      <c r="F21" t="s">
        <v>14</v>
      </c>
      <c r="G21">
        <v>3</v>
      </c>
      <c r="H21">
        <v>300</v>
      </c>
      <c r="I21">
        <v>900</v>
      </c>
    </row>
    <row r="22" spans="1:9" x14ac:dyDescent="0.35">
      <c r="A22">
        <v>21</v>
      </c>
      <c r="B22" s="1">
        <v>44940</v>
      </c>
      <c r="C22" t="s">
        <v>34</v>
      </c>
      <c r="D22" t="s">
        <v>13</v>
      </c>
      <c r="E22">
        <v>50</v>
      </c>
      <c r="F22" t="s">
        <v>11</v>
      </c>
      <c r="G22">
        <v>1</v>
      </c>
      <c r="H22">
        <v>500</v>
      </c>
      <c r="I22">
        <v>500</v>
      </c>
    </row>
    <row r="23" spans="1:9" x14ac:dyDescent="0.35">
      <c r="A23">
        <v>22</v>
      </c>
      <c r="B23" s="1">
        <v>45214</v>
      </c>
      <c r="C23" t="s">
        <v>35</v>
      </c>
      <c r="D23" t="s">
        <v>10</v>
      </c>
      <c r="E23">
        <v>18</v>
      </c>
      <c r="F23" t="s">
        <v>14</v>
      </c>
      <c r="G23">
        <v>2</v>
      </c>
      <c r="H23">
        <v>50</v>
      </c>
      <c r="I23">
        <v>100</v>
      </c>
    </row>
    <row r="24" spans="1:9" x14ac:dyDescent="0.35">
      <c r="A24">
        <v>23</v>
      </c>
      <c r="B24" s="1">
        <v>45028</v>
      </c>
      <c r="C24" t="s">
        <v>36</v>
      </c>
      <c r="D24" t="s">
        <v>13</v>
      </c>
      <c r="E24">
        <v>35</v>
      </c>
      <c r="F24" t="s">
        <v>14</v>
      </c>
      <c r="G24">
        <v>4</v>
      </c>
      <c r="H24">
        <v>30</v>
      </c>
      <c r="I24">
        <v>120</v>
      </c>
    </row>
    <row r="25" spans="1:9" x14ac:dyDescent="0.35">
      <c r="A25">
        <v>24</v>
      </c>
      <c r="B25" s="1">
        <v>45259</v>
      </c>
      <c r="C25" t="s">
        <v>37</v>
      </c>
      <c r="D25" t="s">
        <v>13</v>
      </c>
      <c r="E25">
        <v>49</v>
      </c>
      <c r="F25" t="s">
        <v>14</v>
      </c>
      <c r="G25">
        <v>1</v>
      </c>
      <c r="H25">
        <v>300</v>
      </c>
      <c r="I25">
        <v>300</v>
      </c>
    </row>
    <row r="26" spans="1:9" x14ac:dyDescent="0.35">
      <c r="A26">
        <v>25</v>
      </c>
      <c r="B26" s="1">
        <v>45286</v>
      </c>
      <c r="C26" t="s">
        <v>38</v>
      </c>
      <c r="D26" t="s">
        <v>13</v>
      </c>
      <c r="E26">
        <v>64</v>
      </c>
      <c r="F26" t="s">
        <v>11</v>
      </c>
      <c r="G26">
        <v>1</v>
      </c>
      <c r="H26">
        <v>50</v>
      </c>
      <c r="I26">
        <v>50</v>
      </c>
    </row>
    <row r="27" spans="1:9" x14ac:dyDescent="0.35">
      <c r="A27">
        <v>26</v>
      </c>
      <c r="B27" s="1">
        <v>45206</v>
      </c>
      <c r="C27" t="s">
        <v>39</v>
      </c>
      <c r="D27" t="s">
        <v>13</v>
      </c>
      <c r="E27">
        <v>28</v>
      </c>
      <c r="F27" t="s">
        <v>16</v>
      </c>
      <c r="G27">
        <v>2</v>
      </c>
      <c r="H27">
        <v>500</v>
      </c>
      <c r="I27">
        <v>1000</v>
      </c>
    </row>
    <row r="28" spans="1:9" x14ac:dyDescent="0.35">
      <c r="A28">
        <v>27</v>
      </c>
      <c r="B28" s="1">
        <v>45141</v>
      </c>
      <c r="C28" t="s">
        <v>40</v>
      </c>
      <c r="D28" t="s">
        <v>13</v>
      </c>
      <c r="E28">
        <v>38</v>
      </c>
      <c r="F28" t="s">
        <v>11</v>
      </c>
      <c r="G28">
        <v>2</v>
      </c>
      <c r="H28">
        <v>25</v>
      </c>
      <c r="I28">
        <v>50</v>
      </c>
    </row>
    <row r="29" spans="1:9" x14ac:dyDescent="0.35">
      <c r="A29">
        <v>28</v>
      </c>
      <c r="B29" s="1">
        <v>45039</v>
      </c>
      <c r="C29" t="s">
        <v>41</v>
      </c>
      <c r="D29" t="s">
        <v>13</v>
      </c>
      <c r="E29">
        <v>43</v>
      </c>
      <c r="F29" t="s">
        <v>11</v>
      </c>
      <c r="G29">
        <v>1</v>
      </c>
      <c r="H29">
        <v>500</v>
      </c>
      <c r="I29">
        <v>500</v>
      </c>
    </row>
    <row r="30" spans="1:9" x14ac:dyDescent="0.35">
      <c r="A30">
        <v>29</v>
      </c>
      <c r="B30" s="1">
        <v>45156</v>
      </c>
      <c r="C30" t="s">
        <v>42</v>
      </c>
      <c r="D30" t="s">
        <v>13</v>
      </c>
      <c r="E30">
        <v>42</v>
      </c>
      <c r="F30" t="s">
        <v>16</v>
      </c>
      <c r="G30">
        <v>1</v>
      </c>
      <c r="H30">
        <v>30</v>
      </c>
      <c r="I30">
        <v>30</v>
      </c>
    </row>
    <row r="31" spans="1:9" x14ac:dyDescent="0.35">
      <c r="A31">
        <v>30</v>
      </c>
      <c r="B31" s="1">
        <v>45228</v>
      </c>
      <c r="C31" t="s">
        <v>43</v>
      </c>
      <c r="D31" t="s">
        <v>13</v>
      </c>
      <c r="E31">
        <v>39</v>
      </c>
      <c r="F31" t="s">
        <v>11</v>
      </c>
      <c r="G31">
        <v>3</v>
      </c>
      <c r="H31">
        <v>300</v>
      </c>
      <c r="I31">
        <v>900</v>
      </c>
    </row>
    <row r="32" spans="1:9" x14ac:dyDescent="0.35">
      <c r="A32">
        <v>31</v>
      </c>
      <c r="B32" s="1">
        <v>45069</v>
      </c>
      <c r="C32" t="s">
        <v>44</v>
      </c>
      <c r="D32" t="s">
        <v>10</v>
      </c>
      <c r="E32">
        <v>44</v>
      </c>
      <c r="F32" t="s">
        <v>16</v>
      </c>
      <c r="G32">
        <v>4</v>
      </c>
      <c r="H32">
        <v>300</v>
      </c>
      <c r="I32">
        <v>1200</v>
      </c>
    </row>
    <row r="33" spans="1:9" x14ac:dyDescent="0.35">
      <c r="A33">
        <v>32</v>
      </c>
      <c r="B33" s="1">
        <v>44930</v>
      </c>
      <c r="C33" t="s">
        <v>45</v>
      </c>
      <c r="D33" t="s">
        <v>10</v>
      </c>
      <c r="E33">
        <v>30</v>
      </c>
      <c r="F33" t="s">
        <v>11</v>
      </c>
      <c r="G33">
        <v>3</v>
      </c>
      <c r="H33">
        <v>30</v>
      </c>
      <c r="I33">
        <v>90</v>
      </c>
    </row>
    <row r="34" spans="1:9" x14ac:dyDescent="0.35">
      <c r="A34">
        <v>33</v>
      </c>
      <c r="B34" s="1">
        <v>45008</v>
      </c>
      <c r="C34" t="s">
        <v>46</v>
      </c>
      <c r="D34" t="s">
        <v>13</v>
      </c>
      <c r="E34">
        <v>50</v>
      </c>
      <c r="F34" t="s">
        <v>16</v>
      </c>
      <c r="G34">
        <v>2</v>
      </c>
      <c r="H34">
        <v>50</v>
      </c>
      <c r="I34">
        <v>100</v>
      </c>
    </row>
    <row r="35" spans="1:9" x14ac:dyDescent="0.35">
      <c r="A35">
        <v>34</v>
      </c>
      <c r="B35" s="1">
        <v>45284</v>
      </c>
      <c r="C35" t="s">
        <v>47</v>
      </c>
      <c r="D35" t="s">
        <v>13</v>
      </c>
      <c r="E35">
        <v>51</v>
      </c>
      <c r="F35" t="s">
        <v>14</v>
      </c>
      <c r="G35">
        <v>3</v>
      </c>
      <c r="H35">
        <v>50</v>
      </c>
      <c r="I35">
        <v>150</v>
      </c>
    </row>
    <row r="36" spans="1:9" x14ac:dyDescent="0.35">
      <c r="A36">
        <v>35</v>
      </c>
      <c r="B36" s="1">
        <v>45143</v>
      </c>
      <c r="C36" t="s">
        <v>48</v>
      </c>
      <c r="D36" t="s">
        <v>13</v>
      </c>
      <c r="E36">
        <v>58</v>
      </c>
      <c r="F36" t="s">
        <v>11</v>
      </c>
      <c r="G36">
        <v>3</v>
      </c>
      <c r="H36">
        <v>300</v>
      </c>
      <c r="I36">
        <v>900</v>
      </c>
    </row>
    <row r="37" spans="1:9" x14ac:dyDescent="0.35">
      <c r="A37">
        <v>36</v>
      </c>
      <c r="B37" s="1">
        <v>45101</v>
      </c>
      <c r="C37" t="s">
        <v>49</v>
      </c>
      <c r="D37" t="s">
        <v>10</v>
      </c>
      <c r="E37">
        <v>52</v>
      </c>
      <c r="F37" t="s">
        <v>11</v>
      </c>
      <c r="G37">
        <v>3</v>
      </c>
      <c r="H37">
        <v>300</v>
      </c>
      <c r="I37">
        <v>900</v>
      </c>
    </row>
    <row r="38" spans="1:9" x14ac:dyDescent="0.35">
      <c r="A38">
        <v>37</v>
      </c>
      <c r="B38" s="1">
        <v>45069</v>
      </c>
      <c r="C38" t="s">
        <v>50</v>
      </c>
      <c r="D38" t="s">
        <v>13</v>
      </c>
      <c r="E38">
        <v>18</v>
      </c>
      <c r="F38" t="s">
        <v>11</v>
      </c>
      <c r="G38">
        <v>3</v>
      </c>
      <c r="H38">
        <v>25</v>
      </c>
      <c r="I38">
        <v>75</v>
      </c>
    </row>
    <row r="39" spans="1:9" x14ac:dyDescent="0.35">
      <c r="A39">
        <v>38</v>
      </c>
      <c r="B39" s="1">
        <v>45006</v>
      </c>
      <c r="C39" t="s">
        <v>51</v>
      </c>
      <c r="D39" t="s">
        <v>10</v>
      </c>
      <c r="E39">
        <v>38</v>
      </c>
      <c r="F39" t="s">
        <v>11</v>
      </c>
      <c r="G39">
        <v>4</v>
      </c>
      <c r="H39">
        <v>50</v>
      </c>
      <c r="I39">
        <v>200</v>
      </c>
    </row>
    <row r="40" spans="1:9" x14ac:dyDescent="0.35">
      <c r="A40">
        <v>39</v>
      </c>
      <c r="B40" s="1">
        <v>45037</v>
      </c>
      <c r="C40" t="s">
        <v>52</v>
      </c>
      <c r="D40" t="s">
        <v>10</v>
      </c>
      <c r="E40">
        <v>23</v>
      </c>
      <c r="F40" t="s">
        <v>14</v>
      </c>
      <c r="G40">
        <v>4</v>
      </c>
      <c r="H40">
        <v>30</v>
      </c>
      <c r="I40">
        <v>120</v>
      </c>
    </row>
    <row r="41" spans="1:9" x14ac:dyDescent="0.35">
      <c r="A41">
        <v>40</v>
      </c>
      <c r="B41" s="1">
        <v>45099</v>
      </c>
      <c r="C41" t="s">
        <v>53</v>
      </c>
      <c r="D41" t="s">
        <v>10</v>
      </c>
      <c r="E41">
        <v>45</v>
      </c>
      <c r="F41" t="s">
        <v>11</v>
      </c>
      <c r="G41">
        <v>1</v>
      </c>
      <c r="H41">
        <v>50</v>
      </c>
      <c r="I41">
        <v>50</v>
      </c>
    </row>
    <row r="42" spans="1:9" x14ac:dyDescent="0.35">
      <c r="A42">
        <v>41</v>
      </c>
      <c r="B42" s="1">
        <v>44979</v>
      </c>
      <c r="C42" t="s">
        <v>54</v>
      </c>
      <c r="D42" t="s">
        <v>10</v>
      </c>
      <c r="E42">
        <v>34</v>
      </c>
      <c r="F42" t="s">
        <v>14</v>
      </c>
      <c r="G42">
        <v>2</v>
      </c>
      <c r="H42">
        <v>25</v>
      </c>
      <c r="I42">
        <v>50</v>
      </c>
    </row>
    <row r="43" spans="1:9" x14ac:dyDescent="0.35">
      <c r="A43">
        <v>42</v>
      </c>
      <c r="B43" s="1">
        <v>44974</v>
      </c>
      <c r="C43" t="s">
        <v>55</v>
      </c>
      <c r="D43" t="s">
        <v>10</v>
      </c>
      <c r="E43">
        <v>22</v>
      </c>
      <c r="F43" t="s">
        <v>14</v>
      </c>
      <c r="G43">
        <v>3</v>
      </c>
      <c r="H43">
        <v>300</v>
      </c>
      <c r="I43">
        <v>900</v>
      </c>
    </row>
    <row r="44" spans="1:9" x14ac:dyDescent="0.35">
      <c r="A44">
        <v>43</v>
      </c>
      <c r="B44" s="1">
        <v>45121</v>
      </c>
      <c r="C44" t="s">
        <v>56</v>
      </c>
      <c r="D44" t="s">
        <v>13</v>
      </c>
      <c r="E44">
        <v>48</v>
      </c>
      <c r="F44" t="s">
        <v>14</v>
      </c>
      <c r="G44">
        <v>1</v>
      </c>
      <c r="H44">
        <v>300</v>
      </c>
      <c r="I44">
        <v>300</v>
      </c>
    </row>
    <row r="45" spans="1:9" x14ac:dyDescent="0.35">
      <c r="A45">
        <v>44</v>
      </c>
      <c r="B45" s="1">
        <v>44976</v>
      </c>
      <c r="C45" t="s">
        <v>57</v>
      </c>
      <c r="D45" t="s">
        <v>13</v>
      </c>
      <c r="E45">
        <v>22</v>
      </c>
      <c r="F45" t="s">
        <v>14</v>
      </c>
      <c r="G45">
        <v>1</v>
      </c>
      <c r="H45">
        <v>25</v>
      </c>
      <c r="I45">
        <v>25</v>
      </c>
    </row>
    <row r="46" spans="1:9" x14ac:dyDescent="0.35">
      <c r="A46">
        <v>45</v>
      </c>
      <c r="B46" s="1">
        <v>45110</v>
      </c>
      <c r="C46" t="s">
        <v>58</v>
      </c>
      <c r="D46" t="s">
        <v>13</v>
      </c>
      <c r="E46">
        <v>55</v>
      </c>
      <c r="F46" t="s">
        <v>16</v>
      </c>
      <c r="G46">
        <v>1</v>
      </c>
      <c r="H46">
        <v>30</v>
      </c>
      <c r="I46">
        <v>30</v>
      </c>
    </row>
    <row r="47" spans="1:9" x14ac:dyDescent="0.35">
      <c r="A47">
        <v>46</v>
      </c>
      <c r="B47" s="1">
        <v>45103</v>
      </c>
      <c r="C47" t="s">
        <v>59</v>
      </c>
      <c r="D47" t="s">
        <v>13</v>
      </c>
      <c r="E47">
        <v>20</v>
      </c>
      <c r="F47" t="s">
        <v>16</v>
      </c>
      <c r="G47">
        <v>4</v>
      </c>
      <c r="H47">
        <v>300</v>
      </c>
      <c r="I47">
        <v>1200</v>
      </c>
    </row>
    <row r="48" spans="1:9" x14ac:dyDescent="0.35">
      <c r="A48">
        <v>47</v>
      </c>
      <c r="B48" s="1">
        <v>45236</v>
      </c>
      <c r="C48" t="s">
        <v>60</v>
      </c>
      <c r="D48" t="s">
        <v>13</v>
      </c>
      <c r="E48">
        <v>40</v>
      </c>
      <c r="F48" t="s">
        <v>11</v>
      </c>
      <c r="G48">
        <v>3</v>
      </c>
      <c r="H48">
        <v>500</v>
      </c>
      <c r="I48">
        <v>1500</v>
      </c>
    </row>
    <row r="49" spans="1:9" x14ac:dyDescent="0.35">
      <c r="A49">
        <v>48</v>
      </c>
      <c r="B49" s="1">
        <v>45062</v>
      </c>
      <c r="C49" t="s">
        <v>61</v>
      </c>
      <c r="D49" t="s">
        <v>10</v>
      </c>
      <c r="E49">
        <v>54</v>
      </c>
      <c r="F49" t="s">
        <v>16</v>
      </c>
      <c r="G49">
        <v>3</v>
      </c>
      <c r="H49">
        <v>300</v>
      </c>
      <c r="I49">
        <v>900</v>
      </c>
    </row>
    <row r="50" spans="1:9" x14ac:dyDescent="0.35">
      <c r="A50">
        <v>49</v>
      </c>
      <c r="B50" s="1">
        <v>44949</v>
      </c>
      <c r="C50" t="s">
        <v>62</v>
      </c>
      <c r="D50" t="s">
        <v>13</v>
      </c>
      <c r="E50">
        <v>54</v>
      </c>
      <c r="F50" t="s">
        <v>16</v>
      </c>
      <c r="G50">
        <v>2</v>
      </c>
      <c r="H50">
        <v>500</v>
      </c>
      <c r="I50">
        <v>1000</v>
      </c>
    </row>
    <row r="51" spans="1:9" x14ac:dyDescent="0.35">
      <c r="A51">
        <v>50</v>
      </c>
      <c r="B51" s="1">
        <v>45162</v>
      </c>
      <c r="C51" t="s">
        <v>63</v>
      </c>
      <c r="D51" t="s">
        <v>13</v>
      </c>
      <c r="E51">
        <v>27</v>
      </c>
      <c r="F51" t="s">
        <v>11</v>
      </c>
      <c r="G51">
        <v>3</v>
      </c>
      <c r="H51">
        <v>25</v>
      </c>
      <c r="I51">
        <v>75</v>
      </c>
    </row>
    <row r="52" spans="1:9" x14ac:dyDescent="0.35">
      <c r="A52">
        <v>51</v>
      </c>
      <c r="B52" s="1">
        <v>45201</v>
      </c>
      <c r="C52" t="s">
        <v>64</v>
      </c>
      <c r="D52" t="s">
        <v>10</v>
      </c>
      <c r="E52">
        <v>27</v>
      </c>
      <c r="F52" t="s">
        <v>11</v>
      </c>
      <c r="G52">
        <v>3</v>
      </c>
      <c r="H52">
        <v>25</v>
      </c>
      <c r="I52">
        <v>75</v>
      </c>
    </row>
    <row r="53" spans="1:9" x14ac:dyDescent="0.35">
      <c r="A53">
        <v>52</v>
      </c>
      <c r="B53" s="1">
        <v>44990</v>
      </c>
      <c r="C53" t="s">
        <v>65</v>
      </c>
      <c r="D53" t="s">
        <v>13</v>
      </c>
      <c r="E53">
        <v>36</v>
      </c>
      <c r="F53" t="s">
        <v>11</v>
      </c>
      <c r="G53">
        <v>1</v>
      </c>
      <c r="H53">
        <v>300</v>
      </c>
      <c r="I53">
        <v>300</v>
      </c>
    </row>
    <row r="54" spans="1:9" x14ac:dyDescent="0.35">
      <c r="A54">
        <v>53</v>
      </c>
      <c r="B54" s="1">
        <v>45120</v>
      </c>
      <c r="C54" t="s">
        <v>66</v>
      </c>
      <c r="D54" t="s">
        <v>10</v>
      </c>
      <c r="E54">
        <v>34</v>
      </c>
      <c r="F54" t="s">
        <v>16</v>
      </c>
      <c r="G54">
        <v>2</v>
      </c>
      <c r="H54">
        <v>50</v>
      </c>
      <c r="I54">
        <v>100</v>
      </c>
    </row>
    <row r="55" spans="1:9" x14ac:dyDescent="0.35">
      <c r="A55">
        <v>54</v>
      </c>
      <c r="B55" s="1">
        <v>44967</v>
      </c>
      <c r="C55" t="s">
        <v>67</v>
      </c>
      <c r="D55" t="s">
        <v>13</v>
      </c>
      <c r="E55">
        <v>38</v>
      </c>
      <c r="F55" t="s">
        <v>16</v>
      </c>
      <c r="G55">
        <v>3</v>
      </c>
      <c r="H55">
        <v>500</v>
      </c>
      <c r="I55">
        <v>1500</v>
      </c>
    </row>
    <row r="56" spans="1:9" x14ac:dyDescent="0.35">
      <c r="A56">
        <v>55</v>
      </c>
      <c r="B56" s="1">
        <v>45209</v>
      </c>
      <c r="C56" t="s">
        <v>68</v>
      </c>
      <c r="D56" t="s">
        <v>10</v>
      </c>
      <c r="E56">
        <v>31</v>
      </c>
      <c r="F56" t="s">
        <v>11</v>
      </c>
      <c r="G56">
        <v>4</v>
      </c>
      <c r="H56">
        <v>30</v>
      </c>
      <c r="I56">
        <v>120</v>
      </c>
    </row>
    <row r="57" spans="1:9" x14ac:dyDescent="0.35">
      <c r="A57">
        <v>56</v>
      </c>
      <c r="B57" s="1">
        <v>45077</v>
      </c>
      <c r="C57" t="s">
        <v>69</v>
      </c>
      <c r="D57" t="s">
        <v>13</v>
      </c>
      <c r="E57">
        <v>26</v>
      </c>
      <c r="F57" t="s">
        <v>14</v>
      </c>
      <c r="G57">
        <v>3</v>
      </c>
      <c r="H57">
        <v>300</v>
      </c>
      <c r="I57">
        <v>900</v>
      </c>
    </row>
    <row r="58" spans="1:9" x14ac:dyDescent="0.35">
      <c r="A58">
        <v>57</v>
      </c>
      <c r="B58" s="1">
        <v>45248</v>
      </c>
      <c r="C58" t="s">
        <v>70</v>
      </c>
      <c r="D58" t="s">
        <v>13</v>
      </c>
      <c r="E58">
        <v>63</v>
      </c>
      <c r="F58" t="s">
        <v>11</v>
      </c>
      <c r="G58">
        <v>1</v>
      </c>
      <c r="H58">
        <v>30</v>
      </c>
      <c r="I58">
        <v>30</v>
      </c>
    </row>
    <row r="59" spans="1:9" x14ac:dyDescent="0.35">
      <c r="A59">
        <v>58</v>
      </c>
      <c r="B59" s="1">
        <v>45243</v>
      </c>
      <c r="C59" t="s">
        <v>71</v>
      </c>
      <c r="D59" t="s">
        <v>10</v>
      </c>
      <c r="E59">
        <v>18</v>
      </c>
      <c r="F59" t="s">
        <v>14</v>
      </c>
      <c r="G59">
        <v>4</v>
      </c>
      <c r="H59">
        <v>300</v>
      </c>
      <c r="I59">
        <v>1200</v>
      </c>
    </row>
    <row r="60" spans="1:9" x14ac:dyDescent="0.35">
      <c r="A60">
        <v>59</v>
      </c>
      <c r="B60" s="1">
        <v>45112</v>
      </c>
      <c r="C60" t="s">
        <v>72</v>
      </c>
      <c r="D60" t="s">
        <v>10</v>
      </c>
      <c r="E60">
        <v>62</v>
      </c>
      <c r="F60" t="s">
        <v>14</v>
      </c>
      <c r="G60">
        <v>1</v>
      </c>
      <c r="H60">
        <v>50</v>
      </c>
      <c r="I60">
        <v>50</v>
      </c>
    </row>
    <row r="61" spans="1:9" x14ac:dyDescent="0.35">
      <c r="A61">
        <v>60</v>
      </c>
      <c r="B61" s="1">
        <v>45222</v>
      </c>
      <c r="C61" t="s">
        <v>73</v>
      </c>
      <c r="D61" t="s">
        <v>10</v>
      </c>
      <c r="E61">
        <v>30</v>
      </c>
      <c r="F61" t="s">
        <v>11</v>
      </c>
      <c r="G61">
        <v>3</v>
      </c>
      <c r="H61">
        <v>50</v>
      </c>
      <c r="I61">
        <v>150</v>
      </c>
    </row>
    <row r="62" spans="1:9" x14ac:dyDescent="0.35">
      <c r="A62">
        <v>61</v>
      </c>
      <c r="B62" s="1">
        <v>45025</v>
      </c>
      <c r="C62" t="s">
        <v>74</v>
      </c>
      <c r="D62" t="s">
        <v>10</v>
      </c>
      <c r="E62">
        <v>21</v>
      </c>
      <c r="F62" t="s">
        <v>11</v>
      </c>
      <c r="G62">
        <v>4</v>
      </c>
      <c r="H62">
        <v>50</v>
      </c>
      <c r="I62">
        <v>200</v>
      </c>
    </row>
    <row r="63" spans="1:9" x14ac:dyDescent="0.35">
      <c r="A63">
        <v>62</v>
      </c>
      <c r="B63" s="1">
        <v>45287</v>
      </c>
      <c r="C63" t="s">
        <v>75</v>
      </c>
      <c r="D63" t="s">
        <v>10</v>
      </c>
      <c r="E63">
        <v>18</v>
      </c>
      <c r="F63" t="s">
        <v>11</v>
      </c>
      <c r="G63">
        <v>2</v>
      </c>
      <c r="H63">
        <v>50</v>
      </c>
      <c r="I63">
        <v>100</v>
      </c>
    </row>
    <row r="64" spans="1:9" x14ac:dyDescent="0.35">
      <c r="A64">
        <v>63</v>
      </c>
      <c r="B64" s="1">
        <v>44962</v>
      </c>
      <c r="C64" t="s">
        <v>76</v>
      </c>
      <c r="D64" t="s">
        <v>10</v>
      </c>
      <c r="E64">
        <v>57</v>
      </c>
      <c r="F64" t="s">
        <v>16</v>
      </c>
      <c r="G64">
        <v>2</v>
      </c>
      <c r="H64">
        <v>25</v>
      </c>
      <c r="I64">
        <v>50</v>
      </c>
    </row>
    <row r="65" spans="1:9" x14ac:dyDescent="0.35">
      <c r="A65">
        <v>64</v>
      </c>
      <c r="B65" s="1">
        <v>44950</v>
      </c>
      <c r="C65" t="s">
        <v>77</v>
      </c>
      <c r="D65" t="s">
        <v>10</v>
      </c>
      <c r="E65">
        <v>49</v>
      </c>
      <c r="F65" t="s">
        <v>14</v>
      </c>
      <c r="G65">
        <v>4</v>
      </c>
      <c r="H65">
        <v>25</v>
      </c>
      <c r="I65">
        <v>100</v>
      </c>
    </row>
    <row r="66" spans="1:9" x14ac:dyDescent="0.35">
      <c r="A66">
        <v>65</v>
      </c>
      <c r="B66" s="1">
        <v>45265</v>
      </c>
      <c r="C66" t="s">
        <v>78</v>
      </c>
      <c r="D66" t="s">
        <v>10</v>
      </c>
      <c r="E66">
        <v>51</v>
      </c>
      <c r="F66" t="s">
        <v>16</v>
      </c>
      <c r="G66">
        <v>4</v>
      </c>
      <c r="H66">
        <v>500</v>
      </c>
      <c r="I66">
        <v>2000</v>
      </c>
    </row>
    <row r="67" spans="1:9" x14ac:dyDescent="0.35">
      <c r="A67">
        <v>66</v>
      </c>
      <c r="B67" s="1">
        <v>45043</v>
      </c>
      <c r="C67" t="s">
        <v>79</v>
      </c>
      <c r="D67" t="s">
        <v>13</v>
      </c>
      <c r="E67">
        <v>45</v>
      </c>
      <c r="F67" t="s">
        <v>16</v>
      </c>
      <c r="G67">
        <v>1</v>
      </c>
      <c r="H67">
        <v>30</v>
      </c>
      <c r="I67">
        <v>30</v>
      </c>
    </row>
    <row r="68" spans="1:9" x14ac:dyDescent="0.35">
      <c r="A68">
        <v>67</v>
      </c>
      <c r="B68" s="1">
        <v>45075</v>
      </c>
      <c r="C68" t="s">
        <v>80</v>
      </c>
      <c r="D68" t="s">
        <v>13</v>
      </c>
      <c r="E68">
        <v>48</v>
      </c>
      <c r="F68" t="s">
        <v>11</v>
      </c>
      <c r="G68">
        <v>4</v>
      </c>
      <c r="H68">
        <v>300</v>
      </c>
      <c r="I68">
        <v>1200</v>
      </c>
    </row>
    <row r="69" spans="1:9" x14ac:dyDescent="0.35">
      <c r="A69">
        <v>68</v>
      </c>
      <c r="B69" s="1">
        <v>44967</v>
      </c>
      <c r="C69" t="s">
        <v>81</v>
      </c>
      <c r="D69" t="s">
        <v>10</v>
      </c>
      <c r="E69">
        <v>25</v>
      </c>
      <c r="F69" t="s">
        <v>16</v>
      </c>
      <c r="G69">
        <v>1</v>
      </c>
      <c r="H69">
        <v>300</v>
      </c>
      <c r="I69">
        <v>300</v>
      </c>
    </row>
    <row r="70" spans="1:9" x14ac:dyDescent="0.35">
      <c r="A70">
        <v>69</v>
      </c>
      <c r="B70" s="1">
        <v>45046</v>
      </c>
      <c r="C70" t="s">
        <v>82</v>
      </c>
      <c r="D70" t="s">
        <v>13</v>
      </c>
      <c r="E70">
        <v>56</v>
      </c>
      <c r="F70" t="s">
        <v>11</v>
      </c>
      <c r="G70">
        <v>3</v>
      </c>
      <c r="H70">
        <v>25</v>
      </c>
      <c r="I70">
        <v>75</v>
      </c>
    </row>
    <row r="71" spans="1:9" x14ac:dyDescent="0.35">
      <c r="A71">
        <v>70</v>
      </c>
      <c r="B71" s="1">
        <v>44978</v>
      </c>
      <c r="C71" t="s">
        <v>83</v>
      </c>
      <c r="D71" t="s">
        <v>13</v>
      </c>
      <c r="E71">
        <v>43</v>
      </c>
      <c r="F71" t="s">
        <v>14</v>
      </c>
      <c r="G71">
        <v>1</v>
      </c>
      <c r="H71">
        <v>300</v>
      </c>
      <c r="I71">
        <v>300</v>
      </c>
    </row>
    <row r="72" spans="1:9" x14ac:dyDescent="0.35">
      <c r="A72">
        <v>71</v>
      </c>
      <c r="B72" s="1">
        <v>45121</v>
      </c>
      <c r="C72" t="s">
        <v>84</v>
      </c>
      <c r="D72" t="s">
        <v>13</v>
      </c>
      <c r="E72">
        <v>51</v>
      </c>
      <c r="F72" t="s">
        <v>11</v>
      </c>
      <c r="G72">
        <v>4</v>
      </c>
      <c r="H72">
        <v>25</v>
      </c>
      <c r="I72">
        <v>100</v>
      </c>
    </row>
    <row r="73" spans="1:9" x14ac:dyDescent="0.35">
      <c r="A73">
        <v>72</v>
      </c>
      <c r="B73" s="1">
        <v>45069</v>
      </c>
      <c r="C73" t="s">
        <v>85</v>
      </c>
      <c r="D73" t="s">
        <v>13</v>
      </c>
      <c r="E73">
        <v>20</v>
      </c>
      <c r="F73" t="s">
        <v>16</v>
      </c>
      <c r="G73">
        <v>4</v>
      </c>
      <c r="H73">
        <v>500</v>
      </c>
      <c r="I73">
        <v>2000</v>
      </c>
    </row>
    <row r="74" spans="1:9" x14ac:dyDescent="0.35">
      <c r="A74">
        <v>73</v>
      </c>
      <c r="B74" s="1">
        <v>45159</v>
      </c>
      <c r="C74" t="s">
        <v>86</v>
      </c>
      <c r="D74" t="s">
        <v>10</v>
      </c>
      <c r="E74">
        <v>29</v>
      </c>
      <c r="F74" t="s">
        <v>16</v>
      </c>
      <c r="G74">
        <v>3</v>
      </c>
      <c r="H74">
        <v>30</v>
      </c>
      <c r="I74">
        <v>90</v>
      </c>
    </row>
    <row r="75" spans="1:9" x14ac:dyDescent="0.35">
      <c r="A75">
        <v>74</v>
      </c>
      <c r="B75" s="1">
        <v>45252</v>
      </c>
      <c r="C75" t="s">
        <v>87</v>
      </c>
      <c r="D75" t="s">
        <v>13</v>
      </c>
      <c r="E75">
        <v>18</v>
      </c>
      <c r="F75" t="s">
        <v>11</v>
      </c>
      <c r="G75">
        <v>4</v>
      </c>
      <c r="H75">
        <v>500</v>
      </c>
      <c r="I75">
        <v>2000</v>
      </c>
    </row>
    <row r="76" spans="1:9" x14ac:dyDescent="0.35">
      <c r="A76">
        <v>75</v>
      </c>
      <c r="B76" s="1">
        <v>45113</v>
      </c>
      <c r="C76" t="s">
        <v>88</v>
      </c>
      <c r="D76" t="s">
        <v>10</v>
      </c>
      <c r="E76">
        <v>61</v>
      </c>
      <c r="F76" t="s">
        <v>11</v>
      </c>
      <c r="G76">
        <v>4</v>
      </c>
      <c r="H76">
        <v>50</v>
      </c>
      <c r="I76">
        <v>200</v>
      </c>
    </row>
    <row r="77" spans="1:9" x14ac:dyDescent="0.35">
      <c r="A77">
        <v>76</v>
      </c>
      <c r="B77" s="1">
        <v>45010</v>
      </c>
      <c r="C77" t="s">
        <v>89</v>
      </c>
      <c r="D77" t="s">
        <v>13</v>
      </c>
      <c r="E77">
        <v>22</v>
      </c>
      <c r="F77" t="s">
        <v>16</v>
      </c>
      <c r="G77">
        <v>2</v>
      </c>
      <c r="H77">
        <v>50</v>
      </c>
      <c r="I77">
        <v>100</v>
      </c>
    </row>
    <row r="78" spans="1:9" x14ac:dyDescent="0.35">
      <c r="A78">
        <v>77</v>
      </c>
      <c r="B78" s="1">
        <v>45116</v>
      </c>
      <c r="C78" t="s">
        <v>90</v>
      </c>
      <c r="D78" t="s">
        <v>13</v>
      </c>
      <c r="E78">
        <v>47</v>
      </c>
      <c r="F78" t="s">
        <v>14</v>
      </c>
      <c r="G78">
        <v>2</v>
      </c>
      <c r="H78">
        <v>50</v>
      </c>
      <c r="I78">
        <v>100</v>
      </c>
    </row>
    <row r="79" spans="1:9" x14ac:dyDescent="0.35">
      <c r="A79">
        <v>78</v>
      </c>
      <c r="B79" s="1">
        <v>45108</v>
      </c>
      <c r="C79" t="s">
        <v>91</v>
      </c>
      <c r="D79" t="s">
        <v>13</v>
      </c>
      <c r="E79">
        <v>47</v>
      </c>
      <c r="F79" t="s">
        <v>14</v>
      </c>
      <c r="G79">
        <v>3</v>
      </c>
      <c r="H79">
        <v>500</v>
      </c>
      <c r="I79">
        <v>1500</v>
      </c>
    </row>
    <row r="80" spans="1:9" x14ac:dyDescent="0.35">
      <c r="A80">
        <v>79</v>
      </c>
      <c r="B80" s="1">
        <v>45034</v>
      </c>
      <c r="C80" t="s">
        <v>92</v>
      </c>
      <c r="D80" t="s">
        <v>10</v>
      </c>
      <c r="E80">
        <v>34</v>
      </c>
      <c r="F80" t="s">
        <v>11</v>
      </c>
      <c r="G80">
        <v>1</v>
      </c>
      <c r="H80">
        <v>300</v>
      </c>
      <c r="I80">
        <v>300</v>
      </c>
    </row>
    <row r="81" spans="1:9" x14ac:dyDescent="0.35">
      <c r="A81">
        <v>80</v>
      </c>
      <c r="B81" s="1">
        <v>45270</v>
      </c>
      <c r="C81" t="s">
        <v>93</v>
      </c>
      <c r="D81" t="s">
        <v>13</v>
      </c>
      <c r="E81">
        <v>64</v>
      </c>
      <c r="F81" t="s">
        <v>14</v>
      </c>
      <c r="G81">
        <v>2</v>
      </c>
      <c r="H81">
        <v>30</v>
      </c>
      <c r="I81">
        <v>60</v>
      </c>
    </row>
    <row r="82" spans="1:9" x14ac:dyDescent="0.35">
      <c r="A82">
        <v>81</v>
      </c>
      <c r="B82" s="1">
        <v>45063</v>
      </c>
      <c r="C82" t="s">
        <v>94</v>
      </c>
      <c r="D82" t="s">
        <v>10</v>
      </c>
      <c r="E82">
        <v>40</v>
      </c>
      <c r="F82" t="s">
        <v>16</v>
      </c>
      <c r="G82">
        <v>1</v>
      </c>
      <c r="H82">
        <v>50</v>
      </c>
      <c r="I82">
        <v>50</v>
      </c>
    </row>
    <row r="83" spans="1:9" x14ac:dyDescent="0.35">
      <c r="A83">
        <v>82</v>
      </c>
      <c r="B83" s="1">
        <v>45286</v>
      </c>
      <c r="C83" t="s">
        <v>95</v>
      </c>
      <c r="D83" t="s">
        <v>13</v>
      </c>
      <c r="E83">
        <v>32</v>
      </c>
      <c r="F83" t="s">
        <v>11</v>
      </c>
      <c r="G83">
        <v>4</v>
      </c>
      <c r="H83">
        <v>50</v>
      </c>
      <c r="I83">
        <v>200</v>
      </c>
    </row>
    <row r="84" spans="1:9" x14ac:dyDescent="0.35">
      <c r="A84">
        <v>83</v>
      </c>
      <c r="B84" s="1">
        <v>45276</v>
      </c>
      <c r="C84" t="s">
        <v>96</v>
      </c>
      <c r="D84" t="s">
        <v>10</v>
      </c>
      <c r="E84">
        <v>54</v>
      </c>
      <c r="F84" t="s">
        <v>16</v>
      </c>
      <c r="G84">
        <v>2</v>
      </c>
      <c r="H84">
        <v>50</v>
      </c>
      <c r="I84">
        <v>100</v>
      </c>
    </row>
    <row r="85" spans="1:9" x14ac:dyDescent="0.35">
      <c r="A85">
        <v>84</v>
      </c>
      <c r="B85" s="1">
        <v>45258</v>
      </c>
      <c r="C85" t="s">
        <v>97</v>
      </c>
      <c r="D85" t="s">
        <v>13</v>
      </c>
      <c r="E85">
        <v>38</v>
      </c>
      <c r="F85" t="s">
        <v>16</v>
      </c>
      <c r="G85">
        <v>3</v>
      </c>
      <c r="H85">
        <v>30</v>
      </c>
      <c r="I85">
        <v>90</v>
      </c>
    </row>
    <row r="86" spans="1:9" x14ac:dyDescent="0.35">
      <c r="A86">
        <v>85</v>
      </c>
      <c r="B86" s="1">
        <v>44963</v>
      </c>
      <c r="C86" t="s">
        <v>98</v>
      </c>
      <c r="D86" t="s">
        <v>10</v>
      </c>
      <c r="E86">
        <v>31</v>
      </c>
      <c r="F86" t="s">
        <v>14</v>
      </c>
      <c r="G86">
        <v>3</v>
      </c>
      <c r="H86">
        <v>50</v>
      </c>
      <c r="I86">
        <v>150</v>
      </c>
    </row>
    <row r="87" spans="1:9" x14ac:dyDescent="0.35">
      <c r="A87">
        <v>86</v>
      </c>
      <c r="B87" s="1">
        <v>45238</v>
      </c>
      <c r="C87" t="s">
        <v>99</v>
      </c>
      <c r="D87" t="s">
        <v>10</v>
      </c>
      <c r="E87">
        <v>19</v>
      </c>
      <c r="F87" t="s">
        <v>11</v>
      </c>
      <c r="G87">
        <v>3</v>
      </c>
      <c r="H87">
        <v>30</v>
      </c>
      <c r="I87">
        <v>90</v>
      </c>
    </row>
    <row r="88" spans="1:9" x14ac:dyDescent="0.35">
      <c r="A88">
        <v>87</v>
      </c>
      <c r="B88" s="1">
        <v>45252</v>
      </c>
      <c r="C88" t="s">
        <v>100</v>
      </c>
      <c r="D88" t="s">
        <v>13</v>
      </c>
      <c r="E88">
        <v>28</v>
      </c>
      <c r="F88" t="s">
        <v>11</v>
      </c>
      <c r="G88">
        <v>2</v>
      </c>
      <c r="H88">
        <v>50</v>
      </c>
      <c r="I88">
        <v>100</v>
      </c>
    </row>
    <row r="89" spans="1:9" x14ac:dyDescent="0.35">
      <c r="A89">
        <v>88</v>
      </c>
      <c r="B89" s="1">
        <v>45014</v>
      </c>
      <c r="C89" t="s">
        <v>101</v>
      </c>
      <c r="D89" t="s">
        <v>10</v>
      </c>
      <c r="E89">
        <v>56</v>
      </c>
      <c r="F89" t="s">
        <v>14</v>
      </c>
      <c r="G89">
        <v>1</v>
      </c>
      <c r="H89">
        <v>500</v>
      </c>
      <c r="I89">
        <v>500</v>
      </c>
    </row>
    <row r="90" spans="1:9" x14ac:dyDescent="0.35">
      <c r="A90">
        <v>89</v>
      </c>
      <c r="B90" s="1">
        <v>45200</v>
      </c>
      <c r="C90" t="s">
        <v>102</v>
      </c>
      <c r="D90" t="s">
        <v>13</v>
      </c>
      <c r="E90">
        <v>55</v>
      </c>
      <c r="F90" t="s">
        <v>16</v>
      </c>
      <c r="G90">
        <v>4</v>
      </c>
      <c r="H90">
        <v>500</v>
      </c>
      <c r="I90">
        <v>2000</v>
      </c>
    </row>
    <row r="91" spans="1:9" x14ac:dyDescent="0.35">
      <c r="A91">
        <v>90</v>
      </c>
      <c r="B91" s="1">
        <v>45052</v>
      </c>
      <c r="C91" t="s">
        <v>103</v>
      </c>
      <c r="D91" t="s">
        <v>13</v>
      </c>
      <c r="E91">
        <v>51</v>
      </c>
      <c r="F91" t="s">
        <v>16</v>
      </c>
      <c r="G91">
        <v>1</v>
      </c>
      <c r="H91">
        <v>30</v>
      </c>
      <c r="I91">
        <v>30</v>
      </c>
    </row>
    <row r="92" spans="1:9" x14ac:dyDescent="0.35">
      <c r="A92">
        <v>91</v>
      </c>
      <c r="B92" s="1">
        <v>45010</v>
      </c>
      <c r="C92" t="s">
        <v>104</v>
      </c>
      <c r="D92" t="s">
        <v>13</v>
      </c>
      <c r="E92">
        <v>55</v>
      </c>
      <c r="F92" t="s">
        <v>16</v>
      </c>
      <c r="G92">
        <v>1</v>
      </c>
      <c r="H92">
        <v>500</v>
      </c>
      <c r="I92">
        <v>500</v>
      </c>
    </row>
    <row r="93" spans="1:9" x14ac:dyDescent="0.35">
      <c r="A93">
        <v>92</v>
      </c>
      <c r="B93" s="1">
        <v>45163</v>
      </c>
      <c r="C93" t="s">
        <v>105</v>
      </c>
      <c r="D93" t="s">
        <v>13</v>
      </c>
      <c r="E93">
        <v>51</v>
      </c>
      <c r="F93" t="s">
        <v>16</v>
      </c>
      <c r="G93">
        <v>4</v>
      </c>
      <c r="H93">
        <v>30</v>
      </c>
      <c r="I93">
        <v>120</v>
      </c>
    </row>
    <row r="94" spans="1:9" x14ac:dyDescent="0.35">
      <c r="A94">
        <v>93</v>
      </c>
      <c r="B94" s="1">
        <v>45121</v>
      </c>
      <c r="C94" t="s">
        <v>106</v>
      </c>
      <c r="D94" t="s">
        <v>13</v>
      </c>
      <c r="E94">
        <v>35</v>
      </c>
      <c r="F94" t="s">
        <v>11</v>
      </c>
      <c r="G94">
        <v>4</v>
      </c>
      <c r="H94">
        <v>500</v>
      </c>
      <c r="I94">
        <v>2000</v>
      </c>
    </row>
    <row r="95" spans="1:9" x14ac:dyDescent="0.35">
      <c r="A95">
        <v>94</v>
      </c>
      <c r="B95" s="1">
        <v>45065</v>
      </c>
      <c r="C95" t="s">
        <v>107</v>
      </c>
      <c r="D95" t="s">
        <v>13</v>
      </c>
      <c r="E95">
        <v>47</v>
      </c>
      <c r="F95" t="s">
        <v>11</v>
      </c>
      <c r="G95">
        <v>2</v>
      </c>
      <c r="H95">
        <v>500</v>
      </c>
      <c r="I95">
        <v>1000</v>
      </c>
    </row>
    <row r="96" spans="1:9" x14ac:dyDescent="0.35">
      <c r="A96">
        <v>95</v>
      </c>
      <c r="B96" s="1">
        <v>45254</v>
      </c>
      <c r="C96" t="s">
        <v>108</v>
      </c>
      <c r="D96" t="s">
        <v>13</v>
      </c>
      <c r="E96">
        <v>32</v>
      </c>
      <c r="F96" t="s">
        <v>14</v>
      </c>
      <c r="G96">
        <v>2</v>
      </c>
      <c r="H96">
        <v>30</v>
      </c>
      <c r="I96">
        <v>60</v>
      </c>
    </row>
    <row r="97" spans="1:9" x14ac:dyDescent="0.35">
      <c r="A97">
        <v>96</v>
      </c>
      <c r="B97" s="1">
        <v>45279</v>
      </c>
      <c r="C97" t="s">
        <v>109</v>
      </c>
      <c r="D97" t="s">
        <v>13</v>
      </c>
      <c r="E97">
        <v>44</v>
      </c>
      <c r="F97" t="s">
        <v>14</v>
      </c>
      <c r="G97">
        <v>2</v>
      </c>
      <c r="H97">
        <v>300</v>
      </c>
      <c r="I97">
        <v>600</v>
      </c>
    </row>
    <row r="98" spans="1:9" x14ac:dyDescent="0.35">
      <c r="A98">
        <v>97</v>
      </c>
      <c r="B98" s="1">
        <v>45212</v>
      </c>
      <c r="C98" t="s">
        <v>110</v>
      </c>
      <c r="D98" t="s">
        <v>13</v>
      </c>
      <c r="E98">
        <v>51</v>
      </c>
      <c r="F98" t="s">
        <v>11</v>
      </c>
      <c r="G98">
        <v>2</v>
      </c>
      <c r="H98">
        <v>500</v>
      </c>
      <c r="I98">
        <v>1000</v>
      </c>
    </row>
    <row r="99" spans="1:9" x14ac:dyDescent="0.35">
      <c r="A99">
        <v>98</v>
      </c>
      <c r="B99" s="1">
        <v>45039</v>
      </c>
      <c r="C99" t="s">
        <v>111</v>
      </c>
      <c r="D99" t="s">
        <v>13</v>
      </c>
      <c r="E99">
        <v>55</v>
      </c>
      <c r="F99" t="s">
        <v>11</v>
      </c>
      <c r="G99">
        <v>2</v>
      </c>
      <c r="H99">
        <v>50</v>
      </c>
      <c r="I99">
        <v>100</v>
      </c>
    </row>
    <row r="100" spans="1:9" x14ac:dyDescent="0.35">
      <c r="A100">
        <v>99</v>
      </c>
      <c r="B100" s="1">
        <v>45277</v>
      </c>
      <c r="C100" t="s">
        <v>112</v>
      </c>
      <c r="D100" t="s">
        <v>13</v>
      </c>
      <c r="E100">
        <v>50</v>
      </c>
      <c r="F100" t="s">
        <v>16</v>
      </c>
      <c r="G100">
        <v>4</v>
      </c>
      <c r="H100">
        <v>300</v>
      </c>
      <c r="I100">
        <v>1200</v>
      </c>
    </row>
    <row r="101" spans="1:9" x14ac:dyDescent="0.35">
      <c r="A101">
        <v>100</v>
      </c>
      <c r="B101" s="1">
        <v>45093</v>
      </c>
      <c r="C101" t="s">
        <v>113</v>
      </c>
      <c r="D101" t="s">
        <v>10</v>
      </c>
      <c r="E101">
        <v>41</v>
      </c>
      <c r="F101" t="s">
        <v>16</v>
      </c>
      <c r="G101">
        <v>1</v>
      </c>
      <c r="H101">
        <v>30</v>
      </c>
      <c r="I101">
        <v>30</v>
      </c>
    </row>
    <row r="102" spans="1:9" x14ac:dyDescent="0.35">
      <c r="A102">
        <v>101</v>
      </c>
      <c r="B102" s="1">
        <v>44955</v>
      </c>
      <c r="C102" t="s">
        <v>114</v>
      </c>
      <c r="D102" t="s">
        <v>10</v>
      </c>
      <c r="E102">
        <v>32</v>
      </c>
      <c r="F102" t="s">
        <v>14</v>
      </c>
      <c r="G102">
        <v>2</v>
      </c>
      <c r="H102">
        <v>300</v>
      </c>
      <c r="I102">
        <v>600</v>
      </c>
    </row>
    <row r="103" spans="1:9" x14ac:dyDescent="0.35">
      <c r="A103">
        <v>102</v>
      </c>
      <c r="B103" s="1">
        <v>45044</v>
      </c>
      <c r="C103" t="s">
        <v>115</v>
      </c>
      <c r="D103" t="s">
        <v>13</v>
      </c>
      <c r="E103">
        <v>47</v>
      </c>
      <c r="F103" t="s">
        <v>11</v>
      </c>
      <c r="G103">
        <v>2</v>
      </c>
      <c r="H103">
        <v>25</v>
      </c>
      <c r="I103">
        <v>50</v>
      </c>
    </row>
    <row r="104" spans="1:9" x14ac:dyDescent="0.35">
      <c r="A104">
        <v>103</v>
      </c>
      <c r="B104" s="1">
        <v>44943</v>
      </c>
      <c r="C104" t="s">
        <v>116</v>
      </c>
      <c r="D104" t="s">
        <v>13</v>
      </c>
      <c r="E104">
        <v>59</v>
      </c>
      <c r="F104" t="s">
        <v>14</v>
      </c>
      <c r="G104">
        <v>1</v>
      </c>
      <c r="H104">
        <v>25</v>
      </c>
      <c r="I104">
        <v>25</v>
      </c>
    </row>
    <row r="105" spans="1:9" x14ac:dyDescent="0.35">
      <c r="A105">
        <v>104</v>
      </c>
      <c r="B105" s="1">
        <v>45088</v>
      </c>
      <c r="C105" t="s">
        <v>117</v>
      </c>
      <c r="D105" t="s">
        <v>13</v>
      </c>
      <c r="E105">
        <v>34</v>
      </c>
      <c r="F105" t="s">
        <v>11</v>
      </c>
      <c r="G105">
        <v>2</v>
      </c>
      <c r="H105">
        <v>500</v>
      </c>
      <c r="I105">
        <v>1000</v>
      </c>
    </row>
    <row r="106" spans="1:9" x14ac:dyDescent="0.35">
      <c r="A106">
        <v>105</v>
      </c>
      <c r="B106" s="1">
        <v>45132</v>
      </c>
      <c r="C106" t="s">
        <v>118</v>
      </c>
      <c r="D106" t="s">
        <v>13</v>
      </c>
      <c r="E106">
        <v>22</v>
      </c>
      <c r="F106" t="s">
        <v>16</v>
      </c>
      <c r="G106">
        <v>1</v>
      </c>
      <c r="H106">
        <v>500</v>
      </c>
      <c r="I106">
        <v>500</v>
      </c>
    </row>
    <row r="107" spans="1:9" x14ac:dyDescent="0.35">
      <c r="A107">
        <v>106</v>
      </c>
      <c r="B107" s="1">
        <v>45064</v>
      </c>
      <c r="C107" t="s">
        <v>119</v>
      </c>
      <c r="D107" t="s">
        <v>13</v>
      </c>
      <c r="E107">
        <v>46</v>
      </c>
      <c r="F107" t="s">
        <v>14</v>
      </c>
      <c r="G107">
        <v>1</v>
      </c>
      <c r="H107">
        <v>50</v>
      </c>
      <c r="I107">
        <v>50</v>
      </c>
    </row>
    <row r="108" spans="1:9" x14ac:dyDescent="0.35">
      <c r="A108">
        <v>107</v>
      </c>
      <c r="B108" s="1">
        <v>44960</v>
      </c>
      <c r="C108" t="s">
        <v>120</v>
      </c>
      <c r="D108" t="s">
        <v>13</v>
      </c>
      <c r="E108">
        <v>21</v>
      </c>
      <c r="F108" t="s">
        <v>14</v>
      </c>
      <c r="G108">
        <v>4</v>
      </c>
      <c r="H108">
        <v>300</v>
      </c>
      <c r="I108">
        <v>1200</v>
      </c>
    </row>
    <row r="109" spans="1:9" x14ac:dyDescent="0.35">
      <c r="A109">
        <v>108</v>
      </c>
      <c r="B109" s="1">
        <v>45035</v>
      </c>
      <c r="C109" t="s">
        <v>121</v>
      </c>
      <c r="D109" t="s">
        <v>13</v>
      </c>
      <c r="E109">
        <v>27</v>
      </c>
      <c r="F109" t="s">
        <v>11</v>
      </c>
      <c r="G109">
        <v>3</v>
      </c>
      <c r="H109">
        <v>25</v>
      </c>
      <c r="I109">
        <v>75</v>
      </c>
    </row>
    <row r="110" spans="1:9" x14ac:dyDescent="0.35">
      <c r="A110">
        <v>109</v>
      </c>
      <c r="B110" s="1">
        <v>45217</v>
      </c>
      <c r="C110" t="s">
        <v>122</v>
      </c>
      <c r="D110" t="s">
        <v>13</v>
      </c>
      <c r="E110">
        <v>34</v>
      </c>
      <c r="F110" t="s">
        <v>16</v>
      </c>
      <c r="G110">
        <v>4</v>
      </c>
      <c r="H110">
        <v>500</v>
      </c>
      <c r="I110">
        <v>2000</v>
      </c>
    </row>
    <row r="111" spans="1:9" x14ac:dyDescent="0.35">
      <c r="A111">
        <v>110</v>
      </c>
      <c r="B111" s="1">
        <v>45088</v>
      </c>
      <c r="C111" t="s">
        <v>123</v>
      </c>
      <c r="D111" t="s">
        <v>10</v>
      </c>
      <c r="E111">
        <v>27</v>
      </c>
      <c r="F111" t="s">
        <v>14</v>
      </c>
      <c r="G111">
        <v>3</v>
      </c>
      <c r="H111">
        <v>300</v>
      </c>
      <c r="I111">
        <v>900</v>
      </c>
    </row>
    <row r="112" spans="1:9" x14ac:dyDescent="0.35">
      <c r="A112">
        <v>111</v>
      </c>
      <c r="B112" s="1">
        <v>45035</v>
      </c>
      <c r="C112" t="s">
        <v>124</v>
      </c>
      <c r="D112" t="s">
        <v>13</v>
      </c>
      <c r="E112">
        <v>34</v>
      </c>
      <c r="F112" t="s">
        <v>16</v>
      </c>
      <c r="G112">
        <v>3</v>
      </c>
      <c r="H112">
        <v>500</v>
      </c>
      <c r="I112">
        <v>1500</v>
      </c>
    </row>
    <row r="113" spans="1:9" x14ac:dyDescent="0.35">
      <c r="A113">
        <v>112</v>
      </c>
      <c r="B113" s="1">
        <v>45262</v>
      </c>
      <c r="C113" t="s">
        <v>125</v>
      </c>
      <c r="D113" t="s">
        <v>10</v>
      </c>
      <c r="E113">
        <v>37</v>
      </c>
      <c r="F113" t="s">
        <v>14</v>
      </c>
      <c r="G113">
        <v>3</v>
      </c>
      <c r="H113">
        <v>500</v>
      </c>
      <c r="I113">
        <v>1500</v>
      </c>
    </row>
    <row r="114" spans="1:9" x14ac:dyDescent="0.35">
      <c r="A114">
        <v>113</v>
      </c>
      <c r="B114" s="1">
        <v>45182</v>
      </c>
      <c r="C114" t="s">
        <v>126</v>
      </c>
      <c r="D114" t="s">
        <v>13</v>
      </c>
      <c r="E114">
        <v>41</v>
      </c>
      <c r="F114" t="s">
        <v>16</v>
      </c>
      <c r="G114">
        <v>2</v>
      </c>
      <c r="H114">
        <v>25</v>
      </c>
      <c r="I114">
        <v>50</v>
      </c>
    </row>
    <row r="115" spans="1:9" x14ac:dyDescent="0.35">
      <c r="A115">
        <v>114</v>
      </c>
      <c r="B115" s="1">
        <v>45129</v>
      </c>
      <c r="C115" t="s">
        <v>127</v>
      </c>
      <c r="D115" t="s">
        <v>13</v>
      </c>
      <c r="E115">
        <v>22</v>
      </c>
      <c r="F115" t="s">
        <v>11</v>
      </c>
      <c r="G115">
        <v>4</v>
      </c>
      <c r="H115">
        <v>25</v>
      </c>
      <c r="I115">
        <v>100</v>
      </c>
    </row>
    <row r="116" spans="1:9" x14ac:dyDescent="0.35">
      <c r="A116">
        <v>115</v>
      </c>
      <c r="B116" s="1">
        <v>45256</v>
      </c>
      <c r="C116" t="s">
        <v>128</v>
      </c>
      <c r="D116" t="s">
        <v>10</v>
      </c>
      <c r="E116">
        <v>51</v>
      </c>
      <c r="F116" t="s">
        <v>14</v>
      </c>
      <c r="G116">
        <v>3</v>
      </c>
      <c r="H116">
        <v>500</v>
      </c>
      <c r="I116">
        <v>1500</v>
      </c>
    </row>
    <row r="117" spans="1:9" x14ac:dyDescent="0.35">
      <c r="A117">
        <v>116</v>
      </c>
      <c r="B117" s="1">
        <v>45161</v>
      </c>
      <c r="C117" t="s">
        <v>129</v>
      </c>
      <c r="D117" t="s">
        <v>13</v>
      </c>
      <c r="E117">
        <v>23</v>
      </c>
      <c r="F117" t="s">
        <v>14</v>
      </c>
      <c r="G117">
        <v>1</v>
      </c>
      <c r="H117">
        <v>30</v>
      </c>
      <c r="I117">
        <v>30</v>
      </c>
    </row>
    <row r="118" spans="1:9" x14ac:dyDescent="0.35">
      <c r="A118">
        <v>117</v>
      </c>
      <c r="B118" s="1">
        <v>45000</v>
      </c>
      <c r="C118" t="s">
        <v>130</v>
      </c>
      <c r="D118" t="s">
        <v>10</v>
      </c>
      <c r="E118">
        <v>19</v>
      </c>
      <c r="F118" t="s">
        <v>16</v>
      </c>
      <c r="G118">
        <v>2</v>
      </c>
      <c r="H118">
        <v>500</v>
      </c>
      <c r="I118">
        <v>1000</v>
      </c>
    </row>
    <row r="119" spans="1:9" x14ac:dyDescent="0.35">
      <c r="A119">
        <v>118</v>
      </c>
      <c r="B119" s="1">
        <v>45062</v>
      </c>
      <c r="C119" t="s">
        <v>131</v>
      </c>
      <c r="D119" t="s">
        <v>13</v>
      </c>
      <c r="E119">
        <v>30</v>
      </c>
      <c r="F119" t="s">
        <v>16</v>
      </c>
      <c r="G119">
        <v>4</v>
      </c>
      <c r="H119">
        <v>500</v>
      </c>
      <c r="I119">
        <v>2000</v>
      </c>
    </row>
    <row r="120" spans="1:9" x14ac:dyDescent="0.35">
      <c r="A120">
        <v>119</v>
      </c>
      <c r="B120" s="1">
        <v>44998</v>
      </c>
      <c r="C120" t="s">
        <v>132</v>
      </c>
      <c r="D120" t="s">
        <v>13</v>
      </c>
      <c r="E120">
        <v>60</v>
      </c>
      <c r="F120" t="s">
        <v>14</v>
      </c>
      <c r="G120">
        <v>3</v>
      </c>
      <c r="H120">
        <v>50</v>
      </c>
      <c r="I120">
        <v>150</v>
      </c>
    </row>
    <row r="121" spans="1:9" x14ac:dyDescent="0.35">
      <c r="A121">
        <v>120</v>
      </c>
      <c r="B121" s="1">
        <v>45053</v>
      </c>
      <c r="C121" t="s">
        <v>133</v>
      </c>
      <c r="D121" t="s">
        <v>10</v>
      </c>
      <c r="E121">
        <v>60</v>
      </c>
      <c r="F121" t="s">
        <v>11</v>
      </c>
      <c r="G121">
        <v>1</v>
      </c>
      <c r="H121">
        <v>50</v>
      </c>
      <c r="I121">
        <v>50</v>
      </c>
    </row>
    <row r="122" spans="1:9" x14ac:dyDescent="0.35">
      <c r="A122">
        <v>121</v>
      </c>
      <c r="B122" s="1">
        <v>45214</v>
      </c>
      <c r="C122" t="s">
        <v>134</v>
      </c>
      <c r="D122" t="s">
        <v>13</v>
      </c>
      <c r="E122">
        <v>28</v>
      </c>
      <c r="F122" t="s">
        <v>16</v>
      </c>
      <c r="G122">
        <v>4</v>
      </c>
      <c r="H122">
        <v>50</v>
      </c>
      <c r="I122">
        <v>200</v>
      </c>
    </row>
    <row r="123" spans="1:9" x14ac:dyDescent="0.35">
      <c r="A123">
        <v>122</v>
      </c>
      <c r="B123" s="1">
        <v>45202</v>
      </c>
      <c r="C123" t="s">
        <v>135</v>
      </c>
      <c r="D123" t="s">
        <v>10</v>
      </c>
      <c r="E123">
        <v>64</v>
      </c>
      <c r="F123" t="s">
        <v>16</v>
      </c>
      <c r="G123">
        <v>4</v>
      </c>
      <c r="H123">
        <v>30</v>
      </c>
      <c r="I123">
        <v>120</v>
      </c>
    </row>
    <row r="124" spans="1:9" x14ac:dyDescent="0.35">
      <c r="A124">
        <v>123</v>
      </c>
      <c r="B124" s="1">
        <v>45061</v>
      </c>
      <c r="C124" t="s">
        <v>136</v>
      </c>
      <c r="D124" t="s">
        <v>13</v>
      </c>
      <c r="E124">
        <v>40</v>
      </c>
      <c r="F124" t="s">
        <v>16</v>
      </c>
      <c r="G124">
        <v>2</v>
      </c>
      <c r="H124">
        <v>30</v>
      </c>
      <c r="I124">
        <v>60</v>
      </c>
    </row>
    <row r="125" spans="1:9" x14ac:dyDescent="0.35">
      <c r="A125">
        <v>124</v>
      </c>
      <c r="B125" s="1">
        <v>45226</v>
      </c>
      <c r="C125" t="s">
        <v>137</v>
      </c>
      <c r="D125" t="s">
        <v>10</v>
      </c>
      <c r="E125">
        <v>33</v>
      </c>
      <c r="F125" t="s">
        <v>14</v>
      </c>
      <c r="G125">
        <v>4</v>
      </c>
      <c r="H125">
        <v>500</v>
      </c>
      <c r="I125">
        <v>2000</v>
      </c>
    </row>
    <row r="126" spans="1:9" x14ac:dyDescent="0.35">
      <c r="A126">
        <v>125</v>
      </c>
      <c r="B126" s="1">
        <v>45146</v>
      </c>
      <c r="C126" t="s">
        <v>138</v>
      </c>
      <c r="D126" t="s">
        <v>10</v>
      </c>
      <c r="E126">
        <v>48</v>
      </c>
      <c r="F126" t="s">
        <v>14</v>
      </c>
      <c r="G126">
        <v>2</v>
      </c>
      <c r="H126">
        <v>50</v>
      </c>
      <c r="I126">
        <v>100</v>
      </c>
    </row>
    <row r="127" spans="1:9" x14ac:dyDescent="0.35">
      <c r="A127">
        <v>126</v>
      </c>
      <c r="B127" s="1">
        <v>45225</v>
      </c>
      <c r="C127" t="s">
        <v>139</v>
      </c>
      <c r="D127" t="s">
        <v>13</v>
      </c>
      <c r="E127">
        <v>28</v>
      </c>
      <c r="F127" t="s">
        <v>14</v>
      </c>
      <c r="G127">
        <v>3</v>
      </c>
      <c r="H127">
        <v>30</v>
      </c>
      <c r="I127">
        <v>90</v>
      </c>
    </row>
    <row r="128" spans="1:9" x14ac:dyDescent="0.35">
      <c r="A128">
        <v>127</v>
      </c>
      <c r="B128" s="1">
        <v>45131</v>
      </c>
      <c r="C128" t="s">
        <v>140</v>
      </c>
      <c r="D128" t="s">
        <v>13</v>
      </c>
      <c r="E128">
        <v>33</v>
      </c>
      <c r="F128" t="s">
        <v>14</v>
      </c>
      <c r="G128">
        <v>2</v>
      </c>
      <c r="H128">
        <v>25</v>
      </c>
      <c r="I128">
        <v>50</v>
      </c>
    </row>
    <row r="129" spans="1:9" x14ac:dyDescent="0.35">
      <c r="A129">
        <v>128</v>
      </c>
      <c r="B129" s="1">
        <v>45112</v>
      </c>
      <c r="C129" t="s">
        <v>141</v>
      </c>
      <c r="D129" t="s">
        <v>10</v>
      </c>
      <c r="E129">
        <v>25</v>
      </c>
      <c r="F129" t="s">
        <v>11</v>
      </c>
      <c r="G129">
        <v>1</v>
      </c>
      <c r="H129">
        <v>500</v>
      </c>
      <c r="I129">
        <v>500</v>
      </c>
    </row>
    <row r="130" spans="1:9" x14ac:dyDescent="0.35">
      <c r="A130">
        <v>129</v>
      </c>
      <c r="B130" s="1">
        <v>45039</v>
      </c>
      <c r="C130" t="s">
        <v>142</v>
      </c>
      <c r="D130" t="s">
        <v>13</v>
      </c>
      <c r="E130">
        <v>21</v>
      </c>
      <c r="F130" t="s">
        <v>11</v>
      </c>
      <c r="G130">
        <v>2</v>
      </c>
      <c r="H130">
        <v>300</v>
      </c>
      <c r="I130">
        <v>600</v>
      </c>
    </row>
    <row r="131" spans="1:9" x14ac:dyDescent="0.35">
      <c r="A131">
        <v>130</v>
      </c>
      <c r="B131" s="1">
        <v>44997</v>
      </c>
      <c r="C131" t="s">
        <v>143</v>
      </c>
      <c r="D131" t="s">
        <v>13</v>
      </c>
      <c r="E131">
        <v>57</v>
      </c>
      <c r="F131" t="s">
        <v>14</v>
      </c>
      <c r="G131">
        <v>1</v>
      </c>
      <c r="H131">
        <v>500</v>
      </c>
      <c r="I131">
        <v>500</v>
      </c>
    </row>
    <row r="132" spans="1:9" x14ac:dyDescent="0.35">
      <c r="A132">
        <v>131</v>
      </c>
      <c r="B132" s="1">
        <v>45187</v>
      </c>
      <c r="C132" t="s">
        <v>144</v>
      </c>
      <c r="D132" t="s">
        <v>13</v>
      </c>
      <c r="E132">
        <v>21</v>
      </c>
      <c r="F132" t="s">
        <v>11</v>
      </c>
      <c r="G132">
        <v>2</v>
      </c>
      <c r="H132">
        <v>300</v>
      </c>
      <c r="I132">
        <v>600</v>
      </c>
    </row>
    <row r="133" spans="1:9" x14ac:dyDescent="0.35">
      <c r="A133">
        <v>132</v>
      </c>
      <c r="B133" s="1">
        <v>45179</v>
      </c>
      <c r="C133" t="s">
        <v>145</v>
      </c>
      <c r="D133" t="s">
        <v>10</v>
      </c>
      <c r="E133">
        <v>42</v>
      </c>
      <c r="F133" t="s">
        <v>16</v>
      </c>
      <c r="G133">
        <v>4</v>
      </c>
      <c r="H133">
        <v>50</v>
      </c>
      <c r="I133">
        <v>200</v>
      </c>
    </row>
    <row r="134" spans="1:9" x14ac:dyDescent="0.35">
      <c r="A134">
        <v>133</v>
      </c>
      <c r="B134" s="1">
        <v>44973</v>
      </c>
      <c r="C134" t="s">
        <v>146</v>
      </c>
      <c r="D134" t="s">
        <v>10</v>
      </c>
      <c r="E134">
        <v>20</v>
      </c>
      <c r="F134" t="s">
        <v>16</v>
      </c>
      <c r="G134">
        <v>3</v>
      </c>
      <c r="H134">
        <v>300</v>
      </c>
      <c r="I134">
        <v>900</v>
      </c>
    </row>
    <row r="135" spans="1:9" x14ac:dyDescent="0.35">
      <c r="A135">
        <v>134</v>
      </c>
      <c r="B135" s="1">
        <v>44951</v>
      </c>
      <c r="C135" t="s">
        <v>147</v>
      </c>
      <c r="D135" t="s">
        <v>10</v>
      </c>
      <c r="E135">
        <v>49</v>
      </c>
      <c r="F135" t="s">
        <v>16</v>
      </c>
      <c r="G135">
        <v>1</v>
      </c>
      <c r="H135">
        <v>50</v>
      </c>
      <c r="I135">
        <v>50</v>
      </c>
    </row>
    <row r="136" spans="1:9" x14ac:dyDescent="0.35">
      <c r="A136">
        <v>135</v>
      </c>
      <c r="B136" s="1">
        <v>44983</v>
      </c>
      <c r="C136" t="s">
        <v>148</v>
      </c>
      <c r="D136" t="s">
        <v>10</v>
      </c>
      <c r="E136">
        <v>20</v>
      </c>
      <c r="F136" t="s">
        <v>14</v>
      </c>
      <c r="G136">
        <v>2</v>
      </c>
      <c r="H136">
        <v>25</v>
      </c>
      <c r="I136">
        <v>50</v>
      </c>
    </row>
    <row r="137" spans="1:9" x14ac:dyDescent="0.35">
      <c r="A137">
        <v>136</v>
      </c>
      <c r="B137" s="1">
        <v>45005</v>
      </c>
      <c r="C137" t="s">
        <v>149</v>
      </c>
      <c r="D137" t="s">
        <v>10</v>
      </c>
      <c r="E137">
        <v>44</v>
      </c>
      <c r="F137" t="s">
        <v>16</v>
      </c>
      <c r="G137">
        <v>2</v>
      </c>
      <c r="H137">
        <v>300</v>
      </c>
      <c r="I137">
        <v>600</v>
      </c>
    </row>
    <row r="138" spans="1:9" x14ac:dyDescent="0.35">
      <c r="A138">
        <v>137</v>
      </c>
      <c r="B138" s="1">
        <v>45248</v>
      </c>
      <c r="C138" t="s">
        <v>150</v>
      </c>
      <c r="D138" t="s">
        <v>10</v>
      </c>
      <c r="E138">
        <v>46</v>
      </c>
      <c r="F138" t="s">
        <v>11</v>
      </c>
      <c r="G138">
        <v>2</v>
      </c>
      <c r="H138">
        <v>500</v>
      </c>
      <c r="I138">
        <v>1000</v>
      </c>
    </row>
    <row r="139" spans="1:9" x14ac:dyDescent="0.35">
      <c r="A139">
        <v>138</v>
      </c>
      <c r="B139" s="1">
        <v>45008</v>
      </c>
      <c r="C139" t="s">
        <v>151</v>
      </c>
      <c r="D139" t="s">
        <v>10</v>
      </c>
      <c r="E139">
        <v>49</v>
      </c>
      <c r="F139" t="s">
        <v>14</v>
      </c>
      <c r="G139">
        <v>4</v>
      </c>
      <c r="H139">
        <v>50</v>
      </c>
      <c r="I139">
        <v>200</v>
      </c>
    </row>
    <row r="140" spans="1:9" x14ac:dyDescent="0.35">
      <c r="A140">
        <v>139</v>
      </c>
      <c r="B140" s="1">
        <v>45275</v>
      </c>
      <c r="C140" t="s">
        <v>152</v>
      </c>
      <c r="D140" t="s">
        <v>10</v>
      </c>
      <c r="E140">
        <v>36</v>
      </c>
      <c r="F140" t="s">
        <v>11</v>
      </c>
      <c r="G140">
        <v>4</v>
      </c>
      <c r="H140">
        <v>500</v>
      </c>
      <c r="I140">
        <v>2000</v>
      </c>
    </row>
    <row r="141" spans="1:9" x14ac:dyDescent="0.35">
      <c r="A141">
        <v>140</v>
      </c>
      <c r="B141" s="1">
        <v>45143</v>
      </c>
      <c r="C141" t="s">
        <v>153</v>
      </c>
      <c r="D141" t="s">
        <v>10</v>
      </c>
      <c r="E141">
        <v>38</v>
      </c>
      <c r="F141" t="s">
        <v>16</v>
      </c>
      <c r="G141">
        <v>1</v>
      </c>
      <c r="H141">
        <v>30</v>
      </c>
      <c r="I141">
        <v>30</v>
      </c>
    </row>
    <row r="142" spans="1:9" x14ac:dyDescent="0.35">
      <c r="A142">
        <v>141</v>
      </c>
      <c r="B142" s="1">
        <v>45232</v>
      </c>
      <c r="C142" t="s">
        <v>154</v>
      </c>
      <c r="D142" t="s">
        <v>13</v>
      </c>
      <c r="E142">
        <v>22</v>
      </c>
      <c r="F142" t="s">
        <v>16</v>
      </c>
      <c r="G142">
        <v>1</v>
      </c>
      <c r="H142">
        <v>50</v>
      </c>
      <c r="I142">
        <v>50</v>
      </c>
    </row>
    <row r="143" spans="1:9" x14ac:dyDescent="0.35">
      <c r="A143">
        <v>142</v>
      </c>
      <c r="B143" s="1">
        <v>44959</v>
      </c>
      <c r="C143" t="s">
        <v>155</v>
      </c>
      <c r="D143" t="s">
        <v>10</v>
      </c>
      <c r="E143">
        <v>35</v>
      </c>
      <c r="F143" t="s">
        <v>16</v>
      </c>
      <c r="G143">
        <v>4</v>
      </c>
      <c r="H143">
        <v>300</v>
      </c>
      <c r="I143">
        <v>1200</v>
      </c>
    </row>
    <row r="144" spans="1:9" x14ac:dyDescent="0.35">
      <c r="A144">
        <v>143</v>
      </c>
      <c r="B144" s="1">
        <v>45124</v>
      </c>
      <c r="C144" t="s">
        <v>156</v>
      </c>
      <c r="D144" t="s">
        <v>13</v>
      </c>
      <c r="E144">
        <v>45</v>
      </c>
      <c r="F144" t="s">
        <v>14</v>
      </c>
      <c r="G144">
        <v>1</v>
      </c>
      <c r="H144">
        <v>50</v>
      </c>
      <c r="I144">
        <v>50</v>
      </c>
    </row>
    <row r="145" spans="1:9" x14ac:dyDescent="0.35">
      <c r="A145">
        <v>144</v>
      </c>
      <c r="B145" s="1">
        <v>45122</v>
      </c>
      <c r="C145" t="s">
        <v>157</v>
      </c>
      <c r="D145" t="s">
        <v>13</v>
      </c>
      <c r="E145">
        <v>59</v>
      </c>
      <c r="F145" t="s">
        <v>11</v>
      </c>
      <c r="G145">
        <v>3</v>
      </c>
      <c r="H145">
        <v>500</v>
      </c>
      <c r="I145">
        <v>1500</v>
      </c>
    </row>
    <row r="146" spans="1:9" x14ac:dyDescent="0.35">
      <c r="A146">
        <v>145</v>
      </c>
      <c r="B146" s="1">
        <v>45232</v>
      </c>
      <c r="C146" t="s">
        <v>158</v>
      </c>
      <c r="D146" t="s">
        <v>13</v>
      </c>
      <c r="E146">
        <v>39</v>
      </c>
      <c r="F146" t="s">
        <v>14</v>
      </c>
      <c r="G146">
        <v>3</v>
      </c>
      <c r="H146">
        <v>25</v>
      </c>
      <c r="I146">
        <v>75</v>
      </c>
    </row>
    <row r="147" spans="1:9" x14ac:dyDescent="0.35">
      <c r="A147">
        <v>146</v>
      </c>
      <c r="B147" s="1">
        <v>45166</v>
      </c>
      <c r="C147" t="s">
        <v>159</v>
      </c>
      <c r="D147" t="s">
        <v>10</v>
      </c>
      <c r="E147">
        <v>38</v>
      </c>
      <c r="F147" t="s">
        <v>14</v>
      </c>
      <c r="G147">
        <v>4</v>
      </c>
      <c r="H147">
        <v>50</v>
      </c>
      <c r="I147">
        <v>200</v>
      </c>
    </row>
    <row r="148" spans="1:9" x14ac:dyDescent="0.35">
      <c r="A148">
        <v>147</v>
      </c>
      <c r="B148" s="1">
        <v>45197</v>
      </c>
      <c r="C148" t="s">
        <v>160</v>
      </c>
      <c r="D148" t="s">
        <v>10</v>
      </c>
      <c r="E148">
        <v>23</v>
      </c>
      <c r="F148" t="s">
        <v>16</v>
      </c>
      <c r="G148">
        <v>1</v>
      </c>
      <c r="H148">
        <v>300</v>
      </c>
      <c r="I148">
        <v>300</v>
      </c>
    </row>
    <row r="149" spans="1:9" x14ac:dyDescent="0.35">
      <c r="A149">
        <v>148</v>
      </c>
      <c r="B149" s="1">
        <v>45055</v>
      </c>
      <c r="C149" t="s">
        <v>161</v>
      </c>
      <c r="D149" t="s">
        <v>10</v>
      </c>
      <c r="E149">
        <v>18</v>
      </c>
      <c r="F149" t="s">
        <v>14</v>
      </c>
      <c r="G149">
        <v>2</v>
      </c>
      <c r="H149">
        <v>30</v>
      </c>
      <c r="I149">
        <v>60</v>
      </c>
    </row>
    <row r="150" spans="1:9" x14ac:dyDescent="0.35">
      <c r="A150">
        <v>149</v>
      </c>
      <c r="B150" s="1">
        <v>45210</v>
      </c>
      <c r="C150" t="s">
        <v>162</v>
      </c>
      <c r="D150" t="s">
        <v>10</v>
      </c>
      <c r="E150">
        <v>22</v>
      </c>
      <c r="F150" t="s">
        <v>14</v>
      </c>
      <c r="G150">
        <v>3</v>
      </c>
      <c r="H150">
        <v>25</v>
      </c>
      <c r="I150">
        <v>75</v>
      </c>
    </row>
    <row r="151" spans="1:9" x14ac:dyDescent="0.35">
      <c r="A151">
        <v>150</v>
      </c>
      <c r="B151" s="1">
        <v>44932</v>
      </c>
      <c r="C151" t="s">
        <v>163</v>
      </c>
      <c r="D151" t="s">
        <v>13</v>
      </c>
      <c r="E151">
        <v>58</v>
      </c>
      <c r="F151" t="s">
        <v>16</v>
      </c>
      <c r="G151">
        <v>4</v>
      </c>
      <c r="H151">
        <v>30</v>
      </c>
      <c r="I151">
        <v>120</v>
      </c>
    </row>
    <row r="152" spans="1:9" x14ac:dyDescent="0.35">
      <c r="A152">
        <v>151</v>
      </c>
      <c r="B152" s="1">
        <v>45275</v>
      </c>
      <c r="C152" t="s">
        <v>164</v>
      </c>
      <c r="D152" t="s">
        <v>10</v>
      </c>
      <c r="E152">
        <v>29</v>
      </c>
      <c r="F152" t="s">
        <v>14</v>
      </c>
      <c r="G152">
        <v>1</v>
      </c>
      <c r="H152">
        <v>50</v>
      </c>
      <c r="I152">
        <v>50</v>
      </c>
    </row>
    <row r="153" spans="1:9" x14ac:dyDescent="0.35">
      <c r="A153">
        <v>152</v>
      </c>
      <c r="B153" s="1">
        <v>44985</v>
      </c>
      <c r="C153" t="s">
        <v>165</v>
      </c>
      <c r="D153" t="s">
        <v>10</v>
      </c>
      <c r="E153">
        <v>43</v>
      </c>
      <c r="F153" t="s">
        <v>16</v>
      </c>
      <c r="G153">
        <v>4</v>
      </c>
      <c r="H153">
        <v>500</v>
      </c>
      <c r="I153">
        <v>2000</v>
      </c>
    </row>
    <row r="154" spans="1:9" x14ac:dyDescent="0.35">
      <c r="A154">
        <v>153</v>
      </c>
      <c r="B154" s="1">
        <v>45276</v>
      </c>
      <c r="C154" t="s">
        <v>166</v>
      </c>
      <c r="D154" t="s">
        <v>10</v>
      </c>
      <c r="E154">
        <v>63</v>
      </c>
      <c r="F154" t="s">
        <v>16</v>
      </c>
      <c r="G154">
        <v>2</v>
      </c>
      <c r="H154">
        <v>500</v>
      </c>
      <c r="I154">
        <v>1000</v>
      </c>
    </row>
    <row r="155" spans="1:9" x14ac:dyDescent="0.35">
      <c r="A155">
        <v>154</v>
      </c>
      <c r="B155" s="1">
        <v>45201</v>
      </c>
      <c r="C155" t="s">
        <v>167</v>
      </c>
      <c r="D155" t="s">
        <v>10</v>
      </c>
      <c r="E155">
        <v>51</v>
      </c>
      <c r="F155" t="s">
        <v>16</v>
      </c>
      <c r="G155">
        <v>3</v>
      </c>
      <c r="H155">
        <v>300</v>
      </c>
      <c r="I155">
        <v>900</v>
      </c>
    </row>
    <row r="156" spans="1:9" x14ac:dyDescent="0.35">
      <c r="A156">
        <v>155</v>
      </c>
      <c r="B156" s="1">
        <v>45063</v>
      </c>
      <c r="C156" t="s">
        <v>168</v>
      </c>
      <c r="D156" t="s">
        <v>10</v>
      </c>
      <c r="E156">
        <v>31</v>
      </c>
      <c r="F156" t="s">
        <v>16</v>
      </c>
      <c r="G156">
        <v>4</v>
      </c>
      <c r="H156">
        <v>500</v>
      </c>
      <c r="I156">
        <v>2000</v>
      </c>
    </row>
    <row r="157" spans="1:9" x14ac:dyDescent="0.35">
      <c r="A157">
        <v>156</v>
      </c>
      <c r="B157" s="1">
        <v>45255</v>
      </c>
      <c r="C157" t="s">
        <v>169</v>
      </c>
      <c r="D157" t="s">
        <v>13</v>
      </c>
      <c r="E157">
        <v>43</v>
      </c>
      <c r="F157" t="s">
        <v>14</v>
      </c>
      <c r="G157">
        <v>4</v>
      </c>
      <c r="H157">
        <v>25</v>
      </c>
      <c r="I157">
        <v>100</v>
      </c>
    </row>
    <row r="158" spans="1:9" x14ac:dyDescent="0.35">
      <c r="A158">
        <v>157</v>
      </c>
      <c r="B158" s="1">
        <v>45101</v>
      </c>
      <c r="C158" t="s">
        <v>170</v>
      </c>
      <c r="D158" t="s">
        <v>10</v>
      </c>
      <c r="E158">
        <v>62</v>
      </c>
      <c r="F158" t="s">
        <v>16</v>
      </c>
      <c r="G158">
        <v>4</v>
      </c>
      <c r="H158">
        <v>500</v>
      </c>
      <c r="I158">
        <v>2000</v>
      </c>
    </row>
    <row r="159" spans="1:9" x14ac:dyDescent="0.35">
      <c r="A159">
        <v>158</v>
      </c>
      <c r="B159" s="1">
        <v>44984</v>
      </c>
      <c r="C159" t="s">
        <v>171</v>
      </c>
      <c r="D159" t="s">
        <v>13</v>
      </c>
      <c r="E159">
        <v>44</v>
      </c>
      <c r="F159" t="s">
        <v>16</v>
      </c>
      <c r="G159">
        <v>2</v>
      </c>
      <c r="H159">
        <v>300</v>
      </c>
      <c r="I159">
        <v>600</v>
      </c>
    </row>
    <row r="160" spans="1:9" x14ac:dyDescent="0.35">
      <c r="A160">
        <v>159</v>
      </c>
      <c r="B160" s="1">
        <v>45077</v>
      </c>
      <c r="C160" t="s">
        <v>172</v>
      </c>
      <c r="D160" t="s">
        <v>10</v>
      </c>
      <c r="E160">
        <v>26</v>
      </c>
      <c r="F160" t="s">
        <v>14</v>
      </c>
      <c r="G160">
        <v>4</v>
      </c>
      <c r="H160">
        <v>50</v>
      </c>
      <c r="I160">
        <v>200</v>
      </c>
    </row>
    <row r="161" spans="1:9" x14ac:dyDescent="0.35">
      <c r="A161">
        <v>160</v>
      </c>
      <c r="B161" s="1">
        <v>45149</v>
      </c>
      <c r="C161" t="s">
        <v>173</v>
      </c>
      <c r="D161" t="s">
        <v>13</v>
      </c>
      <c r="E161">
        <v>43</v>
      </c>
      <c r="F161" t="s">
        <v>14</v>
      </c>
      <c r="G161">
        <v>2</v>
      </c>
      <c r="H161">
        <v>50</v>
      </c>
      <c r="I161">
        <v>100</v>
      </c>
    </row>
    <row r="162" spans="1:9" x14ac:dyDescent="0.35">
      <c r="A162">
        <v>161</v>
      </c>
      <c r="B162" s="1">
        <v>45007</v>
      </c>
      <c r="C162" t="s">
        <v>174</v>
      </c>
      <c r="D162" t="s">
        <v>10</v>
      </c>
      <c r="E162">
        <v>64</v>
      </c>
      <c r="F162" t="s">
        <v>11</v>
      </c>
      <c r="G162">
        <v>2</v>
      </c>
      <c r="H162">
        <v>500</v>
      </c>
      <c r="I162">
        <v>1000</v>
      </c>
    </row>
    <row r="163" spans="1:9" x14ac:dyDescent="0.35">
      <c r="A163">
        <v>162</v>
      </c>
      <c r="B163" s="1">
        <v>45159</v>
      </c>
      <c r="C163" t="s">
        <v>175</v>
      </c>
      <c r="D163" t="s">
        <v>10</v>
      </c>
      <c r="E163">
        <v>39</v>
      </c>
      <c r="F163" t="s">
        <v>14</v>
      </c>
      <c r="G163">
        <v>2</v>
      </c>
      <c r="H163">
        <v>30</v>
      </c>
      <c r="I163">
        <v>60</v>
      </c>
    </row>
    <row r="164" spans="1:9" x14ac:dyDescent="0.35">
      <c r="A164">
        <v>163</v>
      </c>
      <c r="B164" s="1">
        <v>44928</v>
      </c>
      <c r="C164" t="s">
        <v>176</v>
      </c>
      <c r="D164" t="s">
        <v>13</v>
      </c>
      <c r="E164">
        <v>64</v>
      </c>
      <c r="F164" t="s">
        <v>14</v>
      </c>
      <c r="G164">
        <v>3</v>
      </c>
      <c r="H164">
        <v>50</v>
      </c>
      <c r="I164">
        <v>150</v>
      </c>
    </row>
    <row r="165" spans="1:9" x14ac:dyDescent="0.35">
      <c r="A165">
        <v>164</v>
      </c>
      <c r="B165" s="1">
        <v>45061</v>
      </c>
      <c r="C165" t="s">
        <v>177</v>
      </c>
      <c r="D165" t="s">
        <v>13</v>
      </c>
      <c r="E165">
        <v>47</v>
      </c>
      <c r="F165" t="s">
        <v>11</v>
      </c>
      <c r="G165">
        <v>3</v>
      </c>
      <c r="H165">
        <v>500</v>
      </c>
      <c r="I165">
        <v>1500</v>
      </c>
    </row>
    <row r="166" spans="1:9" x14ac:dyDescent="0.35">
      <c r="A166">
        <v>165</v>
      </c>
      <c r="B166" s="1">
        <v>45183</v>
      </c>
      <c r="C166" t="s">
        <v>178</v>
      </c>
      <c r="D166" t="s">
        <v>13</v>
      </c>
      <c r="E166">
        <v>60</v>
      </c>
      <c r="F166" t="s">
        <v>14</v>
      </c>
      <c r="G166">
        <v>4</v>
      </c>
      <c r="H166">
        <v>300</v>
      </c>
      <c r="I166">
        <v>1200</v>
      </c>
    </row>
    <row r="167" spans="1:9" x14ac:dyDescent="0.35">
      <c r="A167">
        <v>166</v>
      </c>
      <c r="B167" s="1">
        <v>45018</v>
      </c>
      <c r="C167" t="s">
        <v>179</v>
      </c>
      <c r="D167" t="s">
        <v>10</v>
      </c>
      <c r="E167">
        <v>34</v>
      </c>
      <c r="F167" t="s">
        <v>14</v>
      </c>
      <c r="G167">
        <v>4</v>
      </c>
      <c r="H167">
        <v>500</v>
      </c>
      <c r="I167">
        <v>2000</v>
      </c>
    </row>
    <row r="168" spans="1:9" x14ac:dyDescent="0.35">
      <c r="A168">
        <v>167</v>
      </c>
      <c r="B168" s="1">
        <v>45186</v>
      </c>
      <c r="C168" t="s">
        <v>180</v>
      </c>
      <c r="D168" t="s">
        <v>13</v>
      </c>
      <c r="E168">
        <v>43</v>
      </c>
      <c r="F168" t="s">
        <v>14</v>
      </c>
      <c r="G168">
        <v>3</v>
      </c>
      <c r="H168">
        <v>50</v>
      </c>
      <c r="I168">
        <v>150</v>
      </c>
    </row>
    <row r="169" spans="1:9" x14ac:dyDescent="0.35">
      <c r="A169">
        <v>168</v>
      </c>
      <c r="B169" s="1">
        <v>44981</v>
      </c>
      <c r="C169" t="s">
        <v>181</v>
      </c>
      <c r="D169" t="s">
        <v>10</v>
      </c>
      <c r="E169">
        <v>53</v>
      </c>
      <c r="F169" t="s">
        <v>14</v>
      </c>
      <c r="G169">
        <v>1</v>
      </c>
      <c r="H169">
        <v>300</v>
      </c>
      <c r="I169">
        <v>300</v>
      </c>
    </row>
    <row r="170" spans="1:9" x14ac:dyDescent="0.35">
      <c r="A170">
        <v>169</v>
      </c>
      <c r="B170" s="1">
        <v>45247</v>
      </c>
      <c r="C170" t="s">
        <v>182</v>
      </c>
      <c r="D170" t="s">
        <v>10</v>
      </c>
      <c r="E170">
        <v>18</v>
      </c>
      <c r="F170" t="s">
        <v>11</v>
      </c>
      <c r="G170">
        <v>3</v>
      </c>
      <c r="H170">
        <v>500</v>
      </c>
      <c r="I170">
        <v>1500</v>
      </c>
    </row>
    <row r="171" spans="1:9" x14ac:dyDescent="0.35">
      <c r="A171">
        <v>170</v>
      </c>
      <c r="B171" s="1">
        <v>45079</v>
      </c>
      <c r="C171" t="s">
        <v>183</v>
      </c>
      <c r="D171" t="s">
        <v>13</v>
      </c>
      <c r="E171">
        <v>25</v>
      </c>
      <c r="F171" t="s">
        <v>14</v>
      </c>
      <c r="G171">
        <v>2</v>
      </c>
      <c r="H171">
        <v>25</v>
      </c>
      <c r="I171">
        <v>50</v>
      </c>
    </row>
    <row r="172" spans="1:9" x14ac:dyDescent="0.35">
      <c r="A172">
        <v>171</v>
      </c>
      <c r="B172" s="1">
        <v>45254</v>
      </c>
      <c r="C172" t="s">
        <v>184</v>
      </c>
      <c r="D172" t="s">
        <v>13</v>
      </c>
      <c r="E172">
        <v>52</v>
      </c>
      <c r="F172" t="s">
        <v>14</v>
      </c>
      <c r="G172">
        <v>3</v>
      </c>
      <c r="H172">
        <v>300</v>
      </c>
      <c r="I172">
        <v>900</v>
      </c>
    </row>
    <row r="173" spans="1:9" x14ac:dyDescent="0.35">
      <c r="A173">
        <v>172</v>
      </c>
      <c r="B173" s="1">
        <v>45186</v>
      </c>
      <c r="C173" t="s">
        <v>185</v>
      </c>
      <c r="D173" t="s">
        <v>10</v>
      </c>
      <c r="E173">
        <v>32</v>
      </c>
      <c r="F173" t="s">
        <v>11</v>
      </c>
      <c r="G173">
        <v>2</v>
      </c>
      <c r="H173">
        <v>25</v>
      </c>
      <c r="I173">
        <v>50</v>
      </c>
    </row>
    <row r="174" spans="1:9" x14ac:dyDescent="0.35">
      <c r="A174">
        <v>173</v>
      </c>
      <c r="B174" s="1">
        <v>45238</v>
      </c>
      <c r="C174" t="s">
        <v>186</v>
      </c>
      <c r="D174" t="s">
        <v>10</v>
      </c>
      <c r="E174">
        <v>64</v>
      </c>
      <c r="F174" t="s">
        <v>16</v>
      </c>
      <c r="G174">
        <v>4</v>
      </c>
      <c r="H174">
        <v>30</v>
      </c>
      <c r="I174">
        <v>120</v>
      </c>
    </row>
    <row r="175" spans="1:9" x14ac:dyDescent="0.35">
      <c r="A175">
        <v>174</v>
      </c>
      <c r="B175" s="1">
        <v>45028</v>
      </c>
      <c r="C175" t="s">
        <v>187</v>
      </c>
      <c r="D175" t="s">
        <v>13</v>
      </c>
      <c r="E175">
        <v>39</v>
      </c>
      <c r="F175" t="s">
        <v>11</v>
      </c>
      <c r="G175">
        <v>1</v>
      </c>
      <c r="H175">
        <v>300</v>
      </c>
      <c r="I175">
        <v>300</v>
      </c>
    </row>
    <row r="176" spans="1:9" x14ac:dyDescent="0.35">
      <c r="A176">
        <v>175</v>
      </c>
      <c r="B176" s="1">
        <v>45005</v>
      </c>
      <c r="C176" t="s">
        <v>188</v>
      </c>
      <c r="D176" t="s">
        <v>13</v>
      </c>
      <c r="E176">
        <v>31</v>
      </c>
      <c r="F176" t="s">
        <v>16</v>
      </c>
      <c r="G176">
        <v>4</v>
      </c>
      <c r="H176">
        <v>25</v>
      </c>
      <c r="I176">
        <v>100</v>
      </c>
    </row>
    <row r="177" spans="1:9" x14ac:dyDescent="0.35">
      <c r="A177">
        <v>176</v>
      </c>
      <c r="B177" s="1">
        <v>45118</v>
      </c>
      <c r="C177" t="s">
        <v>189</v>
      </c>
      <c r="D177" t="s">
        <v>13</v>
      </c>
      <c r="E177">
        <v>43</v>
      </c>
      <c r="F177" t="s">
        <v>11</v>
      </c>
      <c r="G177">
        <v>2</v>
      </c>
      <c r="H177">
        <v>50</v>
      </c>
      <c r="I177">
        <v>100</v>
      </c>
    </row>
    <row r="178" spans="1:9" x14ac:dyDescent="0.35">
      <c r="A178">
        <v>177</v>
      </c>
      <c r="B178" s="1">
        <v>45009</v>
      </c>
      <c r="C178" t="s">
        <v>190</v>
      </c>
      <c r="D178" t="s">
        <v>10</v>
      </c>
      <c r="E178">
        <v>45</v>
      </c>
      <c r="F178" t="s">
        <v>11</v>
      </c>
      <c r="G178">
        <v>2</v>
      </c>
      <c r="H178">
        <v>50</v>
      </c>
      <c r="I178">
        <v>100</v>
      </c>
    </row>
    <row r="179" spans="1:9" x14ac:dyDescent="0.35">
      <c r="A179">
        <v>178</v>
      </c>
      <c r="B179" s="1">
        <v>45203</v>
      </c>
      <c r="C179" t="s">
        <v>191</v>
      </c>
      <c r="D179" t="s">
        <v>10</v>
      </c>
      <c r="E179">
        <v>40</v>
      </c>
      <c r="F179" t="s">
        <v>14</v>
      </c>
      <c r="G179">
        <v>2</v>
      </c>
      <c r="H179">
        <v>30</v>
      </c>
      <c r="I179">
        <v>60</v>
      </c>
    </row>
    <row r="180" spans="1:9" x14ac:dyDescent="0.35">
      <c r="A180">
        <v>179</v>
      </c>
      <c r="B180" s="1">
        <v>45198</v>
      </c>
      <c r="C180" t="s">
        <v>192</v>
      </c>
      <c r="D180" t="s">
        <v>10</v>
      </c>
      <c r="E180">
        <v>31</v>
      </c>
      <c r="F180" t="s">
        <v>16</v>
      </c>
      <c r="G180">
        <v>1</v>
      </c>
      <c r="H180">
        <v>300</v>
      </c>
      <c r="I180">
        <v>300</v>
      </c>
    </row>
    <row r="181" spans="1:9" x14ac:dyDescent="0.35">
      <c r="A181">
        <v>180</v>
      </c>
      <c r="B181" s="1">
        <v>44927</v>
      </c>
      <c r="C181" t="s">
        <v>193</v>
      </c>
      <c r="D181" t="s">
        <v>10</v>
      </c>
      <c r="E181">
        <v>41</v>
      </c>
      <c r="F181" t="s">
        <v>14</v>
      </c>
      <c r="G181">
        <v>3</v>
      </c>
      <c r="H181">
        <v>300</v>
      </c>
      <c r="I181">
        <v>900</v>
      </c>
    </row>
    <row r="182" spans="1:9" x14ac:dyDescent="0.35">
      <c r="A182">
        <v>181</v>
      </c>
      <c r="B182" s="1">
        <v>45233</v>
      </c>
      <c r="C182" t="s">
        <v>194</v>
      </c>
      <c r="D182" t="s">
        <v>10</v>
      </c>
      <c r="E182">
        <v>19</v>
      </c>
      <c r="F182" t="s">
        <v>16</v>
      </c>
      <c r="G182">
        <v>4</v>
      </c>
      <c r="H182">
        <v>300</v>
      </c>
      <c r="I182">
        <v>1200</v>
      </c>
    </row>
    <row r="183" spans="1:9" x14ac:dyDescent="0.35">
      <c r="A183">
        <v>182</v>
      </c>
      <c r="B183" s="1">
        <v>45092</v>
      </c>
      <c r="C183" t="s">
        <v>195</v>
      </c>
      <c r="D183" t="s">
        <v>10</v>
      </c>
      <c r="E183">
        <v>62</v>
      </c>
      <c r="F183" t="s">
        <v>11</v>
      </c>
      <c r="G183">
        <v>4</v>
      </c>
      <c r="H183">
        <v>30</v>
      </c>
      <c r="I183">
        <v>120</v>
      </c>
    </row>
    <row r="184" spans="1:9" x14ac:dyDescent="0.35">
      <c r="A184">
        <v>183</v>
      </c>
      <c r="B184" s="1">
        <v>45177</v>
      </c>
      <c r="C184" t="s">
        <v>196</v>
      </c>
      <c r="D184" t="s">
        <v>13</v>
      </c>
      <c r="E184">
        <v>43</v>
      </c>
      <c r="F184" t="s">
        <v>11</v>
      </c>
      <c r="G184">
        <v>3</v>
      </c>
      <c r="H184">
        <v>300</v>
      </c>
      <c r="I184">
        <v>900</v>
      </c>
    </row>
    <row r="185" spans="1:9" x14ac:dyDescent="0.35">
      <c r="A185">
        <v>184</v>
      </c>
      <c r="B185" s="1">
        <v>44936</v>
      </c>
      <c r="C185" t="s">
        <v>197</v>
      </c>
      <c r="D185" t="s">
        <v>10</v>
      </c>
      <c r="E185">
        <v>31</v>
      </c>
      <c r="F185" t="s">
        <v>16</v>
      </c>
      <c r="G185">
        <v>4</v>
      </c>
      <c r="H185">
        <v>50</v>
      </c>
      <c r="I185">
        <v>200</v>
      </c>
    </row>
    <row r="186" spans="1:9" x14ac:dyDescent="0.35">
      <c r="A186">
        <v>185</v>
      </c>
      <c r="B186" s="1">
        <v>44984</v>
      </c>
      <c r="C186" t="s">
        <v>198</v>
      </c>
      <c r="D186" t="s">
        <v>10</v>
      </c>
      <c r="E186">
        <v>24</v>
      </c>
      <c r="F186" t="s">
        <v>14</v>
      </c>
      <c r="G186">
        <v>1</v>
      </c>
      <c r="H186">
        <v>25</v>
      </c>
      <c r="I186">
        <v>25</v>
      </c>
    </row>
    <row r="187" spans="1:9" x14ac:dyDescent="0.35">
      <c r="A187">
        <v>186</v>
      </c>
      <c r="B187" s="1">
        <v>45112</v>
      </c>
      <c r="C187" t="s">
        <v>199</v>
      </c>
      <c r="D187" t="s">
        <v>10</v>
      </c>
      <c r="E187">
        <v>20</v>
      </c>
      <c r="F187" t="s">
        <v>14</v>
      </c>
      <c r="G187">
        <v>4</v>
      </c>
      <c r="H187">
        <v>50</v>
      </c>
      <c r="I187">
        <v>200</v>
      </c>
    </row>
    <row r="188" spans="1:9" x14ac:dyDescent="0.35">
      <c r="A188">
        <v>187</v>
      </c>
      <c r="B188" s="1">
        <v>45084</v>
      </c>
      <c r="C188" t="s">
        <v>200</v>
      </c>
      <c r="D188" t="s">
        <v>13</v>
      </c>
      <c r="E188">
        <v>64</v>
      </c>
      <c r="F188" t="s">
        <v>14</v>
      </c>
      <c r="G188">
        <v>2</v>
      </c>
      <c r="H188">
        <v>50</v>
      </c>
      <c r="I188">
        <v>100</v>
      </c>
    </row>
    <row r="189" spans="1:9" x14ac:dyDescent="0.35">
      <c r="A189">
        <v>188</v>
      </c>
      <c r="B189" s="1">
        <v>45049</v>
      </c>
      <c r="C189" t="s">
        <v>201</v>
      </c>
      <c r="D189" t="s">
        <v>10</v>
      </c>
      <c r="E189">
        <v>40</v>
      </c>
      <c r="F189" t="s">
        <v>14</v>
      </c>
      <c r="G189">
        <v>3</v>
      </c>
      <c r="H189">
        <v>25</v>
      </c>
      <c r="I189">
        <v>75</v>
      </c>
    </row>
    <row r="190" spans="1:9" x14ac:dyDescent="0.35">
      <c r="A190">
        <v>189</v>
      </c>
      <c r="B190" s="1">
        <v>44956</v>
      </c>
      <c r="C190" t="s">
        <v>202</v>
      </c>
      <c r="D190" t="s">
        <v>10</v>
      </c>
      <c r="E190">
        <v>63</v>
      </c>
      <c r="F190" t="s">
        <v>11</v>
      </c>
      <c r="G190">
        <v>1</v>
      </c>
      <c r="H190">
        <v>50</v>
      </c>
      <c r="I190">
        <v>50</v>
      </c>
    </row>
    <row r="191" spans="1:9" x14ac:dyDescent="0.35">
      <c r="A191">
        <v>190</v>
      </c>
      <c r="B191" s="1">
        <v>45050</v>
      </c>
      <c r="C191" t="s">
        <v>203</v>
      </c>
      <c r="D191" t="s">
        <v>13</v>
      </c>
      <c r="E191">
        <v>60</v>
      </c>
      <c r="F191" t="s">
        <v>11</v>
      </c>
      <c r="G191">
        <v>3</v>
      </c>
      <c r="H191">
        <v>30</v>
      </c>
      <c r="I191">
        <v>90</v>
      </c>
    </row>
    <row r="192" spans="1:9" x14ac:dyDescent="0.35">
      <c r="A192">
        <v>191</v>
      </c>
      <c r="B192" s="1">
        <v>45217</v>
      </c>
      <c r="C192" t="s">
        <v>204</v>
      </c>
      <c r="D192" t="s">
        <v>10</v>
      </c>
      <c r="E192">
        <v>64</v>
      </c>
      <c r="F192" t="s">
        <v>11</v>
      </c>
      <c r="G192">
        <v>1</v>
      </c>
      <c r="H192">
        <v>25</v>
      </c>
      <c r="I192">
        <v>25</v>
      </c>
    </row>
    <row r="193" spans="1:9" x14ac:dyDescent="0.35">
      <c r="A193">
        <v>192</v>
      </c>
      <c r="B193" s="1">
        <v>44967</v>
      </c>
      <c r="C193" t="s">
        <v>205</v>
      </c>
      <c r="D193" t="s">
        <v>10</v>
      </c>
      <c r="E193">
        <v>62</v>
      </c>
      <c r="F193" t="s">
        <v>11</v>
      </c>
      <c r="G193">
        <v>2</v>
      </c>
      <c r="H193">
        <v>50</v>
      </c>
      <c r="I193">
        <v>100</v>
      </c>
    </row>
    <row r="194" spans="1:9" x14ac:dyDescent="0.35">
      <c r="A194">
        <v>193</v>
      </c>
      <c r="B194" s="1">
        <v>44970</v>
      </c>
      <c r="C194" t="s">
        <v>206</v>
      </c>
      <c r="D194" t="s">
        <v>10</v>
      </c>
      <c r="E194">
        <v>35</v>
      </c>
      <c r="F194" t="s">
        <v>11</v>
      </c>
      <c r="G194">
        <v>3</v>
      </c>
      <c r="H194">
        <v>500</v>
      </c>
      <c r="I194">
        <v>1500</v>
      </c>
    </row>
    <row r="195" spans="1:9" x14ac:dyDescent="0.35">
      <c r="A195">
        <v>194</v>
      </c>
      <c r="B195" s="1">
        <v>45175</v>
      </c>
      <c r="C195" t="s">
        <v>207</v>
      </c>
      <c r="D195" t="s">
        <v>10</v>
      </c>
      <c r="E195">
        <v>55</v>
      </c>
      <c r="F195" t="s">
        <v>14</v>
      </c>
      <c r="G195">
        <v>4</v>
      </c>
      <c r="H195">
        <v>50</v>
      </c>
      <c r="I195">
        <v>200</v>
      </c>
    </row>
    <row r="196" spans="1:9" x14ac:dyDescent="0.35">
      <c r="A196">
        <v>195</v>
      </c>
      <c r="B196" s="1">
        <v>44962</v>
      </c>
      <c r="C196" t="s">
        <v>208</v>
      </c>
      <c r="D196" t="s">
        <v>10</v>
      </c>
      <c r="E196">
        <v>52</v>
      </c>
      <c r="F196" t="s">
        <v>14</v>
      </c>
      <c r="G196">
        <v>1</v>
      </c>
      <c r="H196">
        <v>30</v>
      </c>
      <c r="I196">
        <v>30</v>
      </c>
    </row>
    <row r="197" spans="1:9" x14ac:dyDescent="0.35">
      <c r="A197">
        <v>196</v>
      </c>
      <c r="B197" s="1">
        <v>45199</v>
      </c>
      <c r="C197" t="s">
        <v>209</v>
      </c>
      <c r="D197" t="s">
        <v>13</v>
      </c>
      <c r="E197">
        <v>32</v>
      </c>
      <c r="F197" t="s">
        <v>14</v>
      </c>
      <c r="G197">
        <v>3</v>
      </c>
      <c r="H197">
        <v>300</v>
      </c>
      <c r="I197">
        <v>900</v>
      </c>
    </row>
    <row r="198" spans="1:9" x14ac:dyDescent="0.35">
      <c r="A198">
        <v>197</v>
      </c>
      <c r="B198" s="1">
        <v>44991</v>
      </c>
      <c r="C198" t="s">
        <v>210</v>
      </c>
      <c r="D198" t="s">
        <v>13</v>
      </c>
      <c r="E198">
        <v>42</v>
      </c>
      <c r="F198" t="s">
        <v>14</v>
      </c>
      <c r="G198">
        <v>4</v>
      </c>
      <c r="H198">
        <v>50</v>
      </c>
      <c r="I198">
        <v>200</v>
      </c>
    </row>
    <row r="199" spans="1:9" x14ac:dyDescent="0.35">
      <c r="A199">
        <v>198</v>
      </c>
      <c r="B199" s="1">
        <v>44992</v>
      </c>
      <c r="C199" t="s">
        <v>211</v>
      </c>
      <c r="D199" t="s">
        <v>13</v>
      </c>
      <c r="E199">
        <v>54</v>
      </c>
      <c r="F199" t="s">
        <v>11</v>
      </c>
      <c r="G199">
        <v>3</v>
      </c>
      <c r="H199">
        <v>300</v>
      </c>
      <c r="I199">
        <v>900</v>
      </c>
    </row>
    <row r="200" spans="1:9" x14ac:dyDescent="0.35">
      <c r="A200">
        <v>199</v>
      </c>
      <c r="B200" s="1">
        <v>45264</v>
      </c>
      <c r="C200" t="s">
        <v>212</v>
      </c>
      <c r="D200" t="s">
        <v>10</v>
      </c>
      <c r="E200">
        <v>45</v>
      </c>
      <c r="F200" t="s">
        <v>11</v>
      </c>
      <c r="G200">
        <v>3</v>
      </c>
      <c r="H200">
        <v>500</v>
      </c>
      <c r="I200">
        <v>1500</v>
      </c>
    </row>
    <row r="201" spans="1:9" x14ac:dyDescent="0.35">
      <c r="A201">
        <v>200</v>
      </c>
      <c r="B201" s="1">
        <v>45170</v>
      </c>
      <c r="C201" t="s">
        <v>213</v>
      </c>
      <c r="D201" t="s">
        <v>10</v>
      </c>
      <c r="E201">
        <v>27</v>
      </c>
      <c r="F201" t="s">
        <v>11</v>
      </c>
      <c r="G201">
        <v>3</v>
      </c>
      <c r="H201">
        <v>50</v>
      </c>
      <c r="I201">
        <v>150</v>
      </c>
    </row>
    <row r="202" spans="1:9" x14ac:dyDescent="0.35">
      <c r="A202">
        <v>201</v>
      </c>
      <c r="B202" s="1">
        <v>45208</v>
      </c>
      <c r="C202" t="s">
        <v>214</v>
      </c>
      <c r="D202" t="s">
        <v>10</v>
      </c>
      <c r="E202">
        <v>56</v>
      </c>
      <c r="F202" t="s">
        <v>16</v>
      </c>
      <c r="G202">
        <v>1</v>
      </c>
      <c r="H202">
        <v>25</v>
      </c>
      <c r="I202">
        <v>25</v>
      </c>
    </row>
    <row r="203" spans="1:9" x14ac:dyDescent="0.35">
      <c r="A203">
        <v>202</v>
      </c>
      <c r="B203" s="1">
        <v>45011</v>
      </c>
      <c r="C203" t="s">
        <v>215</v>
      </c>
      <c r="D203" t="s">
        <v>13</v>
      </c>
      <c r="E203">
        <v>34</v>
      </c>
      <c r="F203" t="s">
        <v>14</v>
      </c>
      <c r="G203">
        <v>4</v>
      </c>
      <c r="H203">
        <v>300</v>
      </c>
      <c r="I203">
        <v>1200</v>
      </c>
    </row>
    <row r="204" spans="1:9" x14ac:dyDescent="0.35">
      <c r="A204">
        <v>203</v>
      </c>
      <c r="B204" s="1">
        <v>45062</v>
      </c>
      <c r="C204" t="s">
        <v>216</v>
      </c>
      <c r="D204" t="s">
        <v>10</v>
      </c>
      <c r="E204">
        <v>56</v>
      </c>
      <c r="F204" t="s">
        <v>14</v>
      </c>
      <c r="G204">
        <v>2</v>
      </c>
      <c r="H204">
        <v>500</v>
      </c>
      <c r="I204">
        <v>1000</v>
      </c>
    </row>
    <row r="205" spans="1:9" x14ac:dyDescent="0.35">
      <c r="A205">
        <v>204</v>
      </c>
      <c r="B205" s="1">
        <v>45197</v>
      </c>
      <c r="C205" t="s">
        <v>217</v>
      </c>
      <c r="D205" t="s">
        <v>10</v>
      </c>
      <c r="E205">
        <v>39</v>
      </c>
      <c r="F205" t="s">
        <v>11</v>
      </c>
      <c r="G205">
        <v>1</v>
      </c>
      <c r="H205">
        <v>25</v>
      </c>
      <c r="I205">
        <v>25</v>
      </c>
    </row>
    <row r="206" spans="1:9" x14ac:dyDescent="0.35">
      <c r="A206">
        <v>205</v>
      </c>
      <c r="B206" s="1">
        <v>45237</v>
      </c>
      <c r="C206" t="s">
        <v>218</v>
      </c>
      <c r="D206" t="s">
        <v>13</v>
      </c>
      <c r="E206">
        <v>43</v>
      </c>
      <c r="F206" t="s">
        <v>14</v>
      </c>
      <c r="G206">
        <v>1</v>
      </c>
      <c r="H206">
        <v>25</v>
      </c>
      <c r="I206">
        <v>25</v>
      </c>
    </row>
    <row r="207" spans="1:9" x14ac:dyDescent="0.35">
      <c r="A207">
        <v>206</v>
      </c>
      <c r="B207" s="1">
        <v>45143</v>
      </c>
      <c r="C207" t="s">
        <v>219</v>
      </c>
      <c r="D207" t="s">
        <v>10</v>
      </c>
      <c r="E207">
        <v>61</v>
      </c>
      <c r="F207" t="s">
        <v>14</v>
      </c>
      <c r="G207">
        <v>1</v>
      </c>
      <c r="H207">
        <v>25</v>
      </c>
      <c r="I207">
        <v>25</v>
      </c>
    </row>
    <row r="208" spans="1:9" x14ac:dyDescent="0.35">
      <c r="A208">
        <v>207</v>
      </c>
      <c r="B208" s="1">
        <v>45035</v>
      </c>
      <c r="C208" t="s">
        <v>220</v>
      </c>
      <c r="D208" t="s">
        <v>13</v>
      </c>
      <c r="E208">
        <v>42</v>
      </c>
      <c r="F208" t="s">
        <v>11</v>
      </c>
      <c r="G208">
        <v>2</v>
      </c>
      <c r="H208">
        <v>25</v>
      </c>
      <c r="I208">
        <v>50</v>
      </c>
    </row>
    <row r="209" spans="1:9" x14ac:dyDescent="0.35">
      <c r="A209">
        <v>208</v>
      </c>
      <c r="B209" s="1">
        <v>45203</v>
      </c>
      <c r="C209" t="s">
        <v>221</v>
      </c>
      <c r="D209" t="s">
        <v>13</v>
      </c>
      <c r="E209">
        <v>34</v>
      </c>
      <c r="F209" t="s">
        <v>16</v>
      </c>
      <c r="G209">
        <v>4</v>
      </c>
      <c r="H209">
        <v>50</v>
      </c>
      <c r="I209">
        <v>200</v>
      </c>
    </row>
    <row r="210" spans="1:9" x14ac:dyDescent="0.35">
      <c r="A210">
        <v>209</v>
      </c>
      <c r="B210" s="1">
        <v>45280</v>
      </c>
      <c r="C210" t="s">
        <v>222</v>
      </c>
      <c r="D210" t="s">
        <v>13</v>
      </c>
      <c r="E210">
        <v>30</v>
      </c>
      <c r="F210" t="s">
        <v>16</v>
      </c>
      <c r="G210">
        <v>4</v>
      </c>
      <c r="H210">
        <v>50</v>
      </c>
      <c r="I210">
        <v>200</v>
      </c>
    </row>
    <row r="211" spans="1:9" x14ac:dyDescent="0.35">
      <c r="A211">
        <v>210</v>
      </c>
      <c r="B211" s="1">
        <v>45029</v>
      </c>
      <c r="C211" t="s">
        <v>223</v>
      </c>
      <c r="D211" t="s">
        <v>10</v>
      </c>
      <c r="E211">
        <v>37</v>
      </c>
      <c r="F211" t="s">
        <v>16</v>
      </c>
      <c r="G211">
        <v>4</v>
      </c>
      <c r="H211">
        <v>50</v>
      </c>
      <c r="I211">
        <v>200</v>
      </c>
    </row>
    <row r="212" spans="1:9" x14ac:dyDescent="0.35">
      <c r="A212">
        <v>211</v>
      </c>
      <c r="B212" s="1">
        <v>45292</v>
      </c>
      <c r="C212" t="s">
        <v>224</v>
      </c>
      <c r="D212" t="s">
        <v>10</v>
      </c>
      <c r="E212">
        <v>42</v>
      </c>
      <c r="F212" t="s">
        <v>11</v>
      </c>
      <c r="G212">
        <v>3</v>
      </c>
      <c r="H212">
        <v>500</v>
      </c>
      <c r="I212">
        <v>1500</v>
      </c>
    </row>
    <row r="213" spans="1:9" x14ac:dyDescent="0.35">
      <c r="A213">
        <v>212</v>
      </c>
      <c r="B213" s="1">
        <v>45086</v>
      </c>
      <c r="C213" t="s">
        <v>225</v>
      </c>
      <c r="D213" t="s">
        <v>10</v>
      </c>
      <c r="E213">
        <v>21</v>
      </c>
      <c r="F213" t="s">
        <v>14</v>
      </c>
      <c r="G213">
        <v>3</v>
      </c>
      <c r="H213">
        <v>500</v>
      </c>
      <c r="I213">
        <v>1500</v>
      </c>
    </row>
    <row r="214" spans="1:9" x14ac:dyDescent="0.35">
      <c r="A214">
        <v>213</v>
      </c>
      <c r="B214" s="1">
        <v>45131</v>
      </c>
      <c r="C214" t="s">
        <v>226</v>
      </c>
      <c r="D214" t="s">
        <v>10</v>
      </c>
      <c r="E214">
        <v>27</v>
      </c>
      <c r="F214" t="s">
        <v>11</v>
      </c>
      <c r="G214">
        <v>3</v>
      </c>
      <c r="H214">
        <v>500</v>
      </c>
      <c r="I214">
        <v>1500</v>
      </c>
    </row>
    <row r="215" spans="1:9" x14ac:dyDescent="0.35">
      <c r="A215">
        <v>214</v>
      </c>
      <c r="B215" s="1">
        <v>45270</v>
      </c>
      <c r="C215" t="s">
        <v>227</v>
      </c>
      <c r="D215" t="s">
        <v>10</v>
      </c>
      <c r="E215">
        <v>20</v>
      </c>
      <c r="F215" t="s">
        <v>11</v>
      </c>
      <c r="G215">
        <v>2</v>
      </c>
      <c r="H215">
        <v>30</v>
      </c>
      <c r="I215">
        <v>60</v>
      </c>
    </row>
    <row r="216" spans="1:9" x14ac:dyDescent="0.35">
      <c r="A216">
        <v>215</v>
      </c>
      <c r="B216" s="1">
        <v>45259</v>
      </c>
      <c r="C216" t="s">
        <v>228</v>
      </c>
      <c r="D216" t="s">
        <v>10</v>
      </c>
      <c r="E216">
        <v>58</v>
      </c>
      <c r="F216" t="s">
        <v>14</v>
      </c>
      <c r="G216">
        <v>3</v>
      </c>
      <c r="H216">
        <v>500</v>
      </c>
      <c r="I216">
        <v>1500</v>
      </c>
    </row>
    <row r="217" spans="1:9" x14ac:dyDescent="0.35">
      <c r="A217">
        <v>216</v>
      </c>
      <c r="B217" s="1">
        <v>45118</v>
      </c>
      <c r="C217" t="s">
        <v>229</v>
      </c>
      <c r="D217" t="s">
        <v>10</v>
      </c>
      <c r="E217">
        <v>62</v>
      </c>
      <c r="F217" t="s">
        <v>16</v>
      </c>
      <c r="G217">
        <v>2</v>
      </c>
      <c r="H217">
        <v>50</v>
      </c>
      <c r="I217">
        <v>100</v>
      </c>
    </row>
    <row r="218" spans="1:9" x14ac:dyDescent="0.35">
      <c r="A218">
        <v>217</v>
      </c>
      <c r="B218" s="1">
        <v>45151</v>
      </c>
      <c r="C218" t="s">
        <v>230</v>
      </c>
      <c r="D218" t="s">
        <v>13</v>
      </c>
      <c r="E218">
        <v>35</v>
      </c>
      <c r="F218" t="s">
        <v>16</v>
      </c>
      <c r="G218">
        <v>4</v>
      </c>
      <c r="H218">
        <v>50</v>
      </c>
      <c r="I218">
        <v>200</v>
      </c>
    </row>
    <row r="219" spans="1:9" x14ac:dyDescent="0.35">
      <c r="A219">
        <v>218</v>
      </c>
      <c r="B219" s="1">
        <v>45191</v>
      </c>
      <c r="C219" t="s">
        <v>231</v>
      </c>
      <c r="D219" t="s">
        <v>10</v>
      </c>
      <c r="E219">
        <v>64</v>
      </c>
      <c r="F219" t="s">
        <v>11</v>
      </c>
      <c r="G219">
        <v>3</v>
      </c>
      <c r="H219">
        <v>30</v>
      </c>
      <c r="I219">
        <v>90</v>
      </c>
    </row>
    <row r="220" spans="1:9" x14ac:dyDescent="0.35">
      <c r="A220">
        <v>219</v>
      </c>
      <c r="B220" s="1">
        <v>45158</v>
      </c>
      <c r="C220" t="s">
        <v>232</v>
      </c>
      <c r="D220" t="s">
        <v>13</v>
      </c>
      <c r="E220">
        <v>53</v>
      </c>
      <c r="F220" t="s">
        <v>16</v>
      </c>
      <c r="G220">
        <v>3</v>
      </c>
      <c r="H220">
        <v>30</v>
      </c>
      <c r="I220">
        <v>90</v>
      </c>
    </row>
    <row r="221" spans="1:9" x14ac:dyDescent="0.35">
      <c r="A221">
        <v>220</v>
      </c>
      <c r="B221" s="1">
        <v>44988</v>
      </c>
      <c r="C221" t="s">
        <v>233</v>
      </c>
      <c r="D221" t="s">
        <v>10</v>
      </c>
      <c r="E221">
        <v>64</v>
      </c>
      <c r="F221" t="s">
        <v>11</v>
      </c>
      <c r="G221">
        <v>1</v>
      </c>
      <c r="H221">
        <v>500</v>
      </c>
      <c r="I221">
        <v>500</v>
      </c>
    </row>
    <row r="222" spans="1:9" x14ac:dyDescent="0.35">
      <c r="A222">
        <v>221</v>
      </c>
      <c r="B222" s="1">
        <v>45053</v>
      </c>
      <c r="C222" t="s">
        <v>234</v>
      </c>
      <c r="D222" t="s">
        <v>10</v>
      </c>
      <c r="E222">
        <v>39</v>
      </c>
      <c r="F222" t="s">
        <v>11</v>
      </c>
      <c r="G222">
        <v>2</v>
      </c>
      <c r="H222">
        <v>300</v>
      </c>
      <c r="I222">
        <v>600</v>
      </c>
    </row>
    <row r="223" spans="1:9" x14ac:dyDescent="0.35">
      <c r="A223">
        <v>222</v>
      </c>
      <c r="B223" s="1">
        <v>45042</v>
      </c>
      <c r="C223" t="s">
        <v>235</v>
      </c>
      <c r="D223" t="s">
        <v>10</v>
      </c>
      <c r="E223">
        <v>51</v>
      </c>
      <c r="F223" t="s">
        <v>14</v>
      </c>
      <c r="G223">
        <v>4</v>
      </c>
      <c r="H223">
        <v>30</v>
      </c>
      <c r="I223">
        <v>120</v>
      </c>
    </row>
    <row r="224" spans="1:9" x14ac:dyDescent="0.35">
      <c r="A224">
        <v>223</v>
      </c>
      <c r="B224" s="1">
        <v>44959</v>
      </c>
      <c r="C224" t="s">
        <v>236</v>
      </c>
      <c r="D224" t="s">
        <v>13</v>
      </c>
      <c r="E224">
        <v>64</v>
      </c>
      <c r="F224" t="s">
        <v>14</v>
      </c>
      <c r="G224">
        <v>1</v>
      </c>
      <c r="H224">
        <v>25</v>
      </c>
      <c r="I224">
        <v>25</v>
      </c>
    </row>
    <row r="225" spans="1:9" x14ac:dyDescent="0.35">
      <c r="A225">
        <v>224</v>
      </c>
      <c r="B225" s="1">
        <v>45100</v>
      </c>
      <c r="C225" t="s">
        <v>237</v>
      </c>
      <c r="D225" t="s">
        <v>13</v>
      </c>
      <c r="E225">
        <v>25</v>
      </c>
      <c r="F225" t="s">
        <v>14</v>
      </c>
      <c r="G225">
        <v>1</v>
      </c>
      <c r="H225">
        <v>50</v>
      </c>
      <c r="I225">
        <v>50</v>
      </c>
    </row>
    <row r="226" spans="1:9" x14ac:dyDescent="0.35">
      <c r="A226">
        <v>225</v>
      </c>
      <c r="B226" s="1">
        <v>44937</v>
      </c>
      <c r="C226" t="s">
        <v>238</v>
      </c>
      <c r="D226" t="s">
        <v>13</v>
      </c>
      <c r="E226">
        <v>57</v>
      </c>
      <c r="F226" t="s">
        <v>11</v>
      </c>
      <c r="G226">
        <v>4</v>
      </c>
      <c r="H226">
        <v>25</v>
      </c>
      <c r="I226">
        <v>100</v>
      </c>
    </row>
    <row r="227" spans="1:9" x14ac:dyDescent="0.35">
      <c r="A227">
        <v>226</v>
      </c>
      <c r="B227" s="1">
        <v>45228</v>
      </c>
      <c r="C227" t="s">
        <v>239</v>
      </c>
      <c r="D227" t="s">
        <v>13</v>
      </c>
      <c r="E227">
        <v>61</v>
      </c>
      <c r="F227" t="s">
        <v>14</v>
      </c>
      <c r="G227">
        <v>1</v>
      </c>
      <c r="H227">
        <v>50</v>
      </c>
      <c r="I227">
        <v>50</v>
      </c>
    </row>
    <row r="228" spans="1:9" x14ac:dyDescent="0.35">
      <c r="A228">
        <v>227</v>
      </c>
      <c r="B228" s="1">
        <v>45210</v>
      </c>
      <c r="C228" t="s">
        <v>240</v>
      </c>
      <c r="D228" t="s">
        <v>10</v>
      </c>
      <c r="E228">
        <v>36</v>
      </c>
      <c r="F228" t="s">
        <v>16</v>
      </c>
      <c r="G228">
        <v>2</v>
      </c>
      <c r="H228">
        <v>50</v>
      </c>
      <c r="I228">
        <v>100</v>
      </c>
    </row>
    <row r="229" spans="1:9" x14ac:dyDescent="0.35">
      <c r="A229">
        <v>228</v>
      </c>
      <c r="B229" s="1">
        <v>45044</v>
      </c>
      <c r="C229" t="s">
        <v>241</v>
      </c>
      <c r="D229" t="s">
        <v>13</v>
      </c>
      <c r="E229">
        <v>59</v>
      </c>
      <c r="F229" t="s">
        <v>16</v>
      </c>
      <c r="G229">
        <v>2</v>
      </c>
      <c r="H229">
        <v>30</v>
      </c>
      <c r="I229">
        <v>60</v>
      </c>
    </row>
    <row r="230" spans="1:9" x14ac:dyDescent="0.35">
      <c r="A230">
        <v>229</v>
      </c>
      <c r="B230" s="1">
        <v>45228</v>
      </c>
      <c r="C230" t="s">
        <v>242</v>
      </c>
      <c r="D230" t="s">
        <v>10</v>
      </c>
      <c r="E230">
        <v>58</v>
      </c>
      <c r="F230" t="s">
        <v>11</v>
      </c>
      <c r="G230">
        <v>3</v>
      </c>
      <c r="H230">
        <v>30</v>
      </c>
      <c r="I230">
        <v>90</v>
      </c>
    </row>
    <row r="231" spans="1:9" x14ac:dyDescent="0.35">
      <c r="A231">
        <v>230</v>
      </c>
      <c r="B231" s="1">
        <v>45039</v>
      </c>
      <c r="C231" t="s">
        <v>243</v>
      </c>
      <c r="D231" t="s">
        <v>10</v>
      </c>
      <c r="E231">
        <v>54</v>
      </c>
      <c r="F231" t="s">
        <v>11</v>
      </c>
      <c r="G231">
        <v>1</v>
      </c>
      <c r="H231">
        <v>25</v>
      </c>
      <c r="I231">
        <v>25</v>
      </c>
    </row>
    <row r="232" spans="1:9" x14ac:dyDescent="0.35">
      <c r="A232">
        <v>231</v>
      </c>
      <c r="B232" s="1">
        <v>44930</v>
      </c>
      <c r="C232" t="s">
        <v>244</v>
      </c>
      <c r="D232" t="s">
        <v>13</v>
      </c>
      <c r="E232">
        <v>23</v>
      </c>
      <c r="F232" t="s">
        <v>14</v>
      </c>
      <c r="G232">
        <v>3</v>
      </c>
      <c r="H232">
        <v>50</v>
      </c>
      <c r="I232">
        <v>150</v>
      </c>
    </row>
    <row r="233" spans="1:9" x14ac:dyDescent="0.35">
      <c r="A233">
        <v>232</v>
      </c>
      <c r="B233" s="1">
        <v>44963</v>
      </c>
      <c r="C233" t="s">
        <v>245</v>
      </c>
      <c r="D233" t="s">
        <v>13</v>
      </c>
      <c r="E233">
        <v>43</v>
      </c>
      <c r="F233" t="s">
        <v>11</v>
      </c>
      <c r="G233">
        <v>1</v>
      </c>
      <c r="H233">
        <v>25</v>
      </c>
      <c r="I233">
        <v>25</v>
      </c>
    </row>
    <row r="234" spans="1:9" x14ac:dyDescent="0.35">
      <c r="A234">
        <v>233</v>
      </c>
      <c r="B234" s="1">
        <v>45289</v>
      </c>
      <c r="C234" t="s">
        <v>246</v>
      </c>
      <c r="D234" t="s">
        <v>13</v>
      </c>
      <c r="E234">
        <v>51</v>
      </c>
      <c r="F234" t="s">
        <v>11</v>
      </c>
      <c r="G234">
        <v>2</v>
      </c>
      <c r="H234">
        <v>300</v>
      </c>
      <c r="I234">
        <v>600</v>
      </c>
    </row>
    <row r="235" spans="1:9" x14ac:dyDescent="0.35">
      <c r="A235">
        <v>234</v>
      </c>
      <c r="B235" s="1">
        <v>45250</v>
      </c>
      <c r="C235" t="s">
        <v>247</v>
      </c>
      <c r="D235" t="s">
        <v>13</v>
      </c>
      <c r="E235">
        <v>62</v>
      </c>
      <c r="F235" t="s">
        <v>16</v>
      </c>
      <c r="G235">
        <v>2</v>
      </c>
      <c r="H235">
        <v>25</v>
      </c>
      <c r="I235">
        <v>50</v>
      </c>
    </row>
    <row r="236" spans="1:9" x14ac:dyDescent="0.35">
      <c r="A236">
        <v>235</v>
      </c>
      <c r="B236" s="1">
        <v>44957</v>
      </c>
      <c r="C236" t="s">
        <v>248</v>
      </c>
      <c r="D236" t="s">
        <v>13</v>
      </c>
      <c r="E236">
        <v>23</v>
      </c>
      <c r="F236" t="s">
        <v>16</v>
      </c>
      <c r="G236">
        <v>2</v>
      </c>
      <c r="H236">
        <v>500</v>
      </c>
      <c r="I236">
        <v>1000</v>
      </c>
    </row>
    <row r="237" spans="1:9" x14ac:dyDescent="0.35">
      <c r="A237">
        <v>236</v>
      </c>
      <c r="B237" s="1">
        <v>45044</v>
      </c>
      <c r="C237" t="s">
        <v>249</v>
      </c>
      <c r="D237" t="s">
        <v>13</v>
      </c>
      <c r="E237">
        <v>54</v>
      </c>
      <c r="F237" t="s">
        <v>14</v>
      </c>
      <c r="G237">
        <v>1</v>
      </c>
      <c r="H237">
        <v>25</v>
      </c>
      <c r="I237">
        <v>25</v>
      </c>
    </row>
    <row r="238" spans="1:9" x14ac:dyDescent="0.35">
      <c r="A238">
        <v>237</v>
      </c>
      <c r="B238" s="1">
        <v>44961</v>
      </c>
      <c r="C238" t="s">
        <v>250</v>
      </c>
      <c r="D238" t="s">
        <v>13</v>
      </c>
      <c r="E238">
        <v>50</v>
      </c>
      <c r="F238" t="s">
        <v>11</v>
      </c>
      <c r="G238">
        <v>2</v>
      </c>
      <c r="H238">
        <v>500</v>
      </c>
      <c r="I238">
        <v>1000</v>
      </c>
    </row>
    <row r="239" spans="1:9" x14ac:dyDescent="0.35">
      <c r="A239">
        <v>238</v>
      </c>
      <c r="B239" s="1">
        <v>44943</v>
      </c>
      <c r="C239" t="s">
        <v>251</v>
      </c>
      <c r="D239" t="s">
        <v>13</v>
      </c>
      <c r="E239">
        <v>39</v>
      </c>
      <c r="F239" t="s">
        <v>11</v>
      </c>
      <c r="G239">
        <v>1</v>
      </c>
      <c r="H239">
        <v>500</v>
      </c>
      <c r="I239">
        <v>500</v>
      </c>
    </row>
    <row r="240" spans="1:9" x14ac:dyDescent="0.35">
      <c r="A240">
        <v>239</v>
      </c>
      <c r="B240" s="1">
        <v>45096</v>
      </c>
      <c r="C240" t="s">
        <v>252</v>
      </c>
      <c r="D240" t="s">
        <v>10</v>
      </c>
      <c r="E240">
        <v>38</v>
      </c>
      <c r="F240" t="s">
        <v>16</v>
      </c>
      <c r="G240">
        <v>3</v>
      </c>
      <c r="H240">
        <v>500</v>
      </c>
      <c r="I240">
        <v>1500</v>
      </c>
    </row>
    <row r="241" spans="1:9" x14ac:dyDescent="0.35">
      <c r="A241">
        <v>240</v>
      </c>
      <c r="B241" s="1">
        <v>44963</v>
      </c>
      <c r="C241" t="s">
        <v>253</v>
      </c>
      <c r="D241" t="s">
        <v>13</v>
      </c>
      <c r="E241">
        <v>23</v>
      </c>
      <c r="F241" t="s">
        <v>11</v>
      </c>
      <c r="G241">
        <v>1</v>
      </c>
      <c r="H241">
        <v>300</v>
      </c>
      <c r="I241">
        <v>300</v>
      </c>
    </row>
    <row r="242" spans="1:9" x14ac:dyDescent="0.35">
      <c r="A242">
        <v>241</v>
      </c>
      <c r="B242" s="1">
        <v>45190</v>
      </c>
      <c r="C242" t="s">
        <v>254</v>
      </c>
      <c r="D242" t="s">
        <v>13</v>
      </c>
      <c r="E242">
        <v>23</v>
      </c>
      <c r="F242" t="s">
        <v>16</v>
      </c>
      <c r="G242">
        <v>3</v>
      </c>
      <c r="H242">
        <v>25</v>
      </c>
      <c r="I242">
        <v>75</v>
      </c>
    </row>
    <row r="243" spans="1:9" x14ac:dyDescent="0.35">
      <c r="A243">
        <v>242</v>
      </c>
      <c r="B243" s="1">
        <v>45048</v>
      </c>
      <c r="C243" t="s">
        <v>255</v>
      </c>
      <c r="D243" t="s">
        <v>10</v>
      </c>
      <c r="E243">
        <v>21</v>
      </c>
      <c r="F243" t="s">
        <v>14</v>
      </c>
      <c r="G243">
        <v>1</v>
      </c>
      <c r="H243">
        <v>25</v>
      </c>
      <c r="I243">
        <v>25</v>
      </c>
    </row>
    <row r="244" spans="1:9" x14ac:dyDescent="0.35">
      <c r="A244">
        <v>243</v>
      </c>
      <c r="B244" s="1">
        <v>45069</v>
      </c>
      <c r="C244" t="s">
        <v>256</v>
      </c>
      <c r="D244" t="s">
        <v>13</v>
      </c>
      <c r="E244">
        <v>47</v>
      </c>
      <c r="F244" t="s">
        <v>16</v>
      </c>
      <c r="G244">
        <v>3</v>
      </c>
      <c r="H244">
        <v>300</v>
      </c>
      <c r="I244">
        <v>900</v>
      </c>
    </row>
    <row r="245" spans="1:9" x14ac:dyDescent="0.35">
      <c r="A245">
        <v>244</v>
      </c>
      <c r="B245" s="1">
        <v>45269</v>
      </c>
      <c r="C245" t="s">
        <v>257</v>
      </c>
      <c r="D245" t="s">
        <v>10</v>
      </c>
      <c r="E245">
        <v>28</v>
      </c>
      <c r="F245" t="s">
        <v>11</v>
      </c>
      <c r="G245">
        <v>2</v>
      </c>
      <c r="H245">
        <v>50</v>
      </c>
      <c r="I245">
        <v>100</v>
      </c>
    </row>
    <row r="246" spans="1:9" x14ac:dyDescent="0.35">
      <c r="A246">
        <v>245</v>
      </c>
      <c r="B246" s="1">
        <v>45175</v>
      </c>
      <c r="C246" t="s">
        <v>258</v>
      </c>
      <c r="D246" t="s">
        <v>10</v>
      </c>
      <c r="E246">
        <v>47</v>
      </c>
      <c r="F246" t="s">
        <v>14</v>
      </c>
      <c r="G246">
        <v>3</v>
      </c>
      <c r="H246">
        <v>30</v>
      </c>
      <c r="I246">
        <v>90</v>
      </c>
    </row>
    <row r="247" spans="1:9" x14ac:dyDescent="0.35">
      <c r="A247">
        <v>246</v>
      </c>
      <c r="B247" s="1">
        <v>45036</v>
      </c>
      <c r="C247" t="s">
        <v>259</v>
      </c>
      <c r="D247" t="s">
        <v>13</v>
      </c>
      <c r="E247">
        <v>48</v>
      </c>
      <c r="F247" t="s">
        <v>16</v>
      </c>
      <c r="G247">
        <v>2</v>
      </c>
      <c r="H247">
        <v>25</v>
      </c>
      <c r="I247">
        <v>50</v>
      </c>
    </row>
    <row r="248" spans="1:9" x14ac:dyDescent="0.35">
      <c r="A248">
        <v>247</v>
      </c>
      <c r="B248" s="1">
        <v>45203</v>
      </c>
      <c r="C248" t="s">
        <v>260</v>
      </c>
      <c r="D248" t="s">
        <v>10</v>
      </c>
      <c r="E248">
        <v>41</v>
      </c>
      <c r="F248" t="s">
        <v>16</v>
      </c>
      <c r="G248">
        <v>2</v>
      </c>
      <c r="H248">
        <v>30</v>
      </c>
      <c r="I248">
        <v>60</v>
      </c>
    </row>
    <row r="249" spans="1:9" x14ac:dyDescent="0.35">
      <c r="A249">
        <v>248</v>
      </c>
      <c r="B249" s="1">
        <v>44994</v>
      </c>
      <c r="C249" t="s">
        <v>261</v>
      </c>
      <c r="D249" t="s">
        <v>10</v>
      </c>
      <c r="E249">
        <v>26</v>
      </c>
      <c r="F249" t="s">
        <v>14</v>
      </c>
      <c r="G249">
        <v>3</v>
      </c>
      <c r="H249">
        <v>300</v>
      </c>
      <c r="I249">
        <v>900</v>
      </c>
    </row>
    <row r="250" spans="1:9" x14ac:dyDescent="0.35">
      <c r="A250">
        <v>249</v>
      </c>
      <c r="B250" s="1">
        <v>45219</v>
      </c>
      <c r="C250" t="s">
        <v>262</v>
      </c>
      <c r="D250" t="s">
        <v>10</v>
      </c>
      <c r="E250">
        <v>20</v>
      </c>
      <c r="F250" t="s">
        <v>14</v>
      </c>
      <c r="G250">
        <v>1</v>
      </c>
      <c r="H250">
        <v>50</v>
      </c>
      <c r="I250">
        <v>50</v>
      </c>
    </row>
    <row r="251" spans="1:9" x14ac:dyDescent="0.35">
      <c r="A251">
        <v>250</v>
      </c>
      <c r="B251" s="1">
        <v>45222</v>
      </c>
      <c r="C251" t="s">
        <v>263</v>
      </c>
      <c r="D251" t="s">
        <v>10</v>
      </c>
      <c r="E251">
        <v>48</v>
      </c>
      <c r="F251" t="s">
        <v>16</v>
      </c>
      <c r="G251">
        <v>1</v>
      </c>
      <c r="H251">
        <v>50</v>
      </c>
      <c r="I251">
        <v>50</v>
      </c>
    </row>
    <row r="252" spans="1:9" x14ac:dyDescent="0.35">
      <c r="A252">
        <v>251</v>
      </c>
      <c r="B252" s="1">
        <v>45169</v>
      </c>
      <c r="C252" t="s">
        <v>264</v>
      </c>
      <c r="D252" t="s">
        <v>13</v>
      </c>
      <c r="E252">
        <v>57</v>
      </c>
      <c r="F252" t="s">
        <v>11</v>
      </c>
      <c r="G252">
        <v>4</v>
      </c>
      <c r="H252">
        <v>50</v>
      </c>
      <c r="I252">
        <v>200</v>
      </c>
    </row>
    <row r="253" spans="1:9" x14ac:dyDescent="0.35">
      <c r="A253">
        <v>252</v>
      </c>
      <c r="B253" s="1">
        <v>45051</v>
      </c>
      <c r="C253" t="s">
        <v>265</v>
      </c>
      <c r="D253" t="s">
        <v>10</v>
      </c>
      <c r="E253">
        <v>54</v>
      </c>
      <c r="F253" t="s">
        <v>16</v>
      </c>
      <c r="G253">
        <v>1</v>
      </c>
      <c r="H253">
        <v>300</v>
      </c>
      <c r="I253">
        <v>300</v>
      </c>
    </row>
    <row r="254" spans="1:9" x14ac:dyDescent="0.35">
      <c r="A254">
        <v>253</v>
      </c>
      <c r="B254" s="1">
        <v>45169</v>
      </c>
      <c r="C254" t="s">
        <v>266</v>
      </c>
      <c r="D254" t="s">
        <v>13</v>
      </c>
      <c r="E254">
        <v>53</v>
      </c>
      <c r="F254" t="s">
        <v>14</v>
      </c>
      <c r="G254">
        <v>4</v>
      </c>
      <c r="H254">
        <v>500</v>
      </c>
      <c r="I254">
        <v>2000</v>
      </c>
    </row>
    <row r="255" spans="1:9" x14ac:dyDescent="0.35">
      <c r="A255">
        <v>254</v>
      </c>
      <c r="B255" s="1">
        <v>45135</v>
      </c>
      <c r="C255" t="s">
        <v>267</v>
      </c>
      <c r="D255" t="s">
        <v>10</v>
      </c>
      <c r="E255">
        <v>41</v>
      </c>
      <c r="F255" t="s">
        <v>16</v>
      </c>
      <c r="G255">
        <v>1</v>
      </c>
      <c r="H255">
        <v>500</v>
      </c>
      <c r="I255">
        <v>500</v>
      </c>
    </row>
    <row r="256" spans="1:9" x14ac:dyDescent="0.35">
      <c r="A256">
        <v>255</v>
      </c>
      <c r="B256" s="1">
        <v>45024</v>
      </c>
      <c r="C256" t="s">
        <v>268</v>
      </c>
      <c r="D256" t="s">
        <v>10</v>
      </c>
      <c r="E256">
        <v>48</v>
      </c>
      <c r="F256" t="s">
        <v>14</v>
      </c>
      <c r="G256">
        <v>1</v>
      </c>
      <c r="H256">
        <v>30</v>
      </c>
      <c r="I256">
        <v>30</v>
      </c>
    </row>
    <row r="257" spans="1:9" x14ac:dyDescent="0.35">
      <c r="A257">
        <v>256</v>
      </c>
      <c r="B257" s="1">
        <v>44975</v>
      </c>
      <c r="C257" t="s">
        <v>269</v>
      </c>
      <c r="D257" t="s">
        <v>10</v>
      </c>
      <c r="E257">
        <v>23</v>
      </c>
      <c r="F257" t="s">
        <v>14</v>
      </c>
      <c r="G257">
        <v>2</v>
      </c>
      <c r="H257">
        <v>500</v>
      </c>
      <c r="I257">
        <v>1000</v>
      </c>
    </row>
    <row r="258" spans="1:9" x14ac:dyDescent="0.35">
      <c r="A258">
        <v>257</v>
      </c>
      <c r="B258" s="1">
        <v>44976</v>
      </c>
      <c r="C258" t="s">
        <v>270</v>
      </c>
      <c r="D258" t="s">
        <v>10</v>
      </c>
      <c r="E258">
        <v>19</v>
      </c>
      <c r="F258" t="s">
        <v>11</v>
      </c>
      <c r="G258">
        <v>4</v>
      </c>
      <c r="H258">
        <v>500</v>
      </c>
      <c r="I258">
        <v>2000</v>
      </c>
    </row>
    <row r="259" spans="1:9" x14ac:dyDescent="0.35">
      <c r="A259">
        <v>258</v>
      </c>
      <c r="B259" s="1">
        <v>45264</v>
      </c>
      <c r="C259" t="s">
        <v>271</v>
      </c>
      <c r="D259" t="s">
        <v>13</v>
      </c>
      <c r="E259">
        <v>37</v>
      </c>
      <c r="F259" t="s">
        <v>14</v>
      </c>
      <c r="G259">
        <v>1</v>
      </c>
      <c r="H259">
        <v>50</v>
      </c>
      <c r="I259">
        <v>50</v>
      </c>
    </row>
    <row r="260" spans="1:9" x14ac:dyDescent="0.35">
      <c r="A260">
        <v>259</v>
      </c>
      <c r="B260" s="1">
        <v>45147</v>
      </c>
      <c r="C260" t="s">
        <v>272</v>
      </c>
      <c r="D260" t="s">
        <v>13</v>
      </c>
      <c r="E260">
        <v>45</v>
      </c>
      <c r="F260" t="s">
        <v>14</v>
      </c>
      <c r="G260">
        <v>4</v>
      </c>
      <c r="H260">
        <v>50</v>
      </c>
      <c r="I260">
        <v>200</v>
      </c>
    </row>
    <row r="261" spans="1:9" x14ac:dyDescent="0.35">
      <c r="A261">
        <v>260</v>
      </c>
      <c r="B261" s="1">
        <v>45108</v>
      </c>
      <c r="C261" t="s">
        <v>273</v>
      </c>
      <c r="D261" t="s">
        <v>10</v>
      </c>
      <c r="E261">
        <v>28</v>
      </c>
      <c r="F261" t="s">
        <v>11</v>
      </c>
      <c r="G261">
        <v>2</v>
      </c>
      <c r="H261">
        <v>30</v>
      </c>
      <c r="I261">
        <v>60</v>
      </c>
    </row>
    <row r="262" spans="1:9" x14ac:dyDescent="0.35">
      <c r="A262">
        <v>261</v>
      </c>
      <c r="B262" s="1">
        <v>45143</v>
      </c>
      <c r="C262" t="s">
        <v>274</v>
      </c>
      <c r="D262" t="s">
        <v>10</v>
      </c>
      <c r="E262">
        <v>21</v>
      </c>
      <c r="F262" t="s">
        <v>14</v>
      </c>
      <c r="G262">
        <v>2</v>
      </c>
      <c r="H262">
        <v>25</v>
      </c>
      <c r="I262">
        <v>50</v>
      </c>
    </row>
    <row r="263" spans="1:9" x14ac:dyDescent="0.35">
      <c r="A263">
        <v>262</v>
      </c>
      <c r="B263" s="1">
        <v>45137</v>
      </c>
      <c r="C263" t="s">
        <v>275</v>
      </c>
      <c r="D263" t="s">
        <v>13</v>
      </c>
      <c r="E263">
        <v>32</v>
      </c>
      <c r="F263" t="s">
        <v>11</v>
      </c>
      <c r="G263">
        <v>4</v>
      </c>
      <c r="H263">
        <v>30</v>
      </c>
      <c r="I263">
        <v>120</v>
      </c>
    </row>
    <row r="264" spans="1:9" x14ac:dyDescent="0.35">
      <c r="A264">
        <v>263</v>
      </c>
      <c r="B264" s="1">
        <v>45166</v>
      </c>
      <c r="C264" t="s">
        <v>276</v>
      </c>
      <c r="D264" t="s">
        <v>10</v>
      </c>
      <c r="E264">
        <v>23</v>
      </c>
      <c r="F264" t="s">
        <v>11</v>
      </c>
      <c r="G264">
        <v>2</v>
      </c>
      <c r="H264">
        <v>30</v>
      </c>
      <c r="I264">
        <v>60</v>
      </c>
    </row>
    <row r="265" spans="1:9" x14ac:dyDescent="0.35">
      <c r="A265">
        <v>264</v>
      </c>
      <c r="B265" s="1">
        <v>44954</v>
      </c>
      <c r="C265" t="s">
        <v>277</v>
      </c>
      <c r="D265" t="s">
        <v>10</v>
      </c>
      <c r="E265">
        <v>47</v>
      </c>
      <c r="F265" t="s">
        <v>14</v>
      </c>
      <c r="G265">
        <v>3</v>
      </c>
      <c r="H265">
        <v>300</v>
      </c>
      <c r="I265">
        <v>900</v>
      </c>
    </row>
    <row r="266" spans="1:9" x14ac:dyDescent="0.35">
      <c r="A266">
        <v>265</v>
      </c>
      <c r="B266" s="1">
        <v>45271</v>
      </c>
      <c r="C266" t="s">
        <v>278</v>
      </c>
      <c r="D266" t="s">
        <v>10</v>
      </c>
      <c r="E266">
        <v>55</v>
      </c>
      <c r="F266" t="s">
        <v>14</v>
      </c>
      <c r="G266">
        <v>3</v>
      </c>
      <c r="H266">
        <v>300</v>
      </c>
      <c r="I266">
        <v>900</v>
      </c>
    </row>
    <row r="267" spans="1:9" x14ac:dyDescent="0.35">
      <c r="A267">
        <v>266</v>
      </c>
      <c r="B267" s="1">
        <v>45261</v>
      </c>
      <c r="C267" t="s">
        <v>279</v>
      </c>
      <c r="D267" t="s">
        <v>13</v>
      </c>
      <c r="E267">
        <v>19</v>
      </c>
      <c r="F267" t="s">
        <v>16</v>
      </c>
      <c r="G267">
        <v>2</v>
      </c>
      <c r="H267">
        <v>30</v>
      </c>
      <c r="I267">
        <v>60</v>
      </c>
    </row>
    <row r="268" spans="1:9" x14ac:dyDescent="0.35">
      <c r="A268">
        <v>267</v>
      </c>
      <c r="B268" s="1">
        <v>45257</v>
      </c>
      <c r="C268" t="s">
        <v>280</v>
      </c>
      <c r="D268" t="s">
        <v>13</v>
      </c>
      <c r="E268">
        <v>32</v>
      </c>
      <c r="F268" t="s">
        <v>11</v>
      </c>
      <c r="G268">
        <v>3</v>
      </c>
      <c r="H268">
        <v>30</v>
      </c>
      <c r="I268">
        <v>90</v>
      </c>
    </row>
    <row r="269" spans="1:9" x14ac:dyDescent="0.35">
      <c r="A269">
        <v>268</v>
      </c>
      <c r="B269" s="1">
        <v>44977</v>
      </c>
      <c r="C269" t="s">
        <v>281</v>
      </c>
      <c r="D269" t="s">
        <v>13</v>
      </c>
      <c r="E269">
        <v>28</v>
      </c>
      <c r="F269" t="s">
        <v>16</v>
      </c>
      <c r="G269">
        <v>1</v>
      </c>
      <c r="H269">
        <v>30</v>
      </c>
      <c r="I269">
        <v>30</v>
      </c>
    </row>
    <row r="270" spans="1:9" x14ac:dyDescent="0.35">
      <c r="A270">
        <v>269</v>
      </c>
      <c r="B270" s="1">
        <v>44958</v>
      </c>
      <c r="C270" t="s">
        <v>282</v>
      </c>
      <c r="D270" t="s">
        <v>10</v>
      </c>
      <c r="E270">
        <v>25</v>
      </c>
      <c r="F270" t="s">
        <v>14</v>
      </c>
      <c r="G270">
        <v>4</v>
      </c>
      <c r="H270">
        <v>500</v>
      </c>
      <c r="I270">
        <v>2000</v>
      </c>
    </row>
    <row r="271" spans="1:9" x14ac:dyDescent="0.35">
      <c r="A271">
        <v>270</v>
      </c>
      <c r="B271" s="1">
        <v>45133</v>
      </c>
      <c r="C271" t="s">
        <v>283</v>
      </c>
      <c r="D271" t="s">
        <v>10</v>
      </c>
      <c r="E271">
        <v>43</v>
      </c>
      <c r="F271" t="s">
        <v>16</v>
      </c>
      <c r="G271">
        <v>1</v>
      </c>
      <c r="H271">
        <v>300</v>
      </c>
      <c r="I271">
        <v>300</v>
      </c>
    </row>
    <row r="272" spans="1:9" x14ac:dyDescent="0.35">
      <c r="A272">
        <v>271</v>
      </c>
      <c r="B272" s="1">
        <v>45100</v>
      </c>
      <c r="C272" t="s">
        <v>284</v>
      </c>
      <c r="D272" t="s">
        <v>13</v>
      </c>
      <c r="E272">
        <v>62</v>
      </c>
      <c r="F272" t="s">
        <v>11</v>
      </c>
      <c r="G272">
        <v>4</v>
      </c>
      <c r="H272">
        <v>30</v>
      </c>
      <c r="I272">
        <v>120</v>
      </c>
    </row>
    <row r="273" spans="1:9" x14ac:dyDescent="0.35">
      <c r="A273">
        <v>272</v>
      </c>
      <c r="B273" s="1">
        <v>44982</v>
      </c>
      <c r="C273" t="s">
        <v>285</v>
      </c>
      <c r="D273" t="s">
        <v>13</v>
      </c>
      <c r="E273">
        <v>61</v>
      </c>
      <c r="F273" t="s">
        <v>16</v>
      </c>
      <c r="G273">
        <v>2</v>
      </c>
      <c r="H273">
        <v>50</v>
      </c>
      <c r="I273">
        <v>100</v>
      </c>
    </row>
    <row r="274" spans="1:9" x14ac:dyDescent="0.35">
      <c r="A274">
        <v>273</v>
      </c>
      <c r="B274" s="1">
        <v>45054</v>
      </c>
      <c r="C274" t="s">
        <v>286</v>
      </c>
      <c r="D274" t="s">
        <v>13</v>
      </c>
      <c r="E274">
        <v>22</v>
      </c>
      <c r="F274" t="s">
        <v>11</v>
      </c>
      <c r="G274">
        <v>1</v>
      </c>
      <c r="H274">
        <v>50</v>
      </c>
      <c r="I274">
        <v>50</v>
      </c>
    </row>
    <row r="275" spans="1:9" x14ac:dyDescent="0.35">
      <c r="A275">
        <v>274</v>
      </c>
      <c r="B275" s="1">
        <v>45025</v>
      </c>
      <c r="C275" t="s">
        <v>287</v>
      </c>
      <c r="D275" t="s">
        <v>13</v>
      </c>
      <c r="E275">
        <v>23</v>
      </c>
      <c r="F275" t="s">
        <v>14</v>
      </c>
      <c r="G275">
        <v>2</v>
      </c>
      <c r="H275">
        <v>500</v>
      </c>
      <c r="I275">
        <v>1000</v>
      </c>
    </row>
    <row r="276" spans="1:9" x14ac:dyDescent="0.35">
      <c r="A276">
        <v>275</v>
      </c>
      <c r="B276" s="1">
        <v>45024</v>
      </c>
      <c r="C276" t="s">
        <v>288</v>
      </c>
      <c r="D276" t="s">
        <v>10</v>
      </c>
      <c r="E276">
        <v>43</v>
      </c>
      <c r="F276" t="s">
        <v>14</v>
      </c>
      <c r="G276">
        <v>2</v>
      </c>
      <c r="H276">
        <v>500</v>
      </c>
      <c r="I276">
        <v>1000</v>
      </c>
    </row>
    <row r="277" spans="1:9" x14ac:dyDescent="0.35">
      <c r="A277">
        <v>276</v>
      </c>
      <c r="B277" s="1">
        <v>45201</v>
      </c>
      <c r="C277" t="s">
        <v>289</v>
      </c>
      <c r="D277" t="s">
        <v>13</v>
      </c>
      <c r="E277">
        <v>21</v>
      </c>
      <c r="F277" t="s">
        <v>11</v>
      </c>
      <c r="G277">
        <v>4</v>
      </c>
      <c r="H277">
        <v>25</v>
      </c>
      <c r="I277">
        <v>100</v>
      </c>
    </row>
    <row r="278" spans="1:9" x14ac:dyDescent="0.35">
      <c r="A278">
        <v>277</v>
      </c>
      <c r="B278" s="1">
        <v>45156</v>
      </c>
      <c r="C278" t="s">
        <v>290</v>
      </c>
      <c r="D278" t="s">
        <v>10</v>
      </c>
      <c r="E278">
        <v>36</v>
      </c>
      <c r="F278" t="s">
        <v>14</v>
      </c>
      <c r="G278">
        <v>4</v>
      </c>
      <c r="H278">
        <v>25</v>
      </c>
      <c r="I278">
        <v>100</v>
      </c>
    </row>
    <row r="279" spans="1:9" x14ac:dyDescent="0.35">
      <c r="A279">
        <v>278</v>
      </c>
      <c r="B279" s="1">
        <v>44998</v>
      </c>
      <c r="C279" t="s">
        <v>291</v>
      </c>
      <c r="D279" t="s">
        <v>13</v>
      </c>
      <c r="E279">
        <v>37</v>
      </c>
      <c r="F279" t="s">
        <v>14</v>
      </c>
      <c r="G279">
        <v>4</v>
      </c>
      <c r="H279">
        <v>25</v>
      </c>
      <c r="I279">
        <v>100</v>
      </c>
    </row>
    <row r="280" spans="1:9" x14ac:dyDescent="0.35">
      <c r="A280">
        <v>279</v>
      </c>
      <c r="B280" s="1">
        <v>45143</v>
      </c>
      <c r="C280" t="s">
        <v>292</v>
      </c>
      <c r="D280" t="s">
        <v>10</v>
      </c>
      <c r="E280">
        <v>50</v>
      </c>
      <c r="F280" t="s">
        <v>14</v>
      </c>
      <c r="G280">
        <v>1</v>
      </c>
      <c r="H280">
        <v>500</v>
      </c>
      <c r="I280">
        <v>500</v>
      </c>
    </row>
    <row r="281" spans="1:9" x14ac:dyDescent="0.35">
      <c r="A281">
        <v>280</v>
      </c>
      <c r="B281" s="1">
        <v>45020</v>
      </c>
      <c r="C281" t="s">
        <v>293</v>
      </c>
      <c r="D281" t="s">
        <v>13</v>
      </c>
      <c r="E281">
        <v>37</v>
      </c>
      <c r="F281" t="s">
        <v>14</v>
      </c>
      <c r="G281">
        <v>3</v>
      </c>
      <c r="H281">
        <v>500</v>
      </c>
      <c r="I281">
        <v>1500</v>
      </c>
    </row>
    <row r="282" spans="1:9" x14ac:dyDescent="0.35">
      <c r="A282">
        <v>281</v>
      </c>
      <c r="B282" s="1">
        <v>45069</v>
      </c>
      <c r="C282" t="s">
        <v>294</v>
      </c>
      <c r="D282" t="s">
        <v>13</v>
      </c>
      <c r="E282">
        <v>29</v>
      </c>
      <c r="F282" t="s">
        <v>11</v>
      </c>
      <c r="G282">
        <v>4</v>
      </c>
      <c r="H282">
        <v>500</v>
      </c>
      <c r="I282">
        <v>2000</v>
      </c>
    </row>
    <row r="283" spans="1:9" x14ac:dyDescent="0.35">
      <c r="A283">
        <v>282</v>
      </c>
      <c r="B283" s="1">
        <v>45163</v>
      </c>
      <c r="C283" t="s">
        <v>295</v>
      </c>
      <c r="D283" t="s">
        <v>13</v>
      </c>
      <c r="E283">
        <v>64</v>
      </c>
      <c r="F283" t="s">
        <v>16</v>
      </c>
      <c r="G283">
        <v>4</v>
      </c>
      <c r="H283">
        <v>50</v>
      </c>
      <c r="I283">
        <v>200</v>
      </c>
    </row>
    <row r="284" spans="1:9" x14ac:dyDescent="0.35">
      <c r="A284">
        <v>283</v>
      </c>
      <c r="B284" s="1">
        <v>45054</v>
      </c>
      <c r="C284" t="s">
        <v>296</v>
      </c>
      <c r="D284" t="s">
        <v>13</v>
      </c>
      <c r="E284">
        <v>18</v>
      </c>
      <c r="F284" t="s">
        <v>16</v>
      </c>
      <c r="G284">
        <v>1</v>
      </c>
      <c r="H284">
        <v>500</v>
      </c>
      <c r="I284">
        <v>500</v>
      </c>
    </row>
    <row r="285" spans="1:9" x14ac:dyDescent="0.35">
      <c r="A285">
        <v>284</v>
      </c>
      <c r="B285" s="1">
        <v>44965</v>
      </c>
      <c r="C285" t="s">
        <v>297</v>
      </c>
      <c r="D285" t="s">
        <v>10</v>
      </c>
      <c r="E285">
        <v>43</v>
      </c>
      <c r="F285" t="s">
        <v>14</v>
      </c>
      <c r="G285">
        <v>4</v>
      </c>
      <c r="H285">
        <v>50</v>
      </c>
      <c r="I285">
        <v>200</v>
      </c>
    </row>
    <row r="286" spans="1:9" x14ac:dyDescent="0.35">
      <c r="A286">
        <v>285</v>
      </c>
      <c r="B286" s="1">
        <v>45153</v>
      </c>
      <c r="C286" t="s">
        <v>298</v>
      </c>
      <c r="D286" t="s">
        <v>13</v>
      </c>
      <c r="E286">
        <v>31</v>
      </c>
      <c r="F286" t="s">
        <v>16</v>
      </c>
      <c r="G286">
        <v>1</v>
      </c>
      <c r="H286">
        <v>25</v>
      </c>
      <c r="I286">
        <v>25</v>
      </c>
    </row>
    <row r="287" spans="1:9" x14ac:dyDescent="0.35">
      <c r="A287">
        <v>286</v>
      </c>
      <c r="B287" s="1">
        <v>45208</v>
      </c>
      <c r="C287" t="s">
        <v>299</v>
      </c>
      <c r="D287" t="s">
        <v>10</v>
      </c>
      <c r="E287">
        <v>55</v>
      </c>
      <c r="F287" t="s">
        <v>16</v>
      </c>
      <c r="G287">
        <v>2</v>
      </c>
      <c r="H287">
        <v>25</v>
      </c>
      <c r="I287">
        <v>50</v>
      </c>
    </row>
    <row r="288" spans="1:9" x14ac:dyDescent="0.35">
      <c r="A288">
        <v>287</v>
      </c>
      <c r="B288" s="1">
        <v>44977</v>
      </c>
      <c r="C288" t="s">
        <v>300</v>
      </c>
      <c r="D288" t="s">
        <v>10</v>
      </c>
      <c r="E288">
        <v>54</v>
      </c>
      <c r="F288" t="s">
        <v>14</v>
      </c>
      <c r="G288">
        <v>4</v>
      </c>
      <c r="H288">
        <v>25</v>
      </c>
      <c r="I288">
        <v>100</v>
      </c>
    </row>
    <row r="289" spans="1:9" x14ac:dyDescent="0.35">
      <c r="A289">
        <v>288</v>
      </c>
      <c r="B289" s="1">
        <v>44952</v>
      </c>
      <c r="C289" t="s">
        <v>301</v>
      </c>
      <c r="D289" t="s">
        <v>10</v>
      </c>
      <c r="E289">
        <v>28</v>
      </c>
      <c r="F289" t="s">
        <v>14</v>
      </c>
      <c r="G289">
        <v>4</v>
      </c>
      <c r="H289">
        <v>30</v>
      </c>
      <c r="I289">
        <v>120</v>
      </c>
    </row>
    <row r="290" spans="1:9" x14ac:dyDescent="0.35">
      <c r="A290">
        <v>289</v>
      </c>
      <c r="B290" s="1">
        <v>45260</v>
      </c>
      <c r="C290" t="s">
        <v>302</v>
      </c>
      <c r="D290" t="s">
        <v>10</v>
      </c>
      <c r="E290">
        <v>53</v>
      </c>
      <c r="F290" t="s">
        <v>16</v>
      </c>
      <c r="G290">
        <v>2</v>
      </c>
      <c r="H290">
        <v>30</v>
      </c>
      <c r="I290">
        <v>60</v>
      </c>
    </row>
    <row r="291" spans="1:9" x14ac:dyDescent="0.35">
      <c r="A291">
        <v>290</v>
      </c>
      <c r="B291" s="1">
        <v>45203</v>
      </c>
      <c r="C291" t="s">
        <v>303</v>
      </c>
      <c r="D291" t="s">
        <v>13</v>
      </c>
      <c r="E291">
        <v>30</v>
      </c>
      <c r="F291" t="s">
        <v>11</v>
      </c>
      <c r="G291">
        <v>2</v>
      </c>
      <c r="H291">
        <v>300</v>
      </c>
      <c r="I291">
        <v>600</v>
      </c>
    </row>
    <row r="292" spans="1:9" x14ac:dyDescent="0.35">
      <c r="A292">
        <v>291</v>
      </c>
      <c r="B292" s="1">
        <v>44934</v>
      </c>
      <c r="C292" t="s">
        <v>304</v>
      </c>
      <c r="D292" t="s">
        <v>10</v>
      </c>
      <c r="E292">
        <v>60</v>
      </c>
      <c r="F292" t="s">
        <v>14</v>
      </c>
      <c r="G292">
        <v>2</v>
      </c>
      <c r="H292">
        <v>300</v>
      </c>
      <c r="I292">
        <v>600</v>
      </c>
    </row>
    <row r="293" spans="1:9" x14ac:dyDescent="0.35">
      <c r="A293">
        <v>292</v>
      </c>
      <c r="B293" s="1">
        <v>44974</v>
      </c>
      <c r="C293" t="s">
        <v>305</v>
      </c>
      <c r="D293" t="s">
        <v>10</v>
      </c>
      <c r="E293">
        <v>20</v>
      </c>
      <c r="F293" t="s">
        <v>11</v>
      </c>
      <c r="G293">
        <v>4</v>
      </c>
      <c r="H293">
        <v>300</v>
      </c>
      <c r="I293">
        <v>1200</v>
      </c>
    </row>
    <row r="294" spans="1:9" x14ac:dyDescent="0.35">
      <c r="A294">
        <v>293</v>
      </c>
      <c r="B294" s="1">
        <v>45048</v>
      </c>
      <c r="C294" t="s">
        <v>306</v>
      </c>
      <c r="D294" t="s">
        <v>10</v>
      </c>
      <c r="E294">
        <v>50</v>
      </c>
      <c r="F294" t="s">
        <v>16</v>
      </c>
      <c r="G294">
        <v>3</v>
      </c>
      <c r="H294">
        <v>30</v>
      </c>
      <c r="I294">
        <v>90</v>
      </c>
    </row>
    <row r="295" spans="1:9" x14ac:dyDescent="0.35">
      <c r="A295">
        <v>294</v>
      </c>
      <c r="B295" s="1">
        <v>45012</v>
      </c>
      <c r="C295" t="s">
        <v>307</v>
      </c>
      <c r="D295" t="s">
        <v>13</v>
      </c>
      <c r="E295">
        <v>23</v>
      </c>
      <c r="F295" t="s">
        <v>14</v>
      </c>
      <c r="G295">
        <v>3</v>
      </c>
      <c r="H295">
        <v>30</v>
      </c>
      <c r="I295">
        <v>90</v>
      </c>
    </row>
    <row r="296" spans="1:9" x14ac:dyDescent="0.35">
      <c r="A296">
        <v>295</v>
      </c>
      <c r="B296" s="1">
        <v>45135</v>
      </c>
      <c r="C296" t="s">
        <v>308</v>
      </c>
      <c r="D296" t="s">
        <v>13</v>
      </c>
      <c r="E296">
        <v>27</v>
      </c>
      <c r="F296" t="s">
        <v>11</v>
      </c>
      <c r="G296">
        <v>3</v>
      </c>
      <c r="H296">
        <v>300</v>
      </c>
      <c r="I296">
        <v>900</v>
      </c>
    </row>
    <row r="297" spans="1:9" x14ac:dyDescent="0.35">
      <c r="A297">
        <v>296</v>
      </c>
      <c r="B297" s="1">
        <v>45175</v>
      </c>
      <c r="C297" t="s">
        <v>309</v>
      </c>
      <c r="D297" t="s">
        <v>13</v>
      </c>
      <c r="E297">
        <v>22</v>
      </c>
      <c r="F297" t="s">
        <v>14</v>
      </c>
      <c r="G297">
        <v>4</v>
      </c>
      <c r="H297">
        <v>300</v>
      </c>
      <c r="I297">
        <v>1200</v>
      </c>
    </row>
    <row r="298" spans="1:9" x14ac:dyDescent="0.35">
      <c r="A298">
        <v>297</v>
      </c>
      <c r="B298" s="1">
        <v>45173</v>
      </c>
      <c r="C298" t="s">
        <v>310</v>
      </c>
      <c r="D298" t="s">
        <v>13</v>
      </c>
      <c r="E298">
        <v>40</v>
      </c>
      <c r="F298" t="s">
        <v>16</v>
      </c>
      <c r="G298">
        <v>2</v>
      </c>
      <c r="H298">
        <v>500</v>
      </c>
      <c r="I298">
        <v>1000</v>
      </c>
    </row>
    <row r="299" spans="1:9" x14ac:dyDescent="0.35">
      <c r="A299">
        <v>298</v>
      </c>
      <c r="B299" s="1">
        <v>45036</v>
      </c>
      <c r="C299" t="s">
        <v>311</v>
      </c>
      <c r="D299" t="s">
        <v>10</v>
      </c>
      <c r="E299">
        <v>27</v>
      </c>
      <c r="F299" t="s">
        <v>11</v>
      </c>
      <c r="G299">
        <v>4</v>
      </c>
      <c r="H299">
        <v>300</v>
      </c>
      <c r="I299">
        <v>1200</v>
      </c>
    </row>
    <row r="300" spans="1:9" x14ac:dyDescent="0.35">
      <c r="A300">
        <v>299</v>
      </c>
      <c r="B300" s="1">
        <v>45132</v>
      </c>
      <c r="C300" t="s">
        <v>312</v>
      </c>
      <c r="D300" t="s">
        <v>10</v>
      </c>
      <c r="E300">
        <v>61</v>
      </c>
      <c r="F300" t="s">
        <v>16</v>
      </c>
      <c r="G300">
        <v>2</v>
      </c>
      <c r="H300">
        <v>500</v>
      </c>
      <c r="I300">
        <v>1000</v>
      </c>
    </row>
    <row r="301" spans="1:9" x14ac:dyDescent="0.35">
      <c r="A301">
        <v>300</v>
      </c>
      <c r="B301" s="1">
        <v>44957</v>
      </c>
      <c r="C301" t="s">
        <v>313</v>
      </c>
      <c r="D301" t="s">
        <v>13</v>
      </c>
      <c r="E301">
        <v>19</v>
      </c>
      <c r="F301" t="s">
        <v>16</v>
      </c>
      <c r="G301">
        <v>4</v>
      </c>
      <c r="H301">
        <v>50</v>
      </c>
      <c r="I301">
        <v>200</v>
      </c>
    </row>
    <row r="302" spans="1:9" x14ac:dyDescent="0.35">
      <c r="A302">
        <v>301</v>
      </c>
      <c r="B302" s="1">
        <v>45011</v>
      </c>
      <c r="C302" t="s">
        <v>314</v>
      </c>
      <c r="D302" t="s">
        <v>10</v>
      </c>
      <c r="E302">
        <v>30</v>
      </c>
      <c r="F302" t="s">
        <v>14</v>
      </c>
      <c r="G302">
        <v>4</v>
      </c>
      <c r="H302">
        <v>30</v>
      </c>
      <c r="I302">
        <v>120</v>
      </c>
    </row>
    <row r="303" spans="1:9" x14ac:dyDescent="0.35">
      <c r="A303">
        <v>302</v>
      </c>
      <c r="B303" s="1">
        <v>45121</v>
      </c>
      <c r="C303" t="s">
        <v>315</v>
      </c>
      <c r="D303" t="s">
        <v>10</v>
      </c>
      <c r="E303">
        <v>57</v>
      </c>
      <c r="F303" t="s">
        <v>11</v>
      </c>
      <c r="G303">
        <v>2</v>
      </c>
      <c r="H303">
        <v>300</v>
      </c>
      <c r="I303">
        <v>600</v>
      </c>
    </row>
    <row r="304" spans="1:9" x14ac:dyDescent="0.35">
      <c r="A304">
        <v>303</v>
      </c>
      <c r="B304" s="1">
        <v>44928</v>
      </c>
      <c r="C304" t="s">
        <v>316</v>
      </c>
      <c r="D304" t="s">
        <v>10</v>
      </c>
      <c r="E304">
        <v>19</v>
      </c>
      <c r="F304" t="s">
        <v>16</v>
      </c>
      <c r="G304">
        <v>3</v>
      </c>
      <c r="H304">
        <v>30</v>
      </c>
      <c r="I304">
        <v>90</v>
      </c>
    </row>
    <row r="305" spans="1:9" x14ac:dyDescent="0.35">
      <c r="A305">
        <v>304</v>
      </c>
      <c r="B305" s="1">
        <v>45126</v>
      </c>
      <c r="C305" t="s">
        <v>317</v>
      </c>
      <c r="D305" t="s">
        <v>13</v>
      </c>
      <c r="E305">
        <v>37</v>
      </c>
      <c r="F305" t="s">
        <v>16</v>
      </c>
      <c r="G305">
        <v>2</v>
      </c>
      <c r="H305">
        <v>30</v>
      </c>
      <c r="I305">
        <v>60</v>
      </c>
    </row>
    <row r="306" spans="1:9" x14ac:dyDescent="0.35">
      <c r="A306">
        <v>305</v>
      </c>
      <c r="B306" s="1">
        <v>45062</v>
      </c>
      <c r="C306" t="s">
        <v>318</v>
      </c>
      <c r="D306" t="s">
        <v>13</v>
      </c>
      <c r="E306">
        <v>18</v>
      </c>
      <c r="F306" t="s">
        <v>11</v>
      </c>
      <c r="G306">
        <v>1</v>
      </c>
      <c r="H306">
        <v>30</v>
      </c>
      <c r="I306">
        <v>30</v>
      </c>
    </row>
    <row r="307" spans="1:9" x14ac:dyDescent="0.35">
      <c r="A307">
        <v>306</v>
      </c>
      <c r="B307" s="1">
        <v>45159</v>
      </c>
      <c r="C307" t="s">
        <v>319</v>
      </c>
      <c r="D307" t="s">
        <v>10</v>
      </c>
      <c r="E307">
        <v>54</v>
      </c>
      <c r="F307" t="s">
        <v>16</v>
      </c>
      <c r="G307">
        <v>1</v>
      </c>
      <c r="H307">
        <v>50</v>
      </c>
      <c r="I307">
        <v>50</v>
      </c>
    </row>
    <row r="308" spans="1:9" x14ac:dyDescent="0.35">
      <c r="A308">
        <v>307</v>
      </c>
      <c r="B308" s="1">
        <v>45073</v>
      </c>
      <c r="C308" t="s">
        <v>320</v>
      </c>
      <c r="D308" t="s">
        <v>13</v>
      </c>
      <c r="E308">
        <v>26</v>
      </c>
      <c r="F308" t="s">
        <v>16</v>
      </c>
      <c r="G308">
        <v>2</v>
      </c>
      <c r="H308">
        <v>25</v>
      </c>
      <c r="I308">
        <v>50</v>
      </c>
    </row>
    <row r="309" spans="1:9" x14ac:dyDescent="0.35">
      <c r="A309">
        <v>308</v>
      </c>
      <c r="B309" s="1">
        <v>45143</v>
      </c>
      <c r="C309" t="s">
        <v>321</v>
      </c>
      <c r="D309" t="s">
        <v>13</v>
      </c>
      <c r="E309">
        <v>34</v>
      </c>
      <c r="F309" t="s">
        <v>11</v>
      </c>
      <c r="G309">
        <v>4</v>
      </c>
      <c r="H309">
        <v>300</v>
      </c>
      <c r="I309">
        <v>1200</v>
      </c>
    </row>
    <row r="310" spans="1:9" x14ac:dyDescent="0.35">
      <c r="A310">
        <v>309</v>
      </c>
      <c r="B310" s="1">
        <v>45283</v>
      </c>
      <c r="C310" t="s">
        <v>322</v>
      </c>
      <c r="D310" t="s">
        <v>13</v>
      </c>
      <c r="E310">
        <v>26</v>
      </c>
      <c r="F310" t="s">
        <v>11</v>
      </c>
      <c r="G310">
        <v>1</v>
      </c>
      <c r="H310">
        <v>25</v>
      </c>
      <c r="I310">
        <v>25</v>
      </c>
    </row>
    <row r="311" spans="1:9" x14ac:dyDescent="0.35">
      <c r="A311">
        <v>310</v>
      </c>
      <c r="B311" s="1">
        <v>45211</v>
      </c>
      <c r="C311" t="s">
        <v>323</v>
      </c>
      <c r="D311" t="s">
        <v>13</v>
      </c>
      <c r="E311">
        <v>28</v>
      </c>
      <c r="F311" t="s">
        <v>11</v>
      </c>
      <c r="G311">
        <v>1</v>
      </c>
      <c r="H311">
        <v>25</v>
      </c>
      <c r="I311">
        <v>25</v>
      </c>
    </row>
    <row r="312" spans="1:9" x14ac:dyDescent="0.35">
      <c r="A312">
        <v>311</v>
      </c>
      <c r="B312" s="1">
        <v>45265</v>
      </c>
      <c r="C312" t="s">
        <v>324</v>
      </c>
      <c r="D312" t="s">
        <v>13</v>
      </c>
      <c r="E312">
        <v>32</v>
      </c>
      <c r="F312" t="s">
        <v>11</v>
      </c>
      <c r="G312">
        <v>4</v>
      </c>
      <c r="H312">
        <v>25</v>
      </c>
      <c r="I312">
        <v>100</v>
      </c>
    </row>
    <row r="313" spans="1:9" x14ac:dyDescent="0.35">
      <c r="A313">
        <v>312</v>
      </c>
      <c r="B313" s="1">
        <v>45176</v>
      </c>
      <c r="C313" t="s">
        <v>325</v>
      </c>
      <c r="D313" t="s">
        <v>10</v>
      </c>
      <c r="E313">
        <v>41</v>
      </c>
      <c r="F313" t="s">
        <v>14</v>
      </c>
      <c r="G313">
        <v>4</v>
      </c>
      <c r="H313">
        <v>30</v>
      </c>
      <c r="I313">
        <v>120</v>
      </c>
    </row>
    <row r="314" spans="1:9" x14ac:dyDescent="0.35">
      <c r="A314">
        <v>313</v>
      </c>
      <c r="B314" s="1">
        <v>45006</v>
      </c>
      <c r="C314" t="s">
        <v>326</v>
      </c>
      <c r="D314" t="s">
        <v>13</v>
      </c>
      <c r="E314">
        <v>55</v>
      </c>
      <c r="F314" t="s">
        <v>11</v>
      </c>
      <c r="G314">
        <v>3</v>
      </c>
      <c r="H314">
        <v>500</v>
      </c>
      <c r="I314">
        <v>1500</v>
      </c>
    </row>
    <row r="315" spans="1:9" x14ac:dyDescent="0.35">
      <c r="A315">
        <v>314</v>
      </c>
      <c r="B315" s="1">
        <v>45024</v>
      </c>
      <c r="C315" t="s">
        <v>327</v>
      </c>
      <c r="D315" t="s">
        <v>10</v>
      </c>
      <c r="E315">
        <v>52</v>
      </c>
      <c r="F315" t="s">
        <v>14</v>
      </c>
      <c r="G315">
        <v>4</v>
      </c>
      <c r="H315">
        <v>30</v>
      </c>
      <c r="I315">
        <v>120</v>
      </c>
    </row>
    <row r="316" spans="1:9" x14ac:dyDescent="0.35">
      <c r="A316">
        <v>315</v>
      </c>
      <c r="B316" s="1">
        <v>45078</v>
      </c>
      <c r="C316" t="s">
        <v>328</v>
      </c>
      <c r="D316" t="s">
        <v>10</v>
      </c>
      <c r="E316">
        <v>47</v>
      </c>
      <c r="F316" t="s">
        <v>14</v>
      </c>
      <c r="G316">
        <v>2</v>
      </c>
      <c r="H316">
        <v>30</v>
      </c>
      <c r="I316">
        <v>60</v>
      </c>
    </row>
    <row r="317" spans="1:9" x14ac:dyDescent="0.35">
      <c r="A317">
        <v>316</v>
      </c>
      <c r="B317" s="1">
        <v>45038</v>
      </c>
      <c r="C317" t="s">
        <v>329</v>
      </c>
      <c r="D317" t="s">
        <v>13</v>
      </c>
      <c r="E317">
        <v>48</v>
      </c>
      <c r="F317" t="s">
        <v>14</v>
      </c>
      <c r="G317">
        <v>2</v>
      </c>
      <c r="H317">
        <v>25</v>
      </c>
      <c r="I317">
        <v>50</v>
      </c>
    </row>
    <row r="318" spans="1:9" x14ac:dyDescent="0.35">
      <c r="A318">
        <v>317</v>
      </c>
      <c r="B318" s="1">
        <v>44956</v>
      </c>
      <c r="C318" t="s">
        <v>330</v>
      </c>
      <c r="D318" t="s">
        <v>10</v>
      </c>
      <c r="E318">
        <v>22</v>
      </c>
      <c r="F318" t="s">
        <v>16</v>
      </c>
      <c r="G318">
        <v>3</v>
      </c>
      <c r="H318">
        <v>30</v>
      </c>
      <c r="I318">
        <v>90</v>
      </c>
    </row>
    <row r="319" spans="1:9" x14ac:dyDescent="0.35">
      <c r="A319">
        <v>318</v>
      </c>
      <c r="B319" s="1">
        <v>45223</v>
      </c>
      <c r="C319" t="s">
        <v>331</v>
      </c>
      <c r="D319" t="s">
        <v>10</v>
      </c>
      <c r="E319">
        <v>61</v>
      </c>
      <c r="F319" t="s">
        <v>14</v>
      </c>
      <c r="G319">
        <v>1</v>
      </c>
      <c r="H319">
        <v>25</v>
      </c>
      <c r="I319">
        <v>25</v>
      </c>
    </row>
    <row r="320" spans="1:9" x14ac:dyDescent="0.35">
      <c r="A320">
        <v>319</v>
      </c>
      <c r="B320" s="1">
        <v>45204</v>
      </c>
      <c r="C320" t="s">
        <v>332</v>
      </c>
      <c r="D320" t="s">
        <v>10</v>
      </c>
      <c r="E320">
        <v>31</v>
      </c>
      <c r="F320" t="s">
        <v>14</v>
      </c>
      <c r="G320">
        <v>1</v>
      </c>
      <c r="H320">
        <v>500</v>
      </c>
      <c r="I320">
        <v>500</v>
      </c>
    </row>
    <row r="321" spans="1:9" x14ac:dyDescent="0.35">
      <c r="A321">
        <v>320</v>
      </c>
      <c r="B321" s="1">
        <v>44958</v>
      </c>
      <c r="C321" t="s">
        <v>333</v>
      </c>
      <c r="D321" t="s">
        <v>13</v>
      </c>
      <c r="E321">
        <v>28</v>
      </c>
      <c r="F321" t="s">
        <v>16</v>
      </c>
      <c r="G321">
        <v>4</v>
      </c>
      <c r="H321">
        <v>300</v>
      </c>
      <c r="I321">
        <v>1200</v>
      </c>
    </row>
    <row r="322" spans="1:9" x14ac:dyDescent="0.35">
      <c r="A322">
        <v>321</v>
      </c>
      <c r="B322" s="1">
        <v>45087</v>
      </c>
      <c r="C322" t="s">
        <v>334</v>
      </c>
      <c r="D322" t="s">
        <v>13</v>
      </c>
      <c r="E322">
        <v>26</v>
      </c>
      <c r="F322" t="s">
        <v>16</v>
      </c>
      <c r="G322">
        <v>2</v>
      </c>
      <c r="H322">
        <v>25</v>
      </c>
      <c r="I322">
        <v>50</v>
      </c>
    </row>
    <row r="323" spans="1:9" x14ac:dyDescent="0.35">
      <c r="A323">
        <v>322</v>
      </c>
      <c r="B323" s="1">
        <v>44956</v>
      </c>
      <c r="C323" t="s">
        <v>335</v>
      </c>
      <c r="D323" t="s">
        <v>10</v>
      </c>
      <c r="E323">
        <v>51</v>
      </c>
      <c r="F323" t="s">
        <v>16</v>
      </c>
      <c r="G323">
        <v>1</v>
      </c>
      <c r="H323">
        <v>500</v>
      </c>
      <c r="I323">
        <v>500</v>
      </c>
    </row>
    <row r="324" spans="1:9" x14ac:dyDescent="0.35">
      <c r="A324">
        <v>323</v>
      </c>
      <c r="B324" s="1">
        <v>44952</v>
      </c>
      <c r="C324" t="s">
        <v>336</v>
      </c>
      <c r="D324" t="s">
        <v>13</v>
      </c>
      <c r="E324">
        <v>29</v>
      </c>
      <c r="F324" t="s">
        <v>11</v>
      </c>
      <c r="G324">
        <v>3</v>
      </c>
      <c r="H324">
        <v>300</v>
      </c>
      <c r="I324">
        <v>900</v>
      </c>
    </row>
    <row r="325" spans="1:9" x14ac:dyDescent="0.35">
      <c r="A325">
        <v>324</v>
      </c>
      <c r="B325" s="1">
        <v>45226</v>
      </c>
      <c r="C325" t="s">
        <v>337</v>
      </c>
      <c r="D325" t="s">
        <v>13</v>
      </c>
      <c r="E325">
        <v>52</v>
      </c>
      <c r="F325" t="s">
        <v>16</v>
      </c>
      <c r="G325">
        <v>3</v>
      </c>
      <c r="H325">
        <v>50</v>
      </c>
      <c r="I325">
        <v>150</v>
      </c>
    </row>
    <row r="326" spans="1:9" x14ac:dyDescent="0.35">
      <c r="A326">
        <v>325</v>
      </c>
      <c r="B326" s="1">
        <v>45171</v>
      </c>
      <c r="C326" t="s">
        <v>338</v>
      </c>
      <c r="D326" t="s">
        <v>13</v>
      </c>
      <c r="E326">
        <v>52</v>
      </c>
      <c r="F326" t="s">
        <v>16</v>
      </c>
      <c r="G326">
        <v>2</v>
      </c>
      <c r="H326">
        <v>25</v>
      </c>
      <c r="I326">
        <v>50</v>
      </c>
    </row>
    <row r="327" spans="1:9" x14ac:dyDescent="0.35">
      <c r="A327">
        <v>326</v>
      </c>
      <c r="B327" s="1">
        <v>45184</v>
      </c>
      <c r="C327" t="s">
        <v>339</v>
      </c>
      <c r="D327" t="s">
        <v>13</v>
      </c>
      <c r="E327">
        <v>18</v>
      </c>
      <c r="F327" t="s">
        <v>14</v>
      </c>
      <c r="G327">
        <v>3</v>
      </c>
      <c r="H327">
        <v>25</v>
      </c>
      <c r="I327">
        <v>75</v>
      </c>
    </row>
    <row r="328" spans="1:9" x14ac:dyDescent="0.35">
      <c r="A328">
        <v>327</v>
      </c>
      <c r="B328" s="1">
        <v>45198</v>
      </c>
      <c r="C328" t="s">
        <v>340</v>
      </c>
      <c r="D328" t="s">
        <v>10</v>
      </c>
      <c r="E328">
        <v>57</v>
      </c>
      <c r="F328" t="s">
        <v>16</v>
      </c>
      <c r="G328">
        <v>3</v>
      </c>
      <c r="H328">
        <v>50</v>
      </c>
      <c r="I328">
        <v>150</v>
      </c>
    </row>
    <row r="329" spans="1:9" x14ac:dyDescent="0.35">
      <c r="A329">
        <v>328</v>
      </c>
      <c r="B329" s="1">
        <v>45007</v>
      </c>
      <c r="C329" t="s">
        <v>341</v>
      </c>
      <c r="D329" t="s">
        <v>10</v>
      </c>
      <c r="E329">
        <v>39</v>
      </c>
      <c r="F329" t="s">
        <v>11</v>
      </c>
      <c r="G329">
        <v>2</v>
      </c>
      <c r="H329">
        <v>50</v>
      </c>
      <c r="I329">
        <v>100</v>
      </c>
    </row>
    <row r="330" spans="1:9" x14ac:dyDescent="0.35">
      <c r="A330">
        <v>329</v>
      </c>
      <c r="B330" s="1">
        <v>44956</v>
      </c>
      <c r="C330" t="s">
        <v>342</v>
      </c>
      <c r="D330" t="s">
        <v>13</v>
      </c>
      <c r="E330">
        <v>46</v>
      </c>
      <c r="F330" t="s">
        <v>16</v>
      </c>
      <c r="G330">
        <v>4</v>
      </c>
      <c r="H330">
        <v>25</v>
      </c>
      <c r="I330">
        <v>100</v>
      </c>
    </row>
    <row r="331" spans="1:9" x14ac:dyDescent="0.35">
      <c r="A331">
        <v>330</v>
      </c>
      <c r="B331" s="1">
        <v>45187</v>
      </c>
      <c r="C331" t="s">
        <v>343</v>
      </c>
      <c r="D331" t="s">
        <v>13</v>
      </c>
      <c r="E331">
        <v>25</v>
      </c>
      <c r="F331" t="s">
        <v>11</v>
      </c>
      <c r="G331">
        <v>4</v>
      </c>
      <c r="H331">
        <v>50</v>
      </c>
      <c r="I331">
        <v>200</v>
      </c>
    </row>
    <row r="332" spans="1:9" x14ac:dyDescent="0.35">
      <c r="A332">
        <v>331</v>
      </c>
      <c r="B332" s="1">
        <v>44968</v>
      </c>
      <c r="C332" t="s">
        <v>344</v>
      </c>
      <c r="D332" t="s">
        <v>10</v>
      </c>
      <c r="E332">
        <v>28</v>
      </c>
      <c r="F332" t="s">
        <v>16</v>
      </c>
      <c r="G332">
        <v>3</v>
      </c>
      <c r="H332">
        <v>30</v>
      </c>
      <c r="I332">
        <v>90</v>
      </c>
    </row>
    <row r="333" spans="1:9" x14ac:dyDescent="0.35">
      <c r="A333">
        <v>332</v>
      </c>
      <c r="B333" s="1">
        <v>45022</v>
      </c>
      <c r="C333" t="s">
        <v>345</v>
      </c>
      <c r="D333" t="s">
        <v>10</v>
      </c>
      <c r="E333">
        <v>58</v>
      </c>
      <c r="F333" t="s">
        <v>16</v>
      </c>
      <c r="G333">
        <v>4</v>
      </c>
      <c r="H333">
        <v>300</v>
      </c>
      <c r="I333">
        <v>1200</v>
      </c>
    </row>
    <row r="334" spans="1:9" x14ac:dyDescent="0.35">
      <c r="A334">
        <v>333</v>
      </c>
      <c r="B334" s="1">
        <v>44962</v>
      </c>
      <c r="C334" t="s">
        <v>346</v>
      </c>
      <c r="D334" t="s">
        <v>13</v>
      </c>
      <c r="E334">
        <v>54</v>
      </c>
      <c r="F334" t="s">
        <v>16</v>
      </c>
      <c r="G334">
        <v>4</v>
      </c>
      <c r="H334">
        <v>300</v>
      </c>
      <c r="I334">
        <v>1200</v>
      </c>
    </row>
    <row r="335" spans="1:9" x14ac:dyDescent="0.35">
      <c r="A335">
        <v>334</v>
      </c>
      <c r="B335" s="1">
        <v>45231</v>
      </c>
      <c r="C335" t="s">
        <v>347</v>
      </c>
      <c r="D335" t="s">
        <v>10</v>
      </c>
      <c r="E335">
        <v>31</v>
      </c>
      <c r="F335" t="s">
        <v>16</v>
      </c>
      <c r="G335">
        <v>3</v>
      </c>
      <c r="H335">
        <v>300</v>
      </c>
      <c r="I335">
        <v>900</v>
      </c>
    </row>
    <row r="336" spans="1:9" x14ac:dyDescent="0.35">
      <c r="A336">
        <v>335</v>
      </c>
      <c r="B336" s="1">
        <v>44961</v>
      </c>
      <c r="C336" t="s">
        <v>348</v>
      </c>
      <c r="D336" t="s">
        <v>13</v>
      </c>
      <c r="E336">
        <v>47</v>
      </c>
      <c r="F336" t="s">
        <v>11</v>
      </c>
      <c r="G336">
        <v>4</v>
      </c>
      <c r="H336">
        <v>30</v>
      </c>
      <c r="I336">
        <v>120</v>
      </c>
    </row>
    <row r="337" spans="1:9" x14ac:dyDescent="0.35">
      <c r="A337">
        <v>336</v>
      </c>
      <c r="B337" s="1">
        <v>45272</v>
      </c>
      <c r="C337" t="s">
        <v>349</v>
      </c>
      <c r="D337" t="s">
        <v>13</v>
      </c>
      <c r="E337">
        <v>52</v>
      </c>
      <c r="F337" t="s">
        <v>11</v>
      </c>
      <c r="G337">
        <v>3</v>
      </c>
      <c r="H337">
        <v>50</v>
      </c>
      <c r="I337">
        <v>150</v>
      </c>
    </row>
    <row r="338" spans="1:9" x14ac:dyDescent="0.35">
      <c r="A338">
        <v>337</v>
      </c>
      <c r="B338" s="1">
        <v>45047</v>
      </c>
      <c r="C338" t="s">
        <v>350</v>
      </c>
      <c r="D338" t="s">
        <v>10</v>
      </c>
      <c r="E338">
        <v>38</v>
      </c>
      <c r="F338" t="s">
        <v>14</v>
      </c>
      <c r="G338">
        <v>1</v>
      </c>
      <c r="H338">
        <v>500</v>
      </c>
      <c r="I338">
        <v>500</v>
      </c>
    </row>
    <row r="339" spans="1:9" x14ac:dyDescent="0.35">
      <c r="A339">
        <v>338</v>
      </c>
      <c r="B339" s="1">
        <v>45133</v>
      </c>
      <c r="C339" t="s">
        <v>351</v>
      </c>
      <c r="D339" t="s">
        <v>10</v>
      </c>
      <c r="E339">
        <v>54</v>
      </c>
      <c r="F339" t="s">
        <v>11</v>
      </c>
      <c r="G339">
        <v>2</v>
      </c>
      <c r="H339">
        <v>50</v>
      </c>
      <c r="I339">
        <v>100</v>
      </c>
    </row>
    <row r="340" spans="1:9" x14ac:dyDescent="0.35">
      <c r="A340">
        <v>339</v>
      </c>
      <c r="B340" s="1">
        <v>44988</v>
      </c>
      <c r="C340" t="s">
        <v>352</v>
      </c>
      <c r="D340" t="s">
        <v>13</v>
      </c>
      <c r="E340">
        <v>22</v>
      </c>
      <c r="F340" t="s">
        <v>16</v>
      </c>
      <c r="G340">
        <v>2</v>
      </c>
      <c r="H340">
        <v>25</v>
      </c>
      <c r="I340">
        <v>50</v>
      </c>
    </row>
    <row r="341" spans="1:9" x14ac:dyDescent="0.35">
      <c r="A341">
        <v>340</v>
      </c>
      <c r="B341" s="1">
        <v>45218</v>
      </c>
      <c r="C341" t="s">
        <v>353</v>
      </c>
      <c r="D341" t="s">
        <v>13</v>
      </c>
      <c r="E341">
        <v>36</v>
      </c>
      <c r="F341" t="s">
        <v>14</v>
      </c>
      <c r="G341">
        <v>4</v>
      </c>
      <c r="H341">
        <v>300</v>
      </c>
      <c r="I341">
        <v>1200</v>
      </c>
    </row>
    <row r="342" spans="1:9" x14ac:dyDescent="0.35">
      <c r="A342">
        <v>341</v>
      </c>
      <c r="B342" s="1">
        <v>45053</v>
      </c>
      <c r="C342" t="s">
        <v>354</v>
      </c>
      <c r="D342" t="s">
        <v>10</v>
      </c>
      <c r="E342">
        <v>31</v>
      </c>
      <c r="F342" t="s">
        <v>14</v>
      </c>
      <c r="G342">
        <v>4</v>
      </c>
      <c r="H342">
        <v>50</v>
      </c>
      <c r="I342">
        <v>200</v>
      </c>
    </row>
    <row r="343" spans="1:9" x14ac:dyDescent="0.35">
      <c r="A343">
        <v>342</v>
      </c>
      <c r="B343" s="1">
        <v>45223</v>
      </c>
      <c r="C343" t="s">
        <v>355</v>
      </c>
      <c r="D343" t="s">
        <v>13</v>
      </c>
      <c r="E343">
        <v>43</v>
      </c>
      <c r="F343" t="s">
        <v>14</v>
      </c>
      <c r="G343">
        <v>4</v>
      </c>
      <c r="H343">
        <v>500</v>
      </c>
      <c r="I343">
        <v>2000</v>
      </c>
    </row>
    <row r="344" spans="1:9" x14ac:dyDescent="0.35">
      <c r="A344">
        <v>343</v>
      </c>
      <c r="B344" s="1">
        <v>45231</v>
      </c>
      <c r="C344" t="s">
        <v>356</v>
      </c>
      <c r="D344" t="s">
        <v>10</v>
      </c>
      <c r="E344">
        <v>21</v>
      </c>
      <c r="F344" t="s">
        <v>16</v>
      </c>
      <c r="G344">
        <v>2</v>
      </c>
      <c r="H344">
        <v>25</v>
      </c>
      <c r="I344">
        <v>50</v>
      </c>
    </row>
    <row r="345" spans="1:9" x14ac:dyDescent="0.35">
      <c r="A345">
        <v>344</v>
      </c>
      <c r="B345" s="1">
        <v>44947</v>
      </c>
      <c r="C345" t="s">
        <v>357</v>
      </c>
      <c r="D345" t="s">
        <v>13</v>
      </c>
      <c r="E345">
        <v>42</v>
      </c>
      <c r="F345" t="s">
        <v>11</v>
      </c>
      <c r="G345">
        <v>1</v>
      </c>
      <c r="H345">
        <v>30</v>
      </c>
      <c r="I345">
        <v>30</v>
      </c>
    </row>
    <row r="346" spans="1:9" x14ac:dyDescent="0.35">
      <c r="A346">
        <v>345</v>
      </c>
      <c r="B346" s="1">
        <v>45244</v>
      </c>
      <c r="C346" t="s">
        <v>358</v>
      </c>
      <c r="D346" t="s">
        <v>10</v>
      </c>
      <c r="E346">
        <v>62</v>
      </c>
      <c r="F346" t="s">
        <v>16</v>
      </c>
      <c r="G346">
        <v>1</v>
      </c>
      <c r="H346">
        <v>30</v>
      </c>
      <c r="I346">
        <v>30</v>
      </c>
    </row>
    <row r="347" spans="1:9" x14ac:dyDescent="0.35">
      <c r="A347">
        <v>346</v>
      </c>
      <c r="B347" s="1">
        <v>44968</v>
      </c>
      <c r="C347" t="s">
        <v>359</v>
      </c>
      <c r="D347" t="s">
        <v>10</v>
      </c>
      <c r="E347">
        <v>59</v>
      </c>
      <c r="F347" t="s">
        <v>14</v>
      </c>
      <c r="G347">
        <v>2</v>
      </c>
      <c r="H347">
        <v>500</v>
      </c>
      <c r="I347">
        <v>1000</v>
      </c>
    </row>
    <row r="348" spans="1:9" x14ac:dyDescent="0.35">
      <c r="A348">
        <v>347</v>
      </c>
      <c r="B348" s="1">
        <v>45141</v>
      </c>
      <c r="C348" t="s">
        <v>360</v>
      </c>
      <c r="D348" t="s">
        <v>10</v>
      </c>
      <c r="E348">
        <v>42</v>
      </c>
      <c r="F348" t="s">
        <v>16</v>
      </c>
      <c r="G348">
        <v>1</v>
      </c>
      <c r="H348">
        <v>25</v>
      </c>
      <c r="I348">
        <v>25</v>
      </c>
    </row>
    <row r="349" spans="1:9" x14ac:dyDescent="0.35">
      <c r="A349">
        <v>348</v>
      </c>
      <c r="B349" s="1">
        <v>45263</v>
      </c>
      <c r="C349" t="s">
        <v>361</v>
      </c>
      <c r="D349" t="s">
        <v>13</v>
      </c>
      <c r="E349">
        <v>35</v>
      </c>
      <c r="F349" t="s">
        <v>16</v>
      </c>
      <c r="G349">
        <v>2</v>
      </c>
      <c r="H349">
        <v>300</v>
      </c>
      <c r="I349">
        <v>600</v>
      </c>
    </row>
    <row r="350" spans="1:9" x14ac:dyDescent="0.35">
      <c r="A350">
        <v>349</v>
      </c>
      <c r="B350" s="1">
        <v>45225</v>
      </c>
      <c r="C350" t="s">
        <v>362</v>
      </c>
      <c r="D350" t="s">
        <v>13</v>
      </c>
      <c r="E350">
        <v>57</v>
      </c>
      <c r="F350" t="s">
        <v>11</v>
      </c>
      <c r="G350">
        <v>1</v>
      </c>
      <c r="H350">
        <v>50</v>
      </c>
      <c r="I350">
        <v>50</v>
      </c>
    </row>
    <row r="351" spans="1:9" x14ac:dyDescent="0.35">
      <c r="A351">
        <v>350</v>
      </c>
      <c r="B351" s="1">
        <v>45216</v>
      </c>
      <c r="C351" t="s">
        <v>363</v>
      </c>
      <c r="D351" t="s">
        <v>10</v>
      </c>
      <c r="E351">
        <v>25</v>
      </c>
      <c r="F351" t="s">
        <v>11</v>
      </c>
      <c r="G351">
        <v>3</v>
      </c>
      <c r="H351">
        <v>25</v>
      </c>
      <c r="I351">
        <v>75</v>
      </c>
    </row>
    <row r="352" spans="1:9" x14ac:dyDescent="0.35">
      <c r="A352">
        <v>351</v>
      </c>
      <c r="B352" s="1">
        <v>45194</v>
      </c>
      <c r="C352" t="s">
        <v>364</v>
      </c>
      <c r="D352" t="s">
        <v>13</v>
      </c>
      <c r="E352">
        <v>56</v>
      </c>
      <c r="F352" t="s">
        <v>14</v>
      </c>
      <c r="G352">
        <v>3</v>
      </c>
      <c r="H352">
        <v>30</v>
      </c>
      <c r="I352">
        <v>90</v>
      </c>
    </row>
    <row r="353" spans="1:9" x14ac:dyDescent="0.35">
      <c r="A353">
        <v>352</v>
      </c>
      <c r="B353" s="1">
        <v>45088</v>
      </c>
      <c r="C353" t="s">
        <v>365</v>
      </c>
      <c r="D353" t="s">
        <v>10</v>
      </c>
      <c r="E353">
        <v>57</v>
      </c>
      <c r="F353" t="s">
        <v>16</v>
      </c>
      <c r="G353">
        <v>2</v>
      </c>
      <c r="H353">
        <v>500</v>
      </c>
      <c r="I353">
        <v>1000</v>
      </c>
    </row>
    <row r="354" spans="1:9" x14ac:dyDescent="0.35">
      <c r="A354">
        <v>353</v>
      </c>
      <c r="B354" s="1">
        <v>45060</v>
      </c>
      <c r="C354" t="s">
        <v>366</v>
      </c>
      <c r="D354" t="s">
        <v>10</v>
      </c>
      <c r="E354">
        <v>31</v>
      </c>
      <c r="F354" t="s">
        <v>16</v>
      </c>
      <c r="G354">
        <v>1</v>
      </c>
      <c r="H354">
        <v>500</v>
      </c>
      <c r="I354">
        <v>500</v>
      </c>
    </row>
    <row r="355" spans="1:9" x14ac:dyDescent="0.35">
      <c r="A355">
        <v>354</v>
      </c>
      <c r="B355" s="1">
        <v>45031</v>
      </c>
      <c r="C355" t="s">
        <v>367</v>
      </c>
      <c r="D355" t="s">
        <v>13</v>
      </c>
      <c r="E355">
        <v>49</v>
      </c>
      <c r="F355" t="s">
        <v>11</v>
      </c>
      <c r="G355">
        <v>4</v>
      </c>
      <c r="H355">
        <v>50</v>
      </c>
      <c r="I355">
        <v>200</v>
      </c>
    </row>
    <row r="356" spans="1:9" x14ac:dyDescent="0.35">
      <c r="A356">
        <v>355</v>
      </c>
      <c r="B356" s="1">
        <v>45269</v>
      </c>
      <c r="C356" t="s">
        <v>368</v>
      </c>
      <c r="D356" t="s">
        <v>13</v>
      </c>
      <c r="E356">
        <v>55</v>
      </c>
      <c r="F356" t="s">
        <v>16</v>
      </c>
      <c r="G356">
        <v>1</v>
      </c>
      <c r="H356">
        <v>500</v>
      </c>
      <c r="I356">
        <v>500</v>
      </c>
    </row>
    <row r="357" spans="1:9" x14ac:dyDescent="0.35">
      <c r="A357">
        <v>356</v>
      </c>
      <c r="B357" s="1">
        <v>45087</v>
      </c>
      <c r="C357" t="s">
        <v>369</v>
      </c>
      <c r="D357" t="s">
        <v>10</v>
      </c>
      <c r="E357">
        <v>50</v>
      </c>
      <c r="F357" t="s">
        <v>16</v>
      </c>
      <c r="G357">
        <v>3</v>
      </c>
      <c r="H357">
        <v>500</v>
      </c>
      <c r="I357">
        <v>1500</v>
      </c>
    </row>
    <row r="358" spans="1:9" x14ac:dyDescent="0.35">
      <c r="A358">
        <v>357</v>
      </c>
      <c r="B358" s="1">
        <v>45049</v>
      </c>
      <c r="C358" t="s">
        <v>370</v>
      </c>
      <c r="D358" t="s">
        <v>13</v>
      </c>
      <c r="E358">
        <v>40</v>
      </c>
      <c r="F358" t="s">
        <v>16</v>
      </c>
      <c r="G358">
        <v>3</v>
      </c>
      <c r="H358">
        <v>25</v>
      </c>
      <c r="I358">
        <v>75</v>
      </c>
    </row>
    <row r="359" spans="1:9" x14ac:dyDescent="0.35">
      <c r="A359">
        <v>358</v>
      </c>
      <c r="B359" s="1">
        <v>45062</v>
      </c>
      <c r="C359" t="s">
        <v>371</v>
      </c>
      <c r="D359" t="s">
        <v>13</v>
      </c>
      <c r="E359">
        <v>32</v>
      </c>
      <c r="F359" t="s">
        <v>11</v>
      </c>
      <c r="G359">
        <v>1</v>
      </c>
      <c r="H359">
        <v>300</v>
      </c>
      <c r="I359">
        <v>300</v>
      </c>
    </row>
    <row r="360" spans="1:9" x14ac:dyDescent="0.35">
      <c r="A360">
        <v>359</v>
      </c>
      <c r="B360" s="1">
        <v>45129</v>
      </c>
      <c r="C360" t="s">
        <v>372</v>
      </c>
      <c r="D360" t="s">
        <v>10</v>
      </c>
      <c r="E360">
        <v>50</v>
      </c>
      <c r="F360" t="s">
        <v>14</v>
      </c>
      <c r="G360">
        <v>1</v>
      </c>
      <c r="H360">
        <v>50</v>
      </c>
      <c r="I360">
        <v>50</v>
      </c>
    </row>
    <row r="361" spans="1:9" x14ac:dyDescent="0.35">
      <c r="A361">
        <v>360</v>
      </c>
      <c r="B361" s="1">
        <v>44994</v>
      </c>
      <c r="C361" t="s">
        <v>373</v>
      </c>
      <c r="D361" t="s">
        <v>10</v>
      </c>
      <c r="E361">
        <v>42</v>
      </c>
      <c r="F361" t="s">
        <v>14</v>
      </c>
      <c r="G361">
        <v>4</v>
      </c>
      <c r="H361">
        <v>25</v>
      </c>
      <c r="I361">
        <v>100</v>
      </c>
    </row>
    <row r="362" spans="1:9" x14ac:dyDescent="0.35">
      <c r="A362">
        <v>361</v>
      </c>
      <c r="B362" s="1">
        <v>45270</v>
      </c>
      <c r="C362" t="s">
        <v>374</v>
      </c>
      <c r="D362" t="s">
        <v>13</v>
      </c>
      <c r="E362">
        <v>34</v>
      </c>
      <c r="F362" t="s">
        <v>16</v>
      </c>
      <c r="G362">
        <v>4</v>
      </c>
      <c r="H362">
        <v>300</v>
      </c>
      <c r="I362">
        <v>1200</v>
      </c>
    </row>
    <row r="363" spans="1:9" x14ac:dyDescent="0.35">
      <c r="A363">
        <v>362</v>
      </c>
      <c r="B363" s="1">
        <v>45257</v>
      </c>
      <c r="C363" t="s">
        <v>375</v>
      </c>
      <c r="D363" t="s">
        <v>10</v>
      </c>
      <c r="E363">
        <v>50</v>
      </c>
      <c r="F363" t="s">
        <v>14</v>
      </c>
      <c r="G363">
        <v>1</v>
      </c>
      <c r="H363">
        <v>25</v>
      </c>
      <c r="I363">
        <v>25</v>
      </c>
    </row>
    <row r="364" spans="1:9" x14ac:dyDescent="0.35">
      <c r="A364">
        <v>363</v>
      </c>
      <c r="B364" s="1">
        <v>45080</v>
      </c>
      <c r="C364" t="s">
        <v>376</v>
      </c>
      <c r="D364" t="s">
        <v>10</v>
      </c>
      <c r="E364">
        <v>64</v>
      </c>
      <c r="F364" t="s">
        <v>11</v>
      </c>
      <c r="G364">
        <v>1</v>
      </c>
      <c r="H364">
        <v>25</v>
      </c>
      <c r="I364">
        <v>25</v>
      </c>
    </row>
    <row r="365" spans="1:9" x14ac:dyDescent="0.35">
      <c r="A365">
        <v>364</v>
      </c>
      <c r="B365" s="1">
        <v>45161</v>
      </c>
      <c r="C365" t="s">
        <v>377</v>
      </c>
      <c r="D365" t="s">
        <v>13</v>
      </c>
      <c r="E365">
        <v>19</v>
      </c>
      <c r="F365" t="s">
        <v>11</v>
      </c>
      <c r="G365">
        <v>1</v>
      </c>
      <c r="H365">
        <v>500</v>
      </c>
      <c r="I365">
        <v>500</v>
      </c>
    </row>
    <row r="366" spans="1:9" x14ac:dyDescent="0.35">
      <c r="A366">
        <v>365</v>
      </c>
      <c r="B366" s="1">
        <v>45088</v>
      </c>
      <c r="C366" t="s">
        <v>378</v>
      </c>
      <c r="D366" t="s">
        <v>10</v>
      </c>
      <c r="E366">
        <v>31</v>
      </c>
      <c r="F366" t="s">
        <v>14</v>
      </c>
      <c r="G366">
        <v>1</v>
      </c>
      <c r="H366">
        <v>300</v>
      </c>
      <c r="I366">
        <v>300</v>
      </c>
    </row>
    <row r="367" spans="1:9" x14ac:dyDescent="0.35">
      <c r="A367">
        <v>366</v>
      </c>
      <c r="B367" s="1">
        <v>44964</v>
      </c>
      <c r="C367" t="s">
        <v>379</v>
      </c>
      <c r="D367" t="s">
        <v>10</v>
      </c>
      <c r="E367">
        <v>57</v>
      </c>
      <c r="F367" t="s">
        <v>14</v>
      </c>
      <c r="G367">
        <v>2</v>
      </c>
      <c r="H367">
        <v>50</v>
      </c>
      <c r="I367">
        <v>100</v>
      </c>
    </row>
    <row r="368" spans="1:9" x14ac:dyDescent="0.35">
      <c r="A368">
        <v>367</v>
      </c>
      <c r="B368" s="1">
        <v>44931</v>
      </c>
      <c r="C368" t="s">
        <v>380</v>
      </c>
      <c r="D368" t="s">
        <v>13</v>
      </c>
      <c r="E368">
        <v>57</v>
      </c>
      <c r="F368" t="s">
        <v>16</v>
      </c>
      <c r="G368">
        <v>1</v>
      </c>
      <c r="H368">
        <v>50</v>
      </c>
      <c r="I368">
        <v>50</v>
      </c>
    </row>
    <row r="369" spans="1:9" x14ac:dyDescent="0.35">
      <c r="A369">
        <v>368</v>
      </c>
      <c r="B369" s="1">
        <v>45161</v>
      </c>
      <c r="C369" t="s">
        <v>381</v>
      </c>
      <c r="D369" t="s">
        <v>13</v>
      </c>
      <c r="E369">
        <v>56</v>
      </c>
      <c r="F369" t="s">
        <v>14</v>
      </c>
      <c r="G369">
        <v>4</v>
      </c>
      <c r="H369">
        <v>300</v>
      </c>
      <c r="I369">
        <v>1200</v>
      </c>
    </row>
    <row r="370" spans="1:9" x14ac:dyDescent="0.35">
      <c r="A370">
        <v>369</v>
      </c>
      <c r="B370" s="1">
        <v>45245</v>
      </c>
      <c r="C370" t="s">
        <v>382</v>
      </c>
      <c r="D370" t="s">
        <v>10</v>
      </c>
      <c r="E370">
        <v>23</v>
      </c>
      <c r="F370" t="s">
        <v>16</v>
      </c>
      <c r="G370">
        <v>3</v>
      </c>
      <c r="H370">
        <v>500</v>
      </c>
      <c r="I370">
        <v>1500</v>
      </c>
    </row>
    <row r="371" spans="1:9" x14ac:dyDescent="0.35">
      <c r="A371">
        <v>370</v>
      </c>
      <c r="B371" s="1">
        <v>45215</v>
      </c>
      <c r="C371" t="s">
        <v>383</v>
      </c>
      <c r="D371" t="s">
        <v>10</v>
      </c>
      <c r="E371">
        <v>23</v>
      </c>
      <c r="F371" t="s">
        <v>16</v>
      </c>
      <c r="G371">
        <v>2</v>
      </c>
      <c r="H371">
        <v>30</v>
      </c>
      <c r="I371">
        <v>60</v>
      </c>
    </row>
    <row r="372" spans="1:9" x14ac:dyDescent="0.35">
      <c r="A372">
        <v>371</v>
      </c>
      <c r="B372" s="1">
        <v>44978</v>
      </c>
      <c r="C372" t="s">
        <v>384</v>
      </c>
      <c r="D372" t="s">
        <v>13</v>
      </c>
      <c r="E372">
        <v>20</v>
      </c>
      <c r="F372" t="s">
        <v>11</v>
      </c>
      <c r="G372">
        <v>1</v>
      </c>
      <c r="H372">
        <v>25</v>
      </c>
      <c r="I372">
        <v>25</v>
      </c>
    </row>
    <row r="373" spans="1:9" x14ac:dyDescent="0.35">
      <c r="A373">
        <v>372</v>
      </c>
      <c r="B373" s="1">
        <v>44964</v>
      </c>
      <c r="C373" t="s">
        <v>385</v>
      </c>
      <c r="D373" t="s">
        <v>13</v>
      </c>
      <c r="E373">
        <v>24</v>
      </c>
      <c r="F373" t="s">
        <v>11</v>
      </c>
      <c r="G373">
        <v>3</v>
      </c>
      <c r="H373">
        <v>500</v>
      </c>
      <c r="I373">
        <v>1500</v>
      </c>
    </row>
    <row r="374" spans="1:9" x14ac:dyDescent="0.35">
      <c r="A374">
        <v>373</v>
      </c>
      <c r="B374" s="1">
        <v>45202</v>
      </c>
      <c r="C374" t="s">
        <v>386</v>
      </c>
      <c r="D374" t="s">
        <v>13</v>
      </c>
      <c r="E374">
        <v>25</v>
      </c>
      <c r="F374" t="s">
        <v>11</v>
      </c>
      <c r="G374">
        <v>2</v>
      </c>
      <c r="H374">
        <v>300</v>
      </c>
      <c r="I374">
        <v>600</v>
      </c>
    </row>
    <row r="375" spans="1:9" x14ac:dyDescent="0.35">
      <c r="A375">
        <v>374</v>
      </c>
      <c r="B375" s="1">
        <v>45036</v>
      </c>
      <c r="C375" t="s">
        <v>387</v>
      </c>
      <c r="D375" t="s">
        <v>13</v>
      </c>
      <c r="E375">
        <v>59</v>
      </c>
      <c r="F375" t="s">
        <v>11</v>
      </c>
      <c r="G375">
        <v>3</v>
      </c>
      <c r="H375">
        <v>25</v>
      </c>
      <c r="I375">
        <v>75</v>
      </c>
    </row>
    <row r="376" spans="1:9" x14ac:dyDescent="0.35">
      <c r="A376">
        <v>375</v>
      </c>
      <c r="B376" s="1">
        <v>45186</v>
      </c>
      <c r="C376" t="s">
        <v>388</v>
      </c>
      <c r="D376" t="s">
        <v>10</v>
      </c>
      <c r="E376">
        <v>32</v>
      </c>
      <c r="F376" t="s">
        <v>14</v>
      </c>
      <c r="G376">
        <v>1</v>
      </c>
      <c r="H376">
        <v>50</v>
      </c>
      <c r="I376">
        <v>50</v>
      </c>
    </row>
    <row r="377" spans="1:9" x14ac:dyDescent="0.35">
      <c r="A377">
        <v>376</v>
      </c>
      <c r="B377" s="1">
        <v>45062</v>
      </c>
      <c r="C377" t="s">
        <v>389</v>
      </c>
      <c r="D377" t="s">
        <v>13</v>
      </c>
      <c r="E377">
        <v>64</v>
      </c>
      <c r="F377" t="s">
        <v>11</v>
      </c>
      <c r="G377">
        <v>1</v>
      </c>
      <c r="H377">
        <v>30</v>
      </c>
      <c r="I377">
        <v>30</v>
      </c>
    </row>
    <row r="378" spans="1:9" x14ac:dyDescent="0.35">
      <c r="A378">
        <v>377</v>
      </c>
      <c r="B378" s="1">
        <v>44994</v>
      </c>
      <c r="C378" t="s">
        <v>390</v>
      </c>
      <c r="D378" t="s">
        <v>13</v>
      </c>
      <c r="E378">
        <v>46</v>
      </c>
      <c r="F378" t="s">
        <v>14</v>
      </c>
      <c r="G378">
        <v>4</v>
      </c>
      <c r="H378">
        <v>50</v>
      </c>
      <c r="I378">
        <v>200</v>
      </c>
    </row>
    <row r="379" spans="1:9" x14ac:dyDescent="0.35">
      <c r="A379">
        <v>378</v>
      </c>
      <c r="B379" s="1">
        <v>45105</v>
      </c>
      <c r="C379" t="s">
        <v>391</v>
      </c>
      <c r="D379" t="s">
        <v>10</v>
      </c>
      <c r="E379">
        <v>50</v>
      </c>
      <c r="F379" t="s">
        <v>11</v>
      </c>
      <c r="G379">
        <v>1</v>
      </c>
      <c r="H379">
        <v>300</v>
      </c>
      <c r="I379">
        <v>300</v>
      </c>
    </row>
    <row r="380" spans="1:9" x14ac:dyDescent="0.35">
      <c r="A380">
        <v>379</v>
      </c>
      <c r="B380" s="1">
        <v>44962</v>
      </c>
      <c r="C380" t="s">
        <v>392</v>
      </c>
      <c r="D380" t="s">
        <v>13</v>
      </c>
      <c r="E380">
        <v>47</v>
      </c>
      <c r="F380" t="s">
        <v>14</v>
      </c>
      <c r="G380">
        <v>1</v>
      </c>
      <c r="H380">
        <v>25</v>
      </c>
      <c r="I380">
        <v>25</v>
      </c>
    </row>
    <row r="381" spans="1:9" x14ac:dyDescent="0.35">
      <c r="A381">
        <v>380</v>
      </c>
      <c r="B381" s="1">
        <v>45052</v>
      </c>
      <c r="C381" t="s">
        <v>393</v>
      </c>
      <c r="D381" t="s">
        <v>10</v>
      </c>
      <c r="E381">
        <v>56</v>
      </c>
      <c r="F381" t="s">
        <v>16</v>
      </c>
      <c r="G381">
        <v>2</v>
      </c>
      <c r="H381">
        <v>300</v>
      </c>
      <c r="I381">
        <v>600</v>
      </c>
    </row>
    <row r="382" spans="1:9" x14ac:dyDescent="0.35">
      <c r="A382">
        <v>381</v>
      </c>
      <c r="B382" s="1">
        <v>45116</v>
      </c>
      <c r="C382" t="s">
        <v>394</v>
      </c>
      <c r="D382" t="s">
        <v>13</v>
      </c>
      <c r="E382">
        <v>44</v>
      </c>
      <c r="F382" t="s">
        <v>14</v>
      </c>
      <c r="G382">
        <v>4</v>
      </c>
      <c r="H382">
        <v>25</v>
      </c>
      <c r="I382">
        <v>100</v>
      </c>
    </row>
    <row r="383" spans="1:9" x14ac:dyDescent="0.35">
      <c r="A383">
        <v>382</v>
      </c>
      <c r="B383" s="1">
        <v>45072</v>
      </c>
      <c r="C383" t="s">
        <v>395</v>
      </c>
      <c r="D383" t="s">
        <v>13</v>
      </c>
      <c r="E383">
        <v>53</v>
      </c>
      <c r="F383" t="s">
        <v>14</v>
      </c>
      <c r="G383">
        <v>2</v>
      </c>
      <c r="H383">
        <v>500</v>
      </c>
      <c r="I383">
        <v>1000</v>
      </c>
    </row>
    <row r="384" spans="1:9" x14ac:dyDescent="0.35">
      <c r="A384">
        <v>383</v>
      </c>
      <c r="B384" s="1">
        <v>45007</v>
      </c>
      <c r="C384" t="s">
        <v>396</v>
      </c>
      <c r="D384" t="s">
        <v>13</v>
      </c>
      <c r="E384">
        <v>46</v>
      </c>
      <c r="F384" t="s">
        <v>11</v>
      </c>
      <c r="G384">
        <v>3</v>
      </c>
      <c r="H384">
        <v>30</v>
      </c>
      <c r="I384">
        <v>90</v>
      </c>
    </row>
    <row r="385" spans="1:9" x14ac:dyDescent="0.35">
      <c r="A385">
        <v>384</v>
      </c>
      <c r="B385" s="1">
        <v>45151</v>
      </c>
      <c r="C385" t="s">
        <v>397</v>
      </c>
      <c r="D385" t="s">
        <v>10</v>
      </c>
      <c r="E385">
        <v>55</v>
      </c>
      <c r="F385" t="s">
        <v>14</v>
      </c>
      <c r="G385">
        <v>1</v>
      </c>
      <c r="H385">
        <v>500</v>
      </c>
      <c r="I385">
        <v>500</v>
      </c>
    </row>
    <row r="386" spans="1:9" x14ac:dyDescent="0.35">
      <c r="A386">
        <v>385</v>
      </c>
      <c r="B386" s="1">
        <v>45205</v>
      </c>
      <c r="C386" t="s">
        <v>398</v>
      </c>
      <c r="D386" t="s">
        <v>10</v>
      </c>
      <c r="E386">
        <v>50</v>
      </c>
      <c r="F386" t="s">
        <v>16</v>
      </c>
      <c r="G386">
        <v>3</v>
      </c>
      <c r="H386">
        <v>500</v>
      </c>
      <c r="I386">
        <v>1500</v>
      </c>
    </row>
    <row r="387" spans="1:9" x14ac:dyDescent="0.35">
      <c r="A387">
        <v>386</v>
      </c>
      <c r="B387" s="1">
        <v>45287</v>
      </c>
      <c r="C387" t="s">
        <v>399</v>
      </c>
      <c r="D387" t="s">
        <v>13</v>
      </c>
      <c r="E387">
        <v>54</v>
      </c>
      <c r="F387" t="s">
        <v>16</v>
      </c>
      <c r="G387">
        <v>2</v>
      </c>
      <c r="H387">
        <v>300</v>
      </c>
      <c r="I387">
        <v>600</v>
      </c>
    </row>
    <row r="388" spans="1:9" x14ac:dyDescent="0.35">
      <c r="A388">
        <v>387</v>
      </c>
      <c r="B388" s="1">
        <v>45081</v>
      </c>
      <c r="C388" t="s">
        <v>400</v>
      </c>
      <c r="D388" t="s">
        <v>10</v>
      </c>
      <c r="E388">
        <v>44</v>
      </c>
      <c r="F388" t="s">
        <v>11</v>
      </c>
      <c r="G388">
        <v>1</v>
      </c>
      <c r="H388">
        <v>30</v>
      </c>
      <c r="I388">
        <v>30</v>
      </c>
    </row>
    <row r="389" spans="1:9" x14ac:dyDescent="0.35">
      <c r="A389">
        <v>388</v>
      </c>
      <c r="B389" s="1">
        <v>45240</v>
      </c>
      <c r="C389" t="s">
        <v>401</v>
      </c>
      <c r="D389" t="s">
        <v>10</v>
      </c>
      <c r="E389">
        <v>50</v>
      </c>
      <c r="F389" t="s">
        <v>16</v>
      </c>
      <c r="G389">
        <v>1</v>
      </c>
      <c r="H389">
        <v>25</v>
      </c>
      <c r="I389">
        <v>25</v>
      </c>
    </row>
    <row r="390" spans="1:9" x14ac:dyDescent="0.35">
      <c r="A390">
        <v>389</v>
      </c>
      <c r="B390" s="1">
        <v>45261</v>
      </c>
      <c r="C390" t="s">
        <v>402</v>
      </c>
      <c r="D390" t="s">
        <v>10</v>
      </c>
      <c r="E390">
        <v>21</v>
      </c>
      <c r="F390" t="s">
        <v>14</v>
      </c>
      <c r="G390">
        <v>2</v>
      </c>
      <c r="H390">
        <v>25</v>
      </c>
      <c r="I390">
        <v>50</v>
      </c>
    </row>
    <row r="391" spans="1:9" x14ac:dyDescent="0.35">
      <c r="A391">
        <v>390</v>
      </c>
      <c r="B391" s="1">
        <v>45197</v>
      </c>
      <c r="C391" t="s">
        <v>403</v>
      </c>
      <c r="D391" t="s">
        <v>10</v>
      </c>
      <c r="E391">
        <v>39</v>
      </c>
      <c r="F391" t="s">
        <v>16</v>
      </c>
      <c r="G391">
        <v>2</v>
      </c>
      <c r="H391">
        <v>50</v>
      </c>
      <c r="I391">
        <v>100</v>
      </c>
    </row>
    <row r="392" spans="1:9" x14ac:dyDescent="0.35">
      <c r="A392">
        <v>391</v>
      </c>
      <c r="B392" s="1">
        <v>44931</v>
      </c>
      <c r="C392" t="s">
        <v>404</v>
      </c>
      <c r="D392" t="s">
        <v>10</v>
      </c>
      <c r="E392">
        <v>19</v>
      </c>
      <c r="F392" t="s">
        <v>11</v>
      </c>
      <c r="G392">
        <v>2</v>
      </c>
      <c r="H392">
        <v>25</v>
      </c>
      <c r="I392">
        <v>50</v>
      </c>
    </row>
    <row r="393" spans="1:9" x14ac:dyDescent="0.35">
      <c r="A393">
        <v>392</v>
      </c>
      <c r="B393" s="1">
        <v>45268</v>
      </c>
      <c r="C393" t="s">
        <v>405</v>
      </c>
      <c r="D393" t="s">
        <v>10</v>
      </c>
      <c r="E393">
        <v>27</v>
      </c>
      <c r="F393" t="s">
        <v>14</v>
      </c>
      <c r="G393">
        <v>2</v>
      </c>
      <c r="H393">
        <v>300</v>
      </c>
      <c r="I393">
        <v>600</v>
      </c>
    </row>
    <row r="394" spans="1:9" x14ac:dyDescent="0.35">
      <c r="A394">
        <v>393</v>
      </c>
      <c r="B394" s="1">
        <v>45210</v>
      </c>
      <c r="C394" t="s">
        <v>406</v>
      </c>
      <c r="D394" t="s">
        <v>13</v>
      </c>
      <c r="E394">
        <v>22</v>
      </c>
      <c r="F394" t="s">
        <v>11</v>
      </c>
      <c r="G394">
        <v>2</v>
      </c>
      <c r="H394">
        <v>500</v>
      </c>
      <c r="I394">
        <v>1000</v>
      </c>
    </row>
    <row r="395" spans="1:9" x14ac:dyDescent="0.35">
      <c r="A395">
        <v>394</v>
      </c>
      <c r="B395" s="1">
        <v>45080</v>
      </c>
      <c r="C395" t="s">
        <v>407</v>
      </c>
      <c r="D395" t="s">
        <v>13</v>
      </c>
      <c r="E395">
        <v>27</v>
      </c>
      <c r="F395" t="s">
        <v>14</v>
      </c>
      <c r="G395">
        <v>1</v>
      </c>
      <c r="H395">
        <v>500</v>
      </c>
      <c r="I395">
        <v>500</v>
      </c>
    </row>
    <row r="396" spans="1:9" x14ac:dyDescent="0.35">
      <c r="A396">
        <v>395</v>
      </c>
      <c r="B396" s="1">
        <v>45266</v>
      </c>
      <c r="C396" t="s">
        <v>408</v>
      </c>
      <c r="D396" t="s">
        <v>10</v>
      </c>
      <c r="E396">
        <v>50</v>
      </c>
      <c r="F396" t="s">
        <v>16</v>
      </c>
      <c r="G396">
        <v>2</v>
      </c>
      <c r="H396">
        <v>500</v>
      </c>
      <c r="I396">
        <v>1000</v>
      </c>
    </row>
    <row r="397" spans="1:9" x14ac:dyDescent="0.35">
      <c r="A397">
        <v>396</v>
      </c>
      <c r="B397" s="1">
        <v>44980</v>
      </c>
      <c r="C397" t="s">
        <v>409</v>
      </c>
      <c r="D397" t="s">
        <v>13</v>
      </c>
      <c r="E397">
        <v>55</v>
      </c>
      <c r="F397" t="s">
        <v>11</v>
      </c>
      <c r="G397">
        <v>1</v>
      </c>
      <c r="H397">
        <v>30</v>
      </c>
      <c r="I397">
        <v>30</v>
      </c>
    </row>
    <row r="398" spans="1:9" x14ac:dyDescent="0.35">
      <c r="A398">
        <v>397</v>
      </c>
      <c r="B398" s="1">
        <v>44995</v>
      </c>
      <c r="C398" t="s">
        <v>410</v>
      </c>
      <c r="D398" t="s">
        <v>13</v>
      </c>
      <c r="E398">
        <v>30</v>
      </c>
      <c r="F398" t="s">
        <v>11</v>
      </c>
      <c r="G398">
        <v>1</v>
      </c>
      <c r="H398">
        <v>25</v>
      </c>
      <c r="I398">
        <v>25</v>
      </c>
    </row>
    <row r="399" spans="1:9" x14ac:dyDescent="0.35">
      <c r="A399">
        <v>398</v>
      </c>
      <c r="B399" s="1">
        <v>45062</v>
      </c>
      <c r="C399" t="s">
        <v>411</v>
      </c>
      <c r="D399" t="s">
        <v>13</v>
      </c>
      <c r="E399">
        <v>48</v>
      </c>
      <c r="F399" t="s">
        <v>14</v>
      </c>
      <c r="G399">
        <v>2</v>
      </c>
      <c r="H399">
        <v>300</v>
      </c>
      <c r="I399">
        <v>600</v>
      </c>
    </row>
    <row r="400" spans="1:9" x14ac:dyDescent="0.35">
      <c r="A400">
        <v>399</v>
      </c>
      <c r="B400" s="1">
        <v>44986</v>
      </c>
      <c r="C400" t="s">
        <v>412</v>
      </c>
      <c r="D400" t="s">
        <v>13</v>
      </c>
      <c r="E400">
        <v>64</v>
      </c>
      <c r="F400" t="s">
        <v>11</v>
      </c>
      <c r="G400">
        <v>2</v>
      </c>
      <c r="H400">
        <v>30</v>
      </c>
      <c r="I400">
        <v>60</v>
      </c>
    </row>
    <row r="401" spans="1:9" x14ac:dyDescent="0.35">
      <c r="A401">
        <v>400</v>
      </c>
      <c r="B401" s="1">
        <v>44981</v>
      </c>
      <c r="C401" t="s">
        <v>413</v>
      </c>
      <c r="D401" t="s">
        <v>10</v>
      </c>
      <c r="E401">
        <v>53</v>
      </c>
      <c r="F401" t="s">
        <v>14</v>
      </c>
      <c r="G401">
        <v>4</v>
      </c>
      <c r="H401">
        <v>50</v>
      </c>
      <c r="I401">
        <v>200</v>
      </c>
    </row>
    <row r="402" spans="1:9" x14ac:dyDescent="0.35">
      <c r="A402">
        <v>401</v>
      </c>
      <c r="B402" s="1">
        <v>45210</v>
      </c>
      <c r="C402" t="s">
        <v>414</v>
      </c>
      <c r="D402" t="s">
        <v>13</v>
      </c>
      <c r="E402">
        <v>62</v>
      </c>
      <c r="F402" t="s">
        <v>14</v>
      </c>
      <c r="G402">
        <v>1</v>
      </c>
      <c r="H402">
        <v>300</v>
      </c>
      <c r="I402">
        <v>300</v>
      </c>
    </row>
    <row r="403" spans="1:9" x14ac:dyDescent="0.35">
      <c r="A403">
        <v>402</v>
      </c>
      <c r="B403" s="1">
        <v>45006</v>
      </c>
      <c r="C403" t="s">
        <v>415</v>
      </c>
      <c r="D403" t="s">
        <v>13</v>
      </c>
      <c r="E403">
        <v>41</v>
      </c>
      <c r="F403" t="s">
        <v>14</v>
      </c>
      <c r="G403">
        <v>2</v>
      </c>
      <c r="H403">
        <v>300</v>
      </c>
      <c r="I403">
        <v>600</v>
      </c>
    </row>
    <row r="404" spans="1:9" x14ac:dyDescent="0.35">
      <c r="A404">
        <v>403</v>
      </c>
      <c r="B404" s="1">
        <v>45066</v>
      </c>
      <c r="C404" t="s">
        <v>416</v>
      </c>
      <c r="D404" t="s">
        <v>10</v>
      </c>
      <c r="E404">
        <v>32</v>
      </c>
      <c r="F404" t="s">
        <v>14</v>
      </c>
      <c r="G404">
        <v>2</v>
      </c>
      <c r="H404">
        <v>300</v>
      </c>
      <c r="I404">
        <v>600</v>
      </c>
    </row>
    <row r="405" spans="1:9" x14ac:dyDescent="0.35">
      <c r="A405">
        <v>404</v>
      </c>
      <c r="B405" s="1">
        <v>45071</v>
      </c>
      <c r="C405" t="s">
        <v>417</v>
      </c>
      <c r="D405" t="s">
        <v>10</v>
      </c>
      <c r="E405">
        <v>46</v>
      </c>
      <c r="F405" t="s">
        <v>16</v>
      </c>
      <c r="G405">
        <v>2</v>
      </c>
      <c r="H405">
        <v>500</v>
      </c>
      <c r="I405">
        <v>1000</v>
      </c>
    </row>
    <row r="406" spans="1:9" x14ac:dyDescent="0.35">
      <c r="A406">
        <v>405</v>
      </c>
      <c r="B406" s="1">
        <v>45236</v>
      </c>
      <c r="C406" t="s">
        <v>418</v>
      </c>
      <c r="D406" t="s">
        <v>13</v>
      </c>
      <c r="E406">
        <v>25</v>
      </c>
      <c r="F406" t="s">
        <v>14</v>
      </c>
      <c r="G406">
        <v>4</v>
      </c>
      <c r="H406">
        <v>300</v>
      </c>
      <c r="I406">
        <v>1200</v>
      </c>
    </row>
    <row r="407" spans="1:9" x14ac:dyDescent="0.35">
      <c r="A407">
        <v>406</v>
      </c>
      <c r="B407" s="1">
        <v>45034</v>
      </c>
      <c r="C407" t="s">
        <v>419</v>
      </c>
      <c r="D407" t="s">
        <v>13</v>
      </c>
      <c r="E407">
        <v>22</v>
      </c>
      <c r="F407" t="s">
        <v>11</v>
      </c>
      <c r="G407">
        <v>4</v>
      </c>
      <c r="H407">
        <v>25</v>
      </c>
      <c r="I407">
        <v>100</v>
      </c>
    </row>
    <row r="408" spans="1:9" x14ac:dyDescent="0.35">
      <c r="A408">
        <v>407</v>
      </c>
      <c r="B408" s="1">
        <v>45102</v>
      </c>
      <c r="C408" t="s">
        <v>420</v>
      </c>
      <c r="D408" t="s">
        <v>13</v>
      </c>
      <c r="E408">
        <v>46</v>
      </c>
      <c r="F408" t="s">
        <v>16</v>
      </c>
      <c r="G408">
        <v>3</v>
      </c>
      <c r="H408">
        <v>300</v>
      </c>
      <c r="I408">
        <v>900</v>
      </c>
    </row>
    <row r="409" spans="1:9" x14ac:dyDescent="0.35">
      <c r="A409">
        <v>408</v>
      </c>
      <c r="B409" s="1">
        <v>45031</v>
      </c>
      <c r="C409" t="s">
        <v>421</v>
      </c>
      <c r="D409" t="s">
        <v>13</v>
      </c>
      <c r="E409">
        <v>64</v>
      </c>
      <c r="F409" t="s">
        <v>11</v>
      </c>
      <c r="G409">
        <v>1</v>
      </c>
      <c r="H409">
        <v>500</v>
      </c>
      <c r="I409">
        <v>500</v>
      </c>
    </row>
    <row r="410" spans="1:9" x14ac:dyDescent="0.35">
      <c r="A410">
        <v>409</v>
      </c>
      <c r="B410" s="1">
        <v>45278</v>
      </c>
      <c r="C410" t="s">
        <v>422</v>
      </c>
      <c r="D410" t="s">
        <v>13</v>
      </c>
      <c r="E410">
        <v>21</v>
      </c>
      <c r="F410" t="s">
        <v>16</v>
      </c>
      <c r="G410">
        <v>3</v>
      </c>
      <c r="H410">
        <v>300</v>
      </c>
      <c r="I410">
        <v>900</v>
      </c>
    </row>
    <row r="411" spans="1:9" x14ac:dyDescent="0.35">
      <c r="A411">
        <v>410</v>
      </c>
      <c r="B411" s="1">
        <v>45251</v>
      </c>
      <c r="C411" t="s">
        <v>423</v>
      </c>
      <c r="D411" t="s">
        <v>13</v>
      </c>
      <c r="E411">
        <v>29</v>
      </c>
      <c r="F411" t="s">
        <v>14</v>
      </c>
      <c r="G411">
        <v>2</v>
      </c>
      <c r="H411">
        <v>50</v>
      </c>
      <c r="I411">
        <v>100</v>
      </c>
    </row>
    <row r="412" spans="1:9" x14ac:dyDescent="0.35">
      <c r="A412">
        <v>411</v>
      </c>
      <c r="B412" s="1">
        <v>45062</v>
      </c>
      <c r="C412" t="s">
        <v>424</v>
      </c>
      <c r="D412" t="s">
        <v>10</v>
      </c>
      <c r="E412">
        <v>62</v>
      </c>
      <c r="F412" t="s">
        <v>16</v>
      </c>
      <c r="G412">
        <v>4</v>
      </c>
      <c r="H412">
        <v>50</v>
      </c>
      <c r="I412">
        <v>200</v>
      </c>
    </row>
    <row r="413" spans="1:9" x14ac:dyDescent="0.35">
      <c r="A413">
        <v>412</v>
      </c>
      <c r="B413" s="1">
        <v>45185</v>
      </c>
      <c r="C413" t="s">
        <v>425</v>
      </c>
      <c r="D413" t="s">
        <v>13</v>
      </c>
      <c r="E413">
        <v>19</v>
      </c>
      <c r="F413" t="s">
        <v>16</v>
      </c>
      <c r="G413">
        <v>4</v>
      </c>
      <c r="H413">
        <v>500</v>
      </c>
      <c r="I413">
        <v>2000</v>
      </c>
    </row>
    <row r="414" spans="1:9" x14ac:dyDescent="0.35">
      <c r="A414">
        <v>413</v>
      </c>
      <c r="B414" s="1">
        <v>45177</v>
      </c>
      <c r="C414" t="s">
        <v>426</v>
      </c>
      <c r="D414" t="s">
        <v>13</v>
      </c>
      <c r="E414">
        <v>44</v>
      </c>
      <c r="F414" t="s">
        <v>11</v>
      </c>
      <c r="G414">
        <v>3</v>
      </c>
      <c r="H414">
        <v>25</v>
      </c>
      <c r="I414">
        <v>75</v>
      </c>
    </row>
    <row r="415" spans="1:9" x14ac:dyDescent="0.35">
      <c r="A415">
        <v>414</v>
      </c>
      <c r="B415" s="1">
        <v>45055</v>
      </c>
      <c r="C415" t="s">
        <v>427</v>
      </c>
      <c r="D415" t="s">
        <v>10</v>
      </c>
      <c r="E415">
        <v>48</v>
      </c>
      <c r="F415" t="s">
        <v>11</v>
      </c>
      <c r="G415">
        <v>4</v>
      </c>
      <c r="H415">
        <v>25</v>
      </c>
      <c r="I415">
        <v>100</v>
      </c>
    </row>
    <row r="416" spans="1:9" x14ac:dyDescent="0.35">
      <c r="A416">
        <v>415</v>
      </c>
      <c r="B416" s="1">
        <v>44953</v>
      </c>
      <c r="C416" t="s">
        <v>428</v>
      </c>
      <c r="D416" t="s">
        <v>10</v>
      </c>
      <c r="E416">
        <v>53</v>
      </c>
      <c r="F416" t="s">
        <v>14</v>
      </c>
      <c r="G416">
        <v>2</v>
      </c>
      <c r="H416">
        <v>30</v>
      </c>
      <c r="I416">
        <v>60</v>
      </c>
    </row>
    <row r="417" spans="1:9" x14ac:dyDescent="0.35">
      <c r="A417">
        <v>416</v>
      </c>
      <c r="B417" s="1">
        <v>44974</v>
      </c>
      <c r="C417" t="s">
        <v>429</v>
      </c>
      <c r="D417" t="s">
        <v>10</v>
      </c>
      <c r="E417">
        <v>53</v>
      </c>
      <c r="F417" t="s">
        <v>16</v>
      </c>
      <c r="G417">
        <v>4</v>
      </c>
      <c r="H417">
        <v>500</v>
      </c>
      <c r="I417">
        <v>2000</v>
      </c>
    </row>
    <row r="418" spans="1:9" x14ac:dyDescent="0.35">
      <c r="A418">
        <v>417</v>
      </c>
      <c r="B418" s="1">
        <v>45251</v>
      </c>
      <c r="C418" t="s">
        <v>430</v>
      </c>
      <c r="D418" t="s">
        <v>10</v>
      </c>
      <c r="E418">
        <v>43</v>
      </c>
      <c r="F418" t="s">
        <v>16</v>
      </c>
      <c r="G418">
        <v>3</v>
      </c>
      <c r="H418">
        <v>300</v>
      </c>
      <c r="I418">
        <v>900</v>
      </c>
    </row>
    <row r="419" spans="1:9" x14ac:dyDescent="0.35">
      <c r="A419">
        <v>418</v>
      </c>
      <c r="B419" s="1">
        <v>45143</v>
      </c>
      <c r="C419" t="s">
        <v>431</v>
      </c>
      <c r="D419" t="s">
        <v>13</v>
      </c>
      <c r="E419">
        <v>60</v>
      </c>
      <c r="F419" t="s">
        <v>16</v>
      </c>
      <c r="G419">
        <v>2</v>
      </c>
      <c r="H419">
        <v>500</v>
      </c>
      <c r="I419">
        <v>1000</v>
      </c>
    </row>
    <row r="420" spans="1:9" x14ac:dyDescent="0.35">
      <c r="A420">
        <v>419</v>
      </c>
      <c r="B420" s="1">
        <v>45068</v>
      </c>
      <c r="C420" t="s">
        <v>432</v>
      </c>
      <c r="D420" t="s">
        <v>13</v>
      </c>
      <c r="E420">
        <v>44</v>
      </c>
      <c r="F420" t="s">
        <v>14</v>
      </c>
      <c r="G420">
        <v>3</v>
      </c>
      <c r="H420">
        <v>30</v>
      </c>
      <c r="I420">
        <v>90</v>
      </c>
    </row>
    <row r="421" spans="1:9" x14ac:dyDescent="0.35">
      <c r="A421">
        <v>420</v>
      </c>
      <c r="B421" s="1">
        <v>44949</v>
      </c>
      <c r="C421" t="s">
        <v>433</v>
      </c>
      <c r="D421" t="s">
        <v>13</v>
      </c>
      <c r="E421">
        <v>22</v>
      </c>
      <c r="F421" t="s">
        <v>14</v>
      </c>
      <c r="G421">
        <v>4</v>
      </c>
      <c r="H421">
        <v>500</v>
      </c>
      <c r="I421">
        <v>2000</v>
      </c>
    </row>
    <row r="422" spans="1:9" x14ac:dyDescent="0.35">
      <c r="A422">
        <v>421</v>
      </c>
      <c r="B422" s="1">
        <v>44928</v>
      </c>
      <c r="C422" t="s">
        <v>434</v>
      </c>
      <c r="D422" t="s">
        <v>13</v>
      </c>
      <c r="E422">
        <v>37</v>
      </c>
      <c r="F422" t="s">
        <v>14</v>
      </c>
      <c r="G422">
        <v>3</v>
      </c>
      <c r="H422">
        <v>500</v>
      </c>
      <c r="I422">
        <v>1500</v>
      </c>
    </row>
    <row r="423" spans="1:9" x14ac:dyDescent="0.35">
      <c r="A423">
        <v>422</v>
      </c>
      <c r="B423" s="1">
        <v>45097</v>
      </c>
      <c r="C423" t="s">
        <v>435</v>
      </c>
      <c r="D423" t="s">
        <v>13</v>
      </c>
      <c r="E423">
        <v>28</v>
      </c>
      <c r="F423" t="s">
        <v>14</v>
      </c>
      <c r="G423">
        <v>3</v>
      </c>
      <c r="H423">
        <v>30</v>
      </c>
      <c r="I423">
        <v>90</v>
      </c>
    </row>
    <row r="424" spans="1:9" x14ac:dyDescent="0.35">
      <c r="A424">
        <v>423</v>
      </c>
      <c r="B424" s="1">
        <v>44993</v>
      </c>
      <c r="C424" t="s">
        <v>436</v>
      </c>
      <c r="D424" t="s">
        <v>13</v>
      </c>
      <c r="E424">
        <v>27</v>
      </c>
      <c r="F424" t="s">
        <v>14</v>
      </c>
      <c r="G424">
        <v>1</v>
      </c>
      <c r="H424">
        <v>25</v>
      </c>
      <c r="I424">
        <v>25</v>
      </c>
    </row>
    <row r="425" spans="1:9" x14ac:dyDescent="0.35">
      <c r="A425">
        <v>424</v>
      </c>
      <c r="B425" s="1">
        <v>45253</v>
      </c>
      <c r="C425" t="s">
        <v>437</v>
      </c>
      <c r="D425" t="s">
        <v>10</v>
      </c>
      <c r="E425">
        <v>57</v>
      </c>
      <c r="F425" t="s">
        <v>11</v>
      </c>
      <c r="G425">
        <v>4</v>
      </c>
      <c r="H425">
        <v>300</v>
      </c>
      <c r="I425">
        <v>1200</v>
      </c>
    </row>
    <row r="426" spans="1:9" x14ac:dyDescent="0.35">
      <c r="A426">
        <v>425</v>
      </c>
      <c r="B426" s="1">
        <v>45061</v>
      </c>
      <c r="C426" t="s">
        <v>438</v>
      </c>
      <c r="D426" t="s">
        <v>13</v>
      </c>
      <c r="E426">
        <v>55</v>
      </c>
      <c r="F426" t="s">
        <v>16</v>
      </c>
      <c r="G426">
        <v>4</v>
      </c>
      <c r="H426">
        <v>30</v>
      </c>
      <c r="I426">
        <v>120</v>
      </c>
    </row>
    <row r="427" spans="1:9" x14ac:dyDescent="0.35">
      <c r="A427">
        <v>426</v>
      </c>
      <c r="B427" s="1">
        <v>45009</v>
      </c>
      <c r="C427" t="s">
        <v>439</v>
      </c>
      <c r="D427" t="s">
        <v>10</v>
      </c>
      <c r="E427">
        <v>23</v>
      </c>
      <c r="F427" t="s">
        <v>16</v>
      </c>
      <c r="G427">
        <v>3</v>
      </c>
      <c r="H427">
        <v>50</v>
      </c>
      <c r="I427">
        <v>150</v>
      </c>
    </row>
    <row r="428" spans="1:9" x14ac:dyDescent="0.35">
      <c r="A428">
        <v>427</v>
      </c>
      <c r="B428" s="1">
        <v>45153</v>
      </c>
      <c r="C428" t="s">
        <v>440</v>
      </c>
      <c r="D428" t="s">
        <v>10</v>
      </c>
      <c r="E428">
        <v>25</v>
      </c>
      <c r="F428" t="s">
        <v>16</v>
      </c>
      <c r="G428">
        <v>1</v>
      </c>
      <c r="H428">
        <v>25</v>
      </c>
      <c r="I428">
        <v>25</v>
      </c>
    </row>
    <row r="429" spans="1:9" x14ac:dyDescent="0.35">
      <c r="A429">
        <v>428</v>
      </c>
      <c r="B429" s="1">
        <v>45209</v>
      </c>
      <c r="C429" t="s">
        <v>441</v>
      </c>
      <c r="D429" t="s">
        <v>13</v>
      </c>
      <c r="E429">
        <v>40</v>
      </c>
      <c r="F429" t="s">
        <v>16</v>
      </c>
      <c r="G429">
        <v>4</v>
      </c>
      <c r="H429">
        <v>50</v>
      </c>
      <c r="I429">
        <v>200</v>
      </c>
    </row>
    <row r="430" spans="1:9" x14ac:dyDescent="0.35">
      <c r="A430">
        <v>429</v>
      </c>
      <c r="B430" s="1">
        <v>45288</v>
      </c>
      <c r="C430" t="s">
        <v>442</v>
      </c>
      <c r="D430" t="s">
        <v>10</v>
      </c>
      <c r="E430">
        <v>64</v>
      </c>
      <c r="F430" t="s">
        <v>16</v>
      </c>
      <c r="G430">
        <v>2</v>
      </c>
      <c r="H430">
        <v>25</v>
      </c>
      <c r="I430">
        <v>50</v>
      </c>
    </row>
    <row r="431" spans="1:9" x14ac:dyDescent="0.35">
      <c r="A431">
        <v>430</v>
      </c>
      <c r="B431" s="1">
        <v>45145</v>
      </c>
      <c r="C431" t="s">
        <v>443</v>
      </c>
      <c r="D431" t="s">
        <v>13</v>
      </c>
      <c r="E431">
        <v>43</v>
      </c>
      <c r="F431" t="s">
        <v>16</v>
      </c>
      <c r="G431">
        <v>3</v>
      </c>
      <c r="H431">
        <v>300</v>
      </c>
      <c r="I431">
        <v>900</v>
      </c>
    </row>
    <row r="432" spans="1:9" x14ac:dyDescent="0.35">
      <c r="A432">
        <v>431</v>
      </c>
      <c r="B432" s="1">
        <v>45214</v>
      </c>
      <c r="C432" t="s">
        <v>444</v>
      </c>
      <c r="D432" t="s">
        <v>10</v>
      </c>
      <c r="E432">
        <v>63</v>
      </c>
      <c r="F432" t="s">
        <v>16</v>
      </c>
      <c r="G432">
        <v>4</v>
      </c>
      <c r="H432">
        <v>300</v>
      </c>
      <c r="I432">
        <v>1200</v>
      </c>
    </row>
    <row r="433" spans="1:9" x14ac:dyDescent="0.35">
      <c r="A433">
        <v>432</v>
      </c>
      <c r="B433" s="1">
        <v>44931</v>
      </c>
      <c r="C433" t="s">
        <v>445</v>
      </c>
      <c r="D433" t="s">
        <v>13</v>
      </c>
      <c r="E433">
        <v>60</v>
      </c>
      <c r="F433" t="s">
        <v>16</v>
      </c>
      <c r="G433">
        <v>2</v>
      </c>
      <c r="H433">
        <v>500</v>
      </c>
      <c r="I433">
        <v>1000</v>
      </c>
    </row>
    <row r="434" spans="1:9" x14ac:dyDescent="0.35">
      <c r="A434">
        <v>433</v>
      </c>
      <c r="B434" s="1">
        <v>44984</v>
      </c>
      <c r="C434" t="s">
        <v>446</v>
      </c>
      <c r="D434" t="s">
        <v>10</v>
      </c>
      <c r="E434">
        <v>29</v>
      </c>
      <c r="F434" t="s">
        <v>11</v>
      </c>
      <c r="G434">
        <v>4</v>
      </c>
      <c r="H434">
        <v>50</v>
      </c>
      <c r="I434">
        <v>200</v>
      </c>
    </row>
    <row r="435" spans="1:9" x14ac:dyDescent="0.35">
      <c r="A435">
        <v>434</v>
      </c>
      <c r="B435" s="1">
        <v>44965</v>
      </c>
      <c r="C435" t="s">
        <v>447</v>
      </c>
      <c r="D435" t="s">
        <v>13</v>
      </c>
      <c r="E435">
        <v>43</v>
      </c>
      <c r="F435" t="s">
        <v>16</v>
      </c>
      <c r="G435">
        <v>2</v>
      </c>
      <c r="H435">
        <v>25</v>
      </c>
      <c r="I435">
        <v>50</v>
      </c>
    </row>
    <row r="436" spans="1:9" x14ac:dyDescent="0.35">
      <c r="A436">
        <v>435</v>
      </c>
      <c r="B436" s="1">
        <v>45280</v>
      </c>
      <c r="C436" t="s">
        <v>448</v>
      </c>
      <c r="D436" t="s">
        <v>13</v>
      </c>
      <c r="E436">
        <v>30</v>
      </c>
      <c r="F436" t="s">
        <v>11</v>
      </c>
      <c r="G436">
        <v>3</v>
      </c>
      <c r="H436">
        <v>300</v>
      </c>
      <c r="I436">
        <v>900</v>
      </c>
    </row>
    <row r="437" spans="1:9" x14ac:dyDescent="0.35">
      <c r="A437">
        <v>436</v>
      </c>
      <c r="B437" s="1">
        <v>45003</v>
      </c>
      <c r="C437" t="s">
        <v>449</v>
      </c>
      <c r="D437" t="s">
        <v>13</v>
      </c>
      <c r="E437">
        <v>57</v>
      </c>
      <c r="F437" t="s">
        <v>14</v>
      </c>
      <c r="G437">
        <v>4</v>
      </c>
      <c r="H437">
        <v>30</v>
      </c>
      <c r="I437">
        <v>120</v>
      </c>
    </row>
    <row r="438" spans="1:9" x14ac:dyDescent="0.35">
      <c r="A438">
        <v>437</v>
      </c>
      <c r="B438" s="1">
        <v>45206</v>
      </c>
      <c r="C438" t="s">
        <v>450</v>
      </c>
      <c r="D438" t="s">
        <v>13</v>
      </c>
      <c r="E438">
        <v>35</v>
      </c>
      <c r="F438" t="s">
        <v>16</v>
      </c>
      <c r="G438">
        <v>4</v>
      </c>
      <c r="H438">
        <v>300</v>
      </c>
      <c r="I438">
        <v>1200</v>
      </c>
    </row>
    <row r="439" spans="1:9" x14ac:dyDescent="0.35">
      <c r="A439">
        <v>438</v>
      </c>
      <c r="B439" s="1">
        <v>44945</v>
      </c>
      <c r="C439" t="s">
        <v>451</v>
      </c>
      <c r="D439" t="s">
        <v>13</v>
      </c>
      <c r="E439">
        <v>42</v>
      </c>
      <c r="F439" t="s">
        <v>14</v>
      </c>
      <c r="G439">
        <v>1</v>
      </c>
      <c r="H439">
        <v>30</v>
      </c>
      <c r="I439">
        <v>30</v>
      </c>
    </row>
    <row r="440" spans="1:9" x14ac:dyDescent="0.35">
      <c r="A440">
        <v>439</v>
      </c>
      <c r="B440" s="1">
        <v>45116</v>
      </c>
      <c r="C440" t="s">
        <v>452</v>
      </c>
      <c r="D440" t="s">
        <v>10</v>
      </c>
      <c r="E440">
        <v>50</v>
      </c>
      <c r="F440" t="s">
        <v>14</v>
      </c>
      <c r="G440">
        <v>3</v>
      </c>
      <c r="H440">
        <v>25</v>
      </c>
      <c r="I440">
        <v>75</v>
      </c>
    </row>
    <row r="441" spans="1:9" x14ac:dyDescent="0.35">
      <c r="A441">
        <v>440</v>
      </c>
      <c r="B441" s="1">
        <v>45225</v>
      </c>
      <c r="C441" t="s">
        <v>453</v>
      </c>
      <c r="D441" t="s">
        <v>10</v>
      </c>
      <c r="E441">
        <v>64</v>
      </c>
      <c r="F441" t="s">
        <v>14</v>
      </c>
      <c r="G441">
        <v>2</v>
      </c>
      <c r="H441">
        <v>300</v>
      </c>
      <c r="I441">
        <v>600</v>
      </c>
    </row>
    <row r="442" spans="1:9" x14ac:dyDescent="0.35">
      <c r="A442">
        <v>441</v>
      </c>
      <c r="B442" s="1">
        <v>45209</v>
      </c>
      <c r="C442" t="s">
        <v>454</v>
      </c>
      <c r="D442" t="s">
        <v>10</v>
      </c>
      <c r="E442">
        <v>57</v>
      </c>
      <c r="F442" t="s">
        <v>11</v>
      </c>
      <c r="G442">
        <v>4</v>
      </c>
      <c r="H442">
        <v>300</v>
      </c>
      <c r="I442">
        <v>1200</v>
      </c>
    </row>
    <row r="443" spans="1:9" x14ac:dyDescent="0.35">
      <c r="A443">
        <v>442</v>
      </c>
      <c r="B443" s="1">
        <v>45002</v>
      </c>
      <c r="C443" t="s">
        <v>455</v>
      </c>
      <c r="D443" t="s">
        <v>13</v>
      </c>
      <c r="E443">
        <v>60</v>
      </c>
      <c r="F443" t="s">
        <v>14</v>
      </c>
      <c r="G443">
        <v>4</v>
      </c>
      <c r="H443">
        <v>25</v>
      </c>
      <c r="I443">
        <v>100</v>
      </c>
    </row>
    <row r="444" spans="1:9" x14ac:dyDescent="0.35">
      <c r="A444">
        <v>443</v>
      </c>
      <c r="B444" s="1">
        <v>45147</v>
      </c>
      <c r="C444" t="s">
        <v>456</v>
      </c>
      <c r="D444" t="s">
        <v>10</v>
      </c>
      <c r="E444">
        <v>29</v>
      </c>
      <c r="F444" t="s">
        <v>14</v>
      </c>
      <c r="G444">
        <v>2</v>
      </c>
      <c r="H444">
        <v>300</v>
      </c>
      <c r="I444">
        <v>600</v>
      </c>
    </row>
    <row r="445" spans="1:9" x14ac:dyDescent="0.35">
      <c r="A445">
        <v>444</v>
      </c>
      <c r="B445" s="1">
        <v>44992</v>
      </c>
      <c r="C445" t="s">
        <v>457</v>
      </c>
      <c r="D445" t="s">
        <v>13</v>
      </c>
      <c r="E445">
        <v>61</v>
      </c>
      <c r="F445" t="s">
        <v>14</v>
      </c>
      <c r="G445">
        <v>3</v>
      </c>
      <c r="H445">
        <v>30</v>
      </c>
      <c r="I445">
        <v>90</v>
      </c>
    </row>
    <row r="446" spans="1:9" x14ac:dyDescent="0.35">
      <c r="A446">
        <v>445</v>
      </c>
      <c r="B446" s="1">
        <v>44948</v>
      </c>
      <c r="C446" t="s">
        <v>458</v>
      </c>
      <c r="D446" t="s">
        <v>13</v>
      </c>
      <c r="E446">
        <v>53</v>
      </c>
      <c r="F446" t="s">
        <v>16</v>
      </c>
      <c r="G446">
        <v>1</v>
      </c>
      <c r="H446">
        <v>300</v>
      </c>
      <c r="I446">
        <v>300</v>
      </c>
    </row>
    <row r="447" spans="1:9" x14ac:dyDescent="0.35">
      <c r="A447">
        <v>446</v>
      </c>
      <c r="B447" s="1">
        <v>45084</v>
      </c>
      <c r="C447" t="s">
        <v>459</v>
      </c>
      <c r="D447" t="s">
        <v>10</v>
      </c>
      <c r="E447">
        <v>21</v>
      </c>
      <c r="F447" t="s">
        <v>16</v>
      </c>
      <c r="G447">
        <v>1</v>
      </c>
      <c r="H447">
        <v>50</v>
      </c>
      <c r="I447">
        <v>50</v>
      </c>
    </row>
    <row r="448" spans="1:9" x14ac:dyDescent="0.35">
      <c r="A448">
        <v>447</v>
      </c>
      <c r="B448" s="1">
        <v>45113</v>
      </c>
      <c r="C448" t="s">
        <v>460</v>
      </c>
      <c r="D448" t="s">
        <v>10</v>
      </c>
      <c r="E448">
        <v>22</v>
      </c>
      <c r="F448" t="s">
        <v>11</v>
      </c>
      <c r="G448">
        <v>4</v>
      </c>
      <c r="H448">
        <v>500</v>
      </c>
      <c r="I448">
        <v>2000</v>
      </c>
    </row>
    <row r="449" spans="1:9" x14ac:dyDescent="0.35">
      <c r="A449">
        <v>448</v>
      </c>
      <c r="B449" s="1">
        <v>44947</v>
      </c>
      <c r="C449" t="s">
        <v>461</v>
      </c>
      <c r="D449" t="s">
        <v>13</v>
      </c>
      <c r="E449">
        <v>54</v>
      </c>
      <c r="F449" t="s">
        <v>11</v>
      </c>
      <c r="G449">
        <v>2</v>
      </c>
      <c r="H449">
        <v>30</v>
      </c>
      <c r="I449">
        <v>60</v>
      </c>
    </row>
    <row r="450" spans="1:9" x14ac:dyDescent="0.35">
      <c r="A450">
        <v>449</v>
      </c>
      <c r="B450" s="1">
        <v>45110</v>
      </c>
      <c r="C450" t="s">
        <v>462</v>
      </c>
      <c r="D450" t="s">
        <v>10</v>
      </c>
      <c r="E450">
        <v>25</v>
      </c>
      <c r="F450" t="s">
        <v>16</v>
      </c>
      <c r="G450">
        <v>4</v>
      </c>
      <c r="H450">
        <v>50</v>
      </c>
      <c r="I450">
        <v>200</v>
      </c>
    </row>
    <row r="451" spans="1:9" x14ac:dyDescent="0.35">
      <c r="A451">
        <v>450</v>
      </c>
      <c r="B451" s="1">
        <v>45034</v>
      </c>
      <c r="C451" t="s">
        <v>463</v>
      </c>
      <c r="D451" t="s">
        <v>13</v>
      </c>
      <c r="E451">
        <v>59</v>
      </c>
      <c r="F451" t="s">
        <v>11</v>
      </c>
      <c r="G451">
        <v>2</v>
      </c>
      <c r="H451">
        <v>25</v>
      </c>
      <c r="I451">
        <v>50</v>
      </c>
    </row>
    <row r="452" spans="1:9" x14ac:dyDescent="0.35">
      <c r="A452">
        <v>451</v>
      </c>
      <c r="B452" s="1">
        <v>45276</v>
      </c>
      <c r="C452" t="s">
        <v>464</v>
      </c>
      <c r="D452" t="s">
        <v>13</v>
      </c>
      <c r="E452">
        <v>45</v>
      </c>
      <c r="F452" t="s">
        <v>16</v>
      </c>
      <c r="G452">
        <v>1</v>
      </c>
      <c r="H452">
        <v>30</v>
      </c>
      <c r="I452">
        <v>30</v>
      </c>
    </row>
    <row r="453" spans="1:9" x14ac:dyDescent="0.35">
      <c r="A453">
        <v>452</v>
      </c>
      <c r="B453" s="1">
        <v>45054</v>
      </c>
      <c r="C453" t="s">
        <v>465</v>
      </c>
      <c r="D453" t="s">
        <v>13</v>
      </c>
      <c r="E453">
        <v>48</v>
      </c>
      <c r="F453" t="s">
        <v>14</v>
      </c>
      <c r="G453">
        <v>3</v>
      </c>
      <c r="H453">
        <v>500</v>
      </c>
      <c r="I453">
        <v>1500</v>
      </c>
    </row>
    <row r="454" spans="1:9" x14ac:dyDescent="0.35">
      <c r="A454">
        <v>453</v>
      </c>
      <c r="B454" s="1">
        <v>45268</v>
      </c>
      <c r="C454" t="s">
        <v>466</v>
      </c>
      <c r="D454" t="s">
        <v>13</v>
      </c>
      <c r="E454">
        <v>26</v>
      </c>
      <c r="F454" t="s">
        <v>14</v>
      </c>
      <c r="G454">
        <v>2</v>
      </c>
      <c r="H454">
        <v>500</v>
      </c>
      <c r="I454">
        <v>1000</v>
      </c>
    </row>
    <row r="455" spans="1:9" x14ac:dyDescent="0.35">
      <c r="A455">
        <v>454</v>
      </c>
      <c r="B455" s="1">
        <v>44979</v>
      </c>
      <c r="C455" t="s">
        <v>467</v>
      </c>
      <c r="D455" t="s">
        <v>13</v>
      </c>
      <c r="E455">
        <v>46</v>
      </c>
      <c r="F455" t="s">
        <v>11</v>
      </c>
      <c r="G455">
        <v>1</v>
      </c>
      <c r="H455">
        <v>25</v>
      </c>
      <c r="I455">
        <v>25</v>
      </c>
    </row>
    <row r="456" spans="1:9" x14ac:dyDescent="0.35">
      <c r="A456">
        <v>455</v>
      </c>
      <c r="B456" s="1">
        <v>45108</v>
      </c>
      <c r="C456" t="s">
        <v>468</v>
      </c>
      <c r="D456" t="s">
        <v>10</v>
      </c>
      <c r="E456">
        <v>31</v>
      </c>
      <c r="F456" t="s">
        <v>16</v>
      </c>
      <c r="G456">
        <v>4</v>
      </c>
      <c r="H456">
        <v>25</v>
      </c>
      <c r="I456">
        <v>100</v>
      </c>
    </row>
    <row r="457" spans="1:9" x14ac:dyDescent="0.35">
      <c r="A457">
        <v>456</v>
      </c>
      <c r="B457" s="1">
        <v>45213</v>
      </c>
      <c r="C457" t="s">
        <v>469</v>
      </c>
      <c r="D457" t="s">
        <v>10</v>
      </c>
      <c r="E457">
        <v>57</v>
      </c>
      <c r="F457" t="s">
        <v>16</v>
      </c>
      <c r="G457">
        <v>2</v>
      </c>
      <c r="H457">
        <v>30</v>
      </c>
      <c r="I457">
        <v>60</v>
      </c>
    </row>
    <row r="458" spans="1:9" x14ac:dyDescent="0.35">
      <c r="A458">
        <v>457</v>
      </c>
      <c r="B458" s="1">
        <v>45135</v>
      </c>
      <c r="C458" t="s">
        <v>470</v>
      </c>
      <c r="D458" t="s">
        <v>13</v>
      </c>
      <c r="E458">
        <v>58</v>
      </c>
      <c r="F458" t="s">
        <v>11</v>
      </c>
      <c r="G458">
        <v>3</v>
      </c>
      <c r="H458">
        <v>300</v>
      </c>
      <c r="I458">
        <v>900</v>
      </c>
    </row>
    <row r="459" spans="1:9" x14ac:dyDescent="0.35">
      <c r="A459">
        <v>458</v>
      </c>
      <c r="B459" s="1">
        <v>45244</v>
      </c>
      <c r="C459" t="s">
        <v>471</v>
      </c>
      <c r="D459" t="s">
        <v>13</v>
      </c>
      <c r="E459">
        <v>39</v>
      </c>
      <c r="F459" t="s">
        <v>16</v>
      </c>
      <c r="G459">
        <v>4</v>
      </c>
      <c r="H459">
        <v>25</v>
      </c>
      <c r="I459">
        <v>100</v>
      </c>
    </row>
    <row r="460" spans="1:9" x14ac:dyDescent="0.35">
      <c r="A460">
        <v>459</v>
      </c>
      <c r="B460" s="1">
        <v>45006</v>
      </c>
      <c r="C460" t="s">
        <v>472</v>
      </c>
      <c r="D460" t="s">
        <v>10</v>
      </c>
      <c r="E460">
        <v>28</v>
      </c>
      <c r="F460" t="s">
        <v>14</v>
      </c>
      <c r="G460">
        <v>4</v>
      </c>
      <c r="H460">
        <v>300</v>
      </c>
      <c r="I460">
        <v>1200</v>
      </c>
    </row>
    <row r="461" spans="1:9" x14ac:dyDescent="0.35">
      <c r="A461">
        <v>460</v>
      </c>
      <c r="B461" s="1">
        <v>45048</v>
      </c>
      <c r="C461" t="s">
        <v>473</v>
      </c>
      <c r="D461" t="s">
        <v>10</v>
      </c>
      <c r="E461">
        <v>40</v>
      </c>
      <c r="F461" t="s">
        <v>11</v>
      </c>
      <c r="G461">
        <v>1</v>
      </c>
      <c r="H461">
        <v>50</v>
      </c>
      <c r="I461">
        <v>50</v>
      </c>
    </row>
    <row r="462" spans="1:9" x14ac:dyDescent="0.35">
      <c r="A462">
        <v>461</v>
      </c>
      <c r="B462" s="1">
        <v>45010</v>
      </c>
      <c r="C462" t="s">
        <v>474</v>
      </c>
      <c r="D462" t="s">
        <v>13</v>
      </c>
      <c r="E462">
        <v>18</v>
      </c>
      <c r="F462" t="s">
        <v>11</v>
      </c>
      <c r="G462">
        <v>2</v>
      </c>
      <c r="H462">
        <v>500</v>
      </c>
      <c r="I462">
        <v>1000</v>
      </c>
    </row>
    <row r="463" spans="1:9" x14ac:dyDescent="0.35">
      <c r="A463">
        <v>462</v>
      </c>
      <c r="B463" s="1">
        <v>45017</v>
      </c>
      <c r="C463" t="s">
        <v>475</v>
      </c>
      <c r="D463" t="s">
        <v>10</v>
      </c>
      <c r="E463">
        <v>63</v>
      </c>
      <c r="F463" t="s">
        <v>16</v>
      </c>
      <c r="G463">
        <v>4</v>
      </c>
      <c r="H463">
        <v>300</v>
      </c>
      <c r="I463">
        <v>1200</v>
      </c>
    </row>
    <row r="464" spans="1:9" x14ac:dyDescent="0.35">
      <c r="A464">
        <v>463</v>
      </c>
      <c r="B464" s="1">
        <v>45138</v>
      </c>
      <c r="C464" t="s">
        <v>476</v>
      </c>
      <c r="D464" t="s">
        <v>13</v>
      </c>
      <c r="E464">
        <v>54</v>
      </c>
      <c r="F464" t="s">
        <v>11</v>
      </c>
      <c r="G464">
        <v>3</v>
      </c>
      <c r="H464">
        <v>500</v>
      </c>
      <c r="I464">
        <v>1500</v>
      </c>
    </row>
    <row r="465" spans="1:9" x14ac:dyDescent="0.35">
      <c r="A465">
        <v>464</v>
      </c>
      <c r="B465" s="1">
        <v>44939</v>
      </c>
      <c r="C465" t="s">
        <v>477</v>
      </c>
      <c r="D465" t="s">
        <v>10</v>
      </c>
      <c r="E465">
        <v>38</v>
      </c>
      <c r="F465" t="s">
        <v>16</v>
      </c>
      <c r="G465">
        <v>2</v>
      </c>
      <c r="H465">
        <v>300</v>
      </c>
      <c r="I465">
        <v>600</v>
      </c>
    </row>
    <row r="466" spans="1:9" x14ac:dyDescent="0.35">
      <c r="A466">
        <v>465</v>
      </c>
      <c r="B466" s="1">
        <v>45018</v>
      </c>
      <c r="C466" t="s">
        <v>478</v>
      </c>
      <c r="D466" t="s">
        <v>13</v>
      </c>
      <c r="E466">
        <v>43</v>
      </c>
      <c r="F466" t="s">
        <v>16</v>
      </c>
      <c r="G466">
        <v>3</v>
      </c>
      <c r="H466">
        <v>50</v>
      </c>
      <c r="I466">
        <v>150</v>
      </c>
    </row>
    <row r="467" spans="1:9" x14ac:dyDescent="0.35">
      <c r="A467">
        <v>466</v>
      </c>
      <c r="B467" s="1">
        <v>45097</v>
      </c>
      <c r="C467" t="s">
        <v>479</v>
      </c>
      <c r="D467" t="s">
        <v>10</v>
      </c>
      <c r="E467">
        <v>63</v>
      </c>
      <c r="F467" t="s">
        <v>16</v>
      </c>
      <c r="G467">
        <v>4</v>
      </c>
      <c r="H467">
        <v>25</v>
      </c>
      <c r="I467">
        <v>100</v>
      </c>
    </row>
    <row r="468" spans="1:9" x14ac:dyDescent="0.35">
      <c r="A468">
        <v>467</v>
      </c>
      <c r="B468" s="1">
        <v>45137</v>
      </c>
      <c r="C468" t="s">
        <v>480</v>
      </c>
      <c r="D468" t="s">
        <v>13</v>
      </c>
      <c r="E468">
        <v>53</v>
      </c>
      <c r="F468" t="s">
        <v>16</v>
      </c>
      <c r="G468">
        <v>3</v>
      </c>
      <c r="H468">
        <v>50</v>
      </c>
      <c r="I468">
        <v>150</v>
      </c>
    </row>
    <row r="469" spans="1:9" x14ac:dyDescent="0.35">
      <c r="A469">
        <v>468</v>
      </c>
      <c r="B469" s="1">
        <v>45269</v>
      </c>
      <c r="C469" t="s">
        <v>481</v>
      </c>
      <c r="D469" t="s">
        <v>10</v>
      </c>
      <c r="E469">
        <v>40</v>
      </c>
      <c r="F469" t="s">
        <v>16</v>
      </c>
      <c r="G469">
        <v>1</v>
      </c>
      <c r="H469">
        <v>25</v>
      </c>
      <c r="I469">
        <v>25</v>
      </c>
    </row>
    <row r="470" spans="1:9" x14ac:dyDescent="0.35">
      <c r="A470">
        <v>469</v>
      </c>
      <c r="B470" s="1">
        <v>45054</v>
      </c>
      <c r="C470" t="s">
        <v>482</v>
      </c>
      <c r="D470" t="s">
        <v>10</v>
      </c>
      <c r="E470">
        <v>18</v>
      </c>
      <c r="F470" t="s">
        <v>11</v>
      </c>
      <c r="G470">
        <v>3</v>
      </c>
      <c r="H470">
        <v>25</v>
      </c>
      <c r="I470">
        <v>75</v>
      </c>
    </row>
    <row r="471" spans="1:9" x14ac:dyDescent="0.35">
      <c r="A471">
        <v>470</v>
      </c>
      <c r="B471" s="1">
        <v>45063</v>
      </c>
      <c r="C471" t="s">
        <v>483</v>
      </c>
      <c r="D471" t="s">
        <v>13</v>
      </c>
      <c r="E471">
        <v>57</v>
      </c>
      <c r="F471" t="s">
        <v>14</v>
      </c>
      <c r="G471">
        <v>2</v>
      </c>
      <c r="H471">
        <v>500</v>
      </c>
      <c r="I471">
        <v>1000</v>
      </c>
    </row>
    <row r="472" spans="1:9" x14ac:dyDescent="0.35">
      <c r="A472">
        <v>471</v>
      </c>
      <c r="B472" s="1">
        <v>45008</v>
      </c>
      <c r="C472" t="s">
        <v>484</v>
      </c>
      <c r="D472" t="s">
        <v>10</v>
      </c>
      <c r="E472">
        <v>32</v>
      </c>
      <c r="F472" t="s">
        <v>14</v>
      </c>
      <c r="G472">
        <v>3</v>
      </c>
      <c r="H472">
        <v>50</v>
      </c>
      <c r="I472">
        <v>150</v>
      </c>
    </row>
    <row r="473" spans="1:9" x14ac:dyDescent="0.35">
      <c r="A473">
        <v>472</v>
      </c>
      <c r="B473" s="1">
        <v>45286</v>
      </c>
      <c r="C473" t="s">
        <v>485</v>
      </c>
      <c r="D473" t="s">
        <v>13</v>
      </c>
      <c r="E473">
        <v>38</v>
      </c>
      <c r="F473" t="s">
        <v>11</v>
      </c>
      <c r="G473">
        <v>3</v>
      </c>
      <c r="H473">
        <v>300</v>
      </c>
      <c r="I473">
        <v>900</v>
      </c>
    </row>
    <row r="474" spans="1:9" x14ac:dyDescent="0.35">
      <c r="A474">
        <v>473</v>
      </c>
      <c r="B474" s="1">
        <v>44982</v>
      </c>
      <c r="C474" t="s">
        <v>486</v>
      </c>
      <c r="D474" t="s">
        <v>10</v>
      </c>
      <c r="E474">
        <v>64</v>
      </c>
      <c r="F474" t="s">
        <v>11</v>
      </c>
      <c r="G474">
        <v>1</v>
      </c>
      <c r="H474">
        <v>50</v>
      </c>
      <c r="I474">
        <v>50</v>
      </c>
    </row>
    <row r="475" spans="1:9" x14ac:dyDescent="0.35">
      <c r="A475">
        <v>474</v>
      </c>
      <c r="B475" s="1">
        <v>45122</v>
      </c>
      <c r="C475" t="s">
        <v>487</v>
      </c>
      <c r="D475" t="s">
        <v>13</v>
      </c>
      <c r="E475">
        <v>26</v>
      </c>
      <c r="F475" t="s">
        <v>14</v>
      </c>
      <c r="G475">
        <v>3</v>
      </c>
      <c r="H475">
        <v>500</v>
      </c>
      <c r="I475">
        <v>1500</v>
      </c>
    </row>
    <row r="476" spans="1:9" x14ac:dyDescent="0.35">
      <c r="A476">
        <v>475</v>
      </c>
      <c r="B476" s="1">
        <v>44946</v>
      </c>
      <c r="C476" t="s">
        <v>488</v>
      </c>
      <c r="D476" t="s">
        <v>10</v>
      </c>
      <c r="E476">
        <v>26</v>
      </c>
      <c r="F476" t="s">
        <v>14</v>
      </c>
      <c r="G476">
        <v>3</v>
      </c>
      <c r="H476">
        <v>25</v>
      </c>
      <c r="I476">
        <v>75</v>
      </c>
    </row>
    <row r="477" spans="1:9" x14ac:dyDescent="0.35">
      <c r="A477">
        <v>476</v>
      </c>
      <c r="B477" s="1">
        <v>45167</v>
      </c>
      <c r="C477" t="s">
        <v>489</v>
      </c>
      <c r="D477" t="s">
        <v>13</v>
      </c>
      <c r="E477">
        <v>27</v>
      </c>
      <c r="F477" t="s">
        <v>14</v>
      </c>
      <c r="G477">
        <v>4</v>
      </c>
      <c r="H477">
        <v>500</v>
      </c>
      <c r="I477">
        <v>2000</v>
      </c>
    </row>
    <row r="478" spans="1:9" x14ac:dyDescent="0.35">
      <c r="A478">
        <v>477</v>
      </c>
      <c r="B478" s="1">
        <v>45040</v>
      </c>
      <c r="C478" t="s">
        <v>490</v>
      </c>
      <c r="D478" t="s">
        <v>10</v>
      </c>
      <c r="E478">
        <v>43</v>
      </c>
      <c r="F478" t="s">
        <v>14</v>
      </c>
      <c r="G478">
        <v>4</v>
      </c>
      <c r="H478">
        <v>30</v>
      </c>
      <c r="I478">
        <v>120</v>
      </c>
    </row>
    <row r="479" spans="1:9" x14ac:dyDescent="0.35">
      <c r="A479">
        <v>478</v>
      </c>
      <c r="B479" s="1">
        <v>45029</v>
      </c>
      <c r="C479" t="s">
        <v>491</v>
      </c>
      <c r="D479" t="s">
        <v>13</v>
      </c>
      <c r="E479">
        <v>58</v>
      </c>
      <c r="F479" t="s">
        <v>14</v>
      </c>
      <c r="G479">
        <v>2</v>
      </c>
      <c r="H479">
        <v>30</v>
      </c>
      <c r="I479">
        <v>60</v>
      </c>
    </row>
    <row r="480" spans="1:9" x14ac:dyDescent="0.35">
      <c r="A480">
        <v>479</v>
      </c>
      <c r="B480" s="1">
        <v>45162</v>
      </c>
      <c r="C480" t="s">
        <v>492</v>
      </c>
      <c r="D480" t="s">
        <v>10</v>
      </c>
      <c r="E480">
        <v>52</v>
      </c>
      <c r="F480" t="s">
        <v>16</v>
      </c>
      <c r="G480">
        <v>4</v>
      </c>
      <c r="H480">
        <v>300</v>
      </c>
      <c r="I480">
        <v>1200</v>
      </c>
    </row>
    <row r="481" spans="1:9" x14ac:dyDescent="0.35">
      <c r="A481">
        <v>480</v>
      </c>
      <c r="B481" s="1">
        <v>45106</v>
      </c>
      <c r="C481" t="s">
        <v>493</v>
      </c>
      <c r="D481" t="s">
        <v>13</v>
      </c>
      <c r="E481">
        <v>42</v>
      </c>
      <c r="F481" t="s">
        <v>11</v>
      </c>
      <c r="G481">
        <v>4</v>
      </c>
      <c r="H481">
        <v>500</v>
      </c>
      <c r="I481">
        <v>2000</v>
      </c>
    </row>
    <row r="482" spans="1:9" x14ac:dyDescent="0.35">
      <c r="A482">
        <v>481</v>
      </c>
      <c r="B482" s="1">
        <v>45083</v>
      </c>
      <c r="C482" t="s">
        <v>494</v>
      </c>
      <c r="D482" t="s">
        <v>13</v>
      </c>
      <c r="E482">
        <v>43</v>
      </c>
      <c r="F482" t="s">
        <v>16</v>
      </c>
      <c r="G482">
        <v>4</v>
      </c>
      <c r="H482">
        <v>300</v>
      </c>
      <c r="I482">
        <v>1200</v>
      </c>
    </row>
    <row r="483" spans="1:9" x14ac:dyDescent="0.35">
      <c r="A483">
        <v>482</v>
      </c>
      <c r="B483" s="1">
        <v>45043</v>
      </c>
      <c r="C483" t="s">
        <v>495</v>
      </c>
      <c r="D483" t="s">
        <v>13</v>
      </c>
      <c r="E483">
        <v>28</v>
      </c>
      <c r="F483" t="s">
        <v>14</v>
      </c>
      <c r="G483">
        <v>4</v>
      </c>
      <c r="H483">
        <v>300</v>
      </c>
      <c r="I483">
        <v>1200</v>
      </c>
    </row>
    <row r="484" spans="1:9" x14ac:dyDescent="0.35">
      <c r="A484">
        <v>483</v>
      </c>
      <c r="B484" s="1">
        <v>45041</v>
      </c>
      <c r="C484" t="s">
        <v>496</v>
      </c>
      <c r="D484" t="s">
        <v>10</v>
      </c>
      <c r="E484">
        <v>55</v>
      </c>
      <c r="F484" t="s">
        <v>14</v>
      </c>
      <c r="G484">
        <v>1</v>
      </c>
      <c r="H484">
        <v>30</v>
      </c>
      <c r="I484">
        <v>30</v>
      </c>
    </row>
    <row r="485" spans="1:9" x14ac:dyDescent="0.35">
      <c r="A485">
        <v>484</v>
      </c>
      <c r="B485" s="1">
        <v>44939</v>
      </c>
      <c r="C485" t="s">
        <v>497</v>
      </c>
      <c r="D485" t="s">
        <v>13</v>
      </c>
      <c r="E485">
        <v>19</v>
      </c>
      <c r="F485" t="s">
        <v>14</v>
      </c>
      <c r="G485">
        <v>4</v>
      </c>
      <c r="H485">
        <v>300</v>
      </c>
      <c r="I485">
        <v>1200</v>
      </c>
    </row>
    <row r="486" spans="1:9" x14ac:dyDescent="0.35">
      <c r="A486">
        <v>485</v>
      </c>
      <c r="B486" s="1">
        <v>45264</v>
      </c>
      <c r="C486" t="s">
        <v>498</v>
      </c>
      <c r="D486" t="s">
        <v>10</v>
      </c>
      <c r="E486">
        <v>24</v>
      </c>
      <c r="F486" t="s">
        <v>16</v>
      </c>
      <c r="G486">
        <v>1</v>
      </c>
      <c r="H486">
        <v>30</v>
      </c>
      <c r="I486">
        <v>30</v>
      </c>
    </row>
    <row r="487" spans="1:9" x14ac:dyDescent="0.35">
      <c r="A487">
        <v>486</v>
      </c>
      <c r="B487" s="1">
        <v>45025</v>
      </c>
      <c r="C487" t="s">
        <v>499</v>
      </c>
      <c r="D487" t="s">
        <v>13</v>
      </c>
      <c r="E487">
        <v>35</v>
      </c>
      <c r="F487" t="s">
        <v>16</v>
      </c>
      <c r="G487">
        <v>1</v>
      </c>
      <c r="H487">
        <v>25</v>
      </c>
      <c r="I487">
        <v>25</v>
      </c>
    </row>
    <row r="488" spans="1:9" x14ac:dyDescent="0.35">
      <c r="A488">
        <v>487</v>
      </c>
      <c r="B488" s="1">
        <v>45131</v>
      </c>
      <c r="C488" t="s">
        <v>500</v>
      </c>
      <c r="D488" t="s">
        <v>10</v>
      </c>
      <c r="E488">
        <v>44</v>
      </c>
      <c r="F488" t="s">
        <v>14</v>
      </c>
      <c r="G488">
        <v>4</v>
      </c>
      <c r="H488">
        <v>500</v>
      </c>
      <c r="I488">
        <v>2000</v>
      </c>
    </row>
    <row r="489" spans="1:9" x14ac:dyDescent="0.35">
      <c r="A489">
        <v>488</v>
      </c>
      <c r="B489" s="1">
        <v>45095</v>
      </c>
      <c r="C489" t="s">
        <v>501</v>
      </c>
      <c r="D489" t="s">
        <v>13</v>
      </c>
      <c r="E489">
        <v>51</v>
      </c>
      <c r="F489" t="s">
        <v>16</v>
      </c>
      <c r="G489">
        <v>3</v>
      </c>
      <c r="H489">
        <v>300</v>
      </c>
      <c r="I489">
        <v>900</v>
      </c>
    </row>
    <row r="490" spans="1:9" x14ac:dyDescent="0.35">
      <c r="A490">
        <v>489</v>
      </c>
      <c r="B490" s="1">
        <v>45069</v>
      </c>
      <c r="C490" t="s">
        <v>502</v>
      </c>
      <c r="D490" t="s">
        <v>10</v>
      </c>
      <c r="E490">
        <v>44</v>
      </c>
      <c r="F490" t="s">
        <v>16</v>
      </c>
      <c r="G490">
        <v>1</v>
      </c>
      <c r="H490">
        <v>30</v>
      </c>
      <c r="I490">
        <v>30</v>
      </c>
    </row>
    <row r="491" spans="1:9" x14ac:dyDescent="0.35">
      <c r="A491">
        <v>490</v>
      </c>
      <c r="B491" s="1">
        <v>44962</v>
      </c>
      <c r="C491" t="s">
        <v>503</v>
      </c>
      <c r="D491" t="s">
        <v>10</v>
      </c>
      <c r="E491">
        <v>34</v>
      </c>
      <c r="F491" t="s">
        <v>14</v>
      </c>
      <c r="G491">
        <v>3</v>
      </c>
      <c r="H491">
        <v>50</v>
      </c>
      <c r="I491">
        <v>150</v>
      </c>
    </row>
    <row r="492" spans="1:9" x14ac:dyDescent="0.35">
      <c r="A492">
        <v>491</v>
      </c>
      <c r="B492" s="1">
        <v>45069</v>
      </c>
      <c r="C492" t="s">
        <v>504</v>
      </c>
      <c r="D492" t="s">
        <v>13</v>
      </c>
      <c r="E492">
        <v>60</v>
      </c>
      <c r="F492" t="s">
        <v>16</v>
      </c>
      <c r="G492">
        <v>3</v>
      </c>
      <c r="H492">
        <v>300</v>
      </c>
      <c r="I492">
        <v>900</v>
      </c>
    </row>
    <row r="493" spans="1:9" x14ac:dyDescent="0.35">
      <c r="A493">
        <v>492</v>
      </c>
      <c r="B493" s="1">
        <v>45106</v>
      </c>
      <c r="C493" t="s">
        <v>505</v>
      </c>
      <c r="D493" t="s">
        <v>10</v>
      </c>
      <c r="E493">
        <v>61</v>
      </c>
      <c r="F493" t="s">
        <v>11</v>
      </c>
      <c r="G493">
        <v>4</v>
      </c>
      <c r="H493">
        <v>25</v>
      </c>
      <c r="I493">
        <v>100</v>
      </c>
    </row>
    <row r="494" spans="1:9" x14ac:dyDescent="0.35">
      <c r="A494">
        <v>493</v>
      </c>
      <c r="B494" s="1">
        <v>45255</v>
      </c>
      <c r="C494" t="s">
        <v>506</v>
      </c>
      <c r="D494" t="s">
        <v>10</v>
      </c>
      <c r="E494">
        <v>41</v>
      </c>
      <c r="F494" t="s">
        <v>11</v>
      </c>
      <c r="G494">
        <v>2</v>
      </c>
      <c r="H494">
        <v>25</v>
      </c>
      <c r="I494">
        <v>50</v>
      </c>
    </row>
    <row r="495" spans="1:9" x14ac:dyDescent="0.35">
      <c r="A495">
        <v>494</v>
      </c>
      <c r="B495" s="1">
        <v>45187</v>
      </c>
      <c r="C495" t="s">
        <v>507</v>
      </c>
      <c r="D495" t="s">
        <v>13</v>
      </c>
      <c r="E495">
        <v>42</v>
      </c>
      <c r="F495" t="s">
        <v>11</v>
      </c>
      <c r="G495">
        <v>4</v>
      </c>
      <c r="H495">
        <v>50</v>
      </c>
      <c r="I495">
        <v>200</v>
      </c>
    </row>
    <row r="496" spans="1:9" x14ac:dyDescent="0.35">
      <c r="A496">
        <v>495</v>
      </c>
      <c r="B496" s="1">
        <v>45131</v>
      </c>
      <c r="C496" t="s">
        <v>508</v>
      </c>
      <c r="D496" t="s">
        <v>10</v>
      </c>
      <c r="E496">
        <v>24</v>
      </c>
      <c r="F496" t="s">
        <v>11</v>
      </c>
      <c r="G496">
        <v>2</v>
      </c>
      <c r="H496">
        <v>30</v>
      </c>
      <c r="I496">
        <v>60</v>
      </c>
    </row>
    <row r="497" spans="1:9" x14ac:dyDescent="0.35">
      <c r="A497">
        <v>496</v>
      </c>
      <c r="B497" s="1">
        <v>45274</v>
      </c>
      <c r="C497" t="s">
        <v>509</v>
      </c>
      <c r="D497" t="s">
        <v>10</v>
      </c>
      <c r="E497">
        <v>23</v>
      </c>
      <c r="F497" t="s">
        <v>14</v>
      </c>
      <c r="G497">
        <v>2</v>
      </c>
      <c r="H497">
        <v>300</v>
      </c>
      <c r="I497">
        <v>600</v>
      </c>
    </row>
    <row r="498" spans="1:9" x14ac:dyDescent="0.35">
      <c r="A498">
        <v>497</v>
      </c>
      <c r="B498" s="1">
        <v>45201</v>
      </c>
      <c r="C498" t="s">
        <v>510</v>
      </c>
      <c r="D498" t="s">
        <v>10</v>
      </c>
      <c r="E498">
        <v>41</v>
      </c>
      <c r="F498" t="s">
        <v>14</v>
      </c>
      <c r="G498">
        <v>4</v>
      </c>
      <c r="H498">
        <v>30</v>
      </c>
      <c r="I498">
        <v>120</v>
      </c>
    </row>
    <row r="499" spans="1:9" x14ac:dyDescent="0.35">
      <c r="A499">
        <v>498</v>
      </c>
      <c r="B499" s="1">
        <v>45096</v>
      </c>
      <c r="C499" t="s">
        <v>511</v>
      </c>
      <c r="D499" t="s">
        <v>13</v>
      </c>
      <c r="E499">
        <v>50</v>
      </c>
      <c r="F499" t="s">
        <v>14</v>
      </c>
      <c r="G499">
        <v>4</v>
      </c>
      <c r="H499">
        <v>25</v>
      </c>
      <c r="I499">
        <v>100</v>
      </c>
    </row>
    <row r="500" spans="1:9" x14ac:dyDescent="0.35">
      <c r="A500">
        <v>499</v>
      </c>
      <c r="B500" s="1">
        <v>44941</v>
      </c>
      <c r="C500" t="s">
        <v>512</v>
      </c>
      <c r="D500" t="s">
        <v>10</v>
      </c>
      <c r="E500">
        <v>46</v>
      </c>
      <c r="F500" t="s">
        <v>11</v>
      </c>
      <c r="G500">
        <v>2</v>
      </c>
      <c r="H500">
        <v>30</v>
      </c>
      <c r="I500">
        <v>60</v>
      </c>
    </row>
    <row r="501" spans="1:9" x14ac:dyDescent="0.35">
      <c r="A501">
        <v>500</v>
      </c>
      <c r="B501" s="1">
        <v>44986</v>
      </c>
      <c r="C501" t="s">
        <v>513</v>
      </c>
      <c r="D501" t="s">
        <v>13</v>
      </c>
      <c r="E501">
        <v>60</v>
      </c>
      <c r="F501" t="s">
        <v>11</v>
      </c>
      <c r="G501">
        <v>4</v>
      </c>
      <c r="H501">
        <v>25</v>
      </c>
      <c r="I501">
        <v>100</v>
      </c>
    </row>
    <row r="502" spans="1:9" x14ac:dyDescent="0.35">
      <c r="A502">
        <v>501</v>
      </c>
      <c r="B502" s="1">
        <v>45060</v>
      </c>
      <c r="C502" t="s">
        <v>514</v>
      </c>
      <c r="D502" t="s">
        <v>10</v>
      </c>
      <c r="E502">
        <v>39</v>
      </c>
      <c r="F502" t="s">
        <v>16</v>
      </c>
      <c r="G502">
        <v>2</v>
      </c>
      <c r="H502">
        <v>30</v>
      </c>
      <c r="I502">
        <v>60</v>
      </c>
    </row>
    <row r="503" spans="1:9" x14ac:dyDescent="0.35">
      <c r="A503">
        <v>502</v>
      </c>
      <c r="B503" s="1">
        <v>45018</v>
      </c>
      <c r="C503" t="s">
        <v>515</v>
      </c>
      <c r="D503" t="s">
        <v>10</v>
      </c>
      <c r="E503">
        <v>43</v>
      </c>
      <c r="F503" t="s">
        <v>16</v>
      </c>
      <c r="G503">
        <v>3</v>
      </c>
      <c r="H503">
        <v>50</v>
      </c>
      <c r="I503">
        <v>150</v>
      </c>
    </row>
    <row r="504" spans="1:9" x14ac:dyDescent="0.35">
      <c r="A504">
        <v>503</v>
      </c>
      <c r="B504" s="1">
        <v>45224</v>
      </c>
      <c r="C504" t="s">
        <v>516</v>
      </c>
      <c r="D504" t="s">
        <v>10</v>
      </c>
      <c r="E504">
        <v>45</v>
      </c>
      <c r="F504" t="s">
        <v>11</v>
      </c>
      <c r="G504">
        <v>4</v>
      </c>
      <c r="H504">
        <v>500</v>
      </c>
      <c r="I504">
        <v>2000</v>
      </c>
    </row>
    <row r="505" spans="1:9" x14ac:dyDescent="0.35">
      <c r="A505">
        <v>504</v>
      </c>
      <c r="B505" s="1">
        <v>45062</v>
      </c>
      <c r="C505" t="s">
        <v>517</v>
      </c>
      <c r="D505" t="s">
        <v>13</v>
      </c>
      <c r="E505">
        <v>38</v>
      </c>
      <c r="F505" t="s">
        <v>11</v>
      </c>
      <c r="G505">
        <v>3</v>
      </c>
      <c r="H505">
        <v>50</v>
      </c>
      <c r="I505">
        <v>150</v>
      </c>
    </row>
    <row r="506" spans="1:9" x14ac:dyDescent="0.35">
      <c r="A506">
        <v>505</v>
      </c>
      <c r="B506" s="1">
        <v>44946</v>
      </c>
      <c r="C506" t="s">
        <v>518</v>
      </c>
      <c r="D506" t="s">
        <v>10</v>
      </c>
      <c r="E506">
        <v>24</v>
      </c>
      <c r="F506" t="s">
        <v>11</v>
      </c>
      <c r="G506">
        <v>1</v>
      </c>
      <c r="H506">
        <v>50</v>
      </c>
      <c r="I506">
        <v>50</v>
      </c>
    </row>
    <row r="507" spans="1:9" x14ac:dyDescent="0.35">
      <c r="A507">
        <v>506</v>
      </c>
      <c r="B507" s="1">
        <v>44982</v>
      </c>
      <c r="C507" t="s">
        <v>519</v>
      </c>
      <c r="D507" t="s">
        <v>10</v>
      </c>
      <c r="E507">
        <v>34</v>
      </c>
      <c r="F507" t="s">
        <v>11</v>
      </c>
      <c r="G507">
        <v>3</v>
      </c>
      <c r="H507">
        <v>500</v>
      </c>
      <c r="I507">
        <v>1500</v>
      </c>
    </row>
    <row r="508" spans="1:9" x14ac:dyDescent="0.35">
      <c r="A508">
        <v>507</v>
      </c>
      <c r="B508" s="1">
        <v>45232</v>
      </c>
      <c r="C508" t="s">
        <v>520</v>
      </c>
      <c r="D508" t="s">
        <v>13</v>
      </c>
      <c r="E508">
        <v>37</v>
      </c>
      <c r="F508" t="s">
        <v>16</v>
      </c>
      <c r="G508">
        <v>3</v>
      </c>
      <c r="H508">
        <v>500</v>
      </c>
      <c r="I508">
        <v>1500</v>
      </c>
    </row>
    <row r="509" spans="1:9" x14ac:dyDescent="0.35">
      <c r="A509">
        <v>508</v>
      </c>
      <c r="B509" s="1">
        <v>45149</v>
      </c>
      <c r="C509" t="s">
        <v>521</v>
      </c>
      <c r="D509" t="s">
        <v>10</v>
      </c>
      <c r="E509">
        <v>58</v>
      </c>
      <c r="F509" t="s">
        <v>11</v>
      </c>
      <c r="G509">
        <v>2</v>
      </c>
      <c r="H509">
        <v>300</v>
      </c>
      <c r="I509">
        <v>600</v>
      </c>
    </row>
    <row r="510" spans="1:9" x14ac:dyDescent="0.35">
      <c r="A510">
        <v>509</v>
      </c>
      <c r="B510" s="1">
        <v>45103</v>
      </c>
      <c r="C510" t="s">
        <v>522</v>
      </c>
      <c r="D510" t="s">
        <v>13</v>
      </c>
      <c r="E510">
        <v>37</v>
      </c>
      <c r="F510" t="s">
        <v>16</v>
      </c>
      <c r="G510">
        <v>3</v>
      </c>
      <c r="H510">
        <v>300</v>
      </c>
      <c r="I510">
        <v>900</v>
      </c>
    </row>
    <row r="511" spans="1:9" x14ac:dyDescent="0.35">
      <c r="A511">
        <v>510</v>
      </c>
      <c r="B511" s="1">
        <v>45087</v>
      </c>
      <c r="C511" t="s">
        <v>523</v>
      </c>
      <c r="D511" t="s">
        <v>13</v>
      </c>
      <c r="E511">
        <v>39</v>
      </c>
      <c r="F511" t="s">
        <v>11</v>
      </c>
      <c r="G511">
        <v>4</v>
      </c>
      <c r="H511">
        <v>50</v>
      </c>
      <c r="I511">
        <v>200</v>
      </c>
    </row>
    <row r="512" spans="1:9" x14ac:dyDescent="0.35">
      <c r="A512">
        <v>511</v>
      </c>
      <c r="B512" s="1">
        <v>45150</v>
      </c>
      <c r="C512" t="s">
        <v>524</v>
      </c>
      <c r="D512" t="s">
        <v>10</v>
      </c>
      <c r="E512">
        <v>45</v>
      </c>
      <c r="F512" t="s">
        <v>11</v>
      </c>
      <c r="G512">
        <v>2</v>
      </c>
      <c r="H512">
        <v>50</v>
      </c>
      <c r="I512">
        <v>100</v>
      </c>
    </row>
    <row r="513" spans="1:9" x14ac:dyDescent="0.35">
      <c r="A513">
        <v>512</v>
      </c>
      <c r="B513" s="1">
        <v>45237</v>
      </c>
      <c r="C513" t="s">
        <v>525</v>
      </c>
      <c r="D513" t="s">
        <v>13</v>
      </c>
      <c r="E513">
        <v>57</v>
      </c>
      <c r="F513" t="s">
        <v>11</v>
      </c>
      <c r="G513">
        <v>1</v>
      </c>
      <c r="H513">
        <v>25</v>
      </c>
      <c r="I513">
        <v>25</v>
      </c>
    </row>
    <row r="514" spans="1:9" x14ac:dyDescent="0.35">
      <c r="A514">
        <v>513</v>
      </c>
      <c r="B514" s="1">
        <v>45188</v>
      </c>
      <c r="C514" t="s">
        <v>526</v>
      </c>
      <c r="D514" t="s">
        <v>10</v>
      </c>
      <c r="E514">
        <v>24</v>
      </c>
      <c r="F514" t="s">
        <v>16</v>
      </c>
      <c r="G514">
        <v>4</v>
      </c>
      <c r="H514">
        <v>25</v>
      </c>
      <c r="I514">
        <v>100</v>
      </c>
    </row>
    <row r="515" spans="1:9" x14ac:dyDescent="0.35">
      <c r="A515">
        <v>514</v>
      </c>
      <c r="B515" s="1">
        <v>44986</v>
      </c>
      <c r="C515" t="s">
        <v>527</v>
      </c>
      <c r="D515" t="s">
        <v>13</v>
      </c>
      <c r="E515">
        <v>18</v>
      </c>
      <c r="F515" t="s">
        <v>16</v>
      </c>
      <c r="G515">
        <v>1</v>
      </c>
      <c r="H515">
        <v>300</v>
      </c>
      <c r="I515">
        <v>300</v>
      </c>
    </row>
    <row r="516" spans="1:9" x14ac:dyDescent="0.35">
      <c r="A516">
        <v>515</v>
      </c>
      <c r="B516" s="1">
        <v>45124</v>
      </c>
      <c r="C516" t="s">
        <v>528</v>
      </c>
      <c r="D516" t="s">
        <v>13</v>
      </c>
      <c r="E516">
        <v>49</v>
      </c>
      <c r="F516" t="s">
        <v>14</v>
      </c>
      <c r="G516">
        <v>3</v>
      </c>
      <c r="H516">
        <v>300</v>
      </c>
      <c r="I516">
        <v>900</v>
      </c>
    </row>
    <row r="517" spans="1:9" x14ac:dyDescent="0.35">
      <c r="A517">
        <v>516</v>
      </c>
      <c r="B517" s="1">
        <v>45222</v>
      </c>
      <c r="C517" t="s">
        <v>529</v>
      </c>
      <c r="D517" t="s">
        <v>10</v>
      </c>
      <c r="E517">
        <v>30</v>
      </c>
      <c r="F517" t="s">
        <v>11</v>
      </c>
      <c r="G517">
        <v>4</v>
      </c>
      <c r="H517">
        <v>25</v>
      </c>
      <c r="I517">
        <v>100</v>
      </c>
    </row>
    <row r="518" spans="1:9" x14ac:dyDescent="0.35">
      <c r="A518">
        <v>517</v>
      </c>
      <c r="B518" s="1">
        <v>45024</v>
      </c>
      <c r="C518" t="s">
        <v>530</v>
      </c>
      <c r="D518" t="s">
        <v>13</v>
      </c>
      <c r="E518">
        <v>47</v>
      </c>
      <c r="F518" t="s">
        <v>14</v>
      </c>
      <c r="G518">
        <v>4</v>
      </c>
      <c r="H518">
        <v>25</v>
      </c>
      <c r="I518">
        <v>100</v>
      </c>
    </row>
    <row r="519" spans="1:9" x14ac:dyDescent="0.35">
      <c r="A519">
        <v>518</v>
      </c>
      <c r="B519" s="1">
        <v>45057</v>
      </c>
      <c r="C519" t="s">
        <v>531</v>
      </c>
      <c r="D519" t="s">
        <v>13</v>
      </c>
      <c r="E519">
        <v>40</v>
      </c>
      <c r="F519" t="s">
        <v>14</v>
      </c>
      <c r="G519">
        <v>1</v>
      </c>
      <c r="H519">
        <v>30</v>
      </c>
      <c r="I519">
        <v>30</v>
      </c>
    </row>
    <row r="520" spans="1:9" x14ac:dyDescent="0.35">
      <c r="A520">
        <v>519</v>
      </c>
      <c r="B520" s="1">
        <v>44949</v>
      </c>
      <c r="C520" t="s">
        <v>532</v>
      </c>
      <c r="D520" t="s">
        <v>13</v>
      </c>
      <c r="E520">
        <v>36</v>
      </c>
      <c r="F520" t="s">
        <v>16</v>
      </c>
      <c r="G520">
        <v>4</v>
      </c>
      <c r="H520">
        <v>30</v>
      </c>
      <c r="I520">
        <v>120</v>
      </c>
    </row>
    <row r="521" spans="1:9" x14ac:dyDescent="0.35">
      <c r="A521">
        <v>520</v>
      </c>
      <c r="B521" s="1">
        <v>45289</v>
      </c>
      <c r="C521" t="s">
        <v>533</v>
      </c>
      <c r="D521" t="s">
        <v>13</v>
      </c>
      <c r="E521">
        <v>49</v>
      </c>
      <c r="F521" t="s">
        <v>16</v>
      </c>
      <c r="G521">
        <v>4</v>
      </c>
      <c r="H521">
        <v>25</v>
      </c>
      <c r="I521">
        <v>100</v>
      </c>
    </row>
    <row r="522" spans="1:9" x14ac:dyDescent="0.35">
      <c r="A522">
        <v>521</v>
      </c>
      <c r="B522" s="1">
        <v>45150</v>
      </c>
      <c r="C522" t="s">
        <v>534</v>
      </c>
      <c r="D522" t="s">
        <v>13</v>
      </c>
      <c r="E522">
        <v>47</v>
      </c>
      <c r="F522" t="s">
        <v>14</v>
      </c>
      <c r="G522">
        <v>4</v>
      </c>
      <c r="H522">
        <v>30</v>
      </c>
      <c r="I522">
        <v>120</v>
      </c>
    </row>
    <row r="523" spans="1:9" x14ac:dyDescent="0.35">
      <c r="A523">
        <v>522</v>
      </c>
      <c r="B523" s="1">
        <v>44927</v>
      </c>
      <c r="C523" t="s">
        <v>535</v>
      </c>
      <c r="D523" t="s">
        <v>10</v>
      </c>
      <c r="E523">
        <v>46</v>
      </c>
      <c r="F523" t="s">
        <v>11</v>
      </c>
      <c r="G523">
        <v>3</v>
      </c>
      <c r="H523">
        <v>500</v>
      </c>
      <c r="I523">
        <v>1500</v>
      </c>
    </row>
    <row r="524" spans="1:9" x14ac:dyDescent="0.35">
      <c r="A524">
        <v>523</v>
      </c>
      <c r="B524" s="1">
        <v>45193</v>
      </c>
      <c r="C524" t="s">
        <v>536</v>
      </c>
      <c r="D524" t="s">
        <v>13</v>
      </c>
      <c r="E524">
        <v>62</v>
      </c>
      <c r="F524" t="s">
        <v>16</v>
      </c>
      <c r="G524">
        <v>1</v>
      </c>
      <c r="H524">
        <v>300</v>
      </c>
      <c r="I524">
        <v>300</v>
      </c>
    </row>
    <row r="525" spans="1:9" x14ac:dyDescent="0.35">
      <c r="A525">
        <v>524</v>
      </c>
      <c r="B525" s="1">
        <v>45202</v>
      </c>
      <c r="C525" t="s">
        <v>537</v>
      </c>
      <c r="D525" t="s">
        <v>10</v>
      </c>
      <c r="E525">
        <v>46</v>
      </c>
      <c r="F525" t="s">
        <v>11</v>
      </c>
      <c r="G525">
        <v>4</v>
      </c>
      <c r="H525">
        <v>300</v>
      </c>
      <c r="I525">
        <v>1200</v>
      </c>
    </row>
    <row r="526" spans="1:9" x14ac:dyDescent="0.35">
      <c r="A526">
        <v>525</v>
      </c>
      <c r="B526" s="1">
        <v>45278</v>
      </c>
      <c r="C526" t="s">
        <v>538</v>
      </c>
      <c r="D526" t="s">
        <v>13</v>
      </c>
      <c r="E526">
        <v>47</v>
      </c>
      <c r="F526" t="s">
        <v>11</v>
      </c>
      <c r="G526">
        <v>2</v>
      </c>
      <c r="H526">
        <v>25</v>
      </c>
      <c r="I526">
        <v>50</v>
      </c>
    </row>
    <row r="527" spans="1:9" x14ac:dyDescent="0.35">
      <c r="A527">
        <v>526</v>
      </c>
      <c r="B527" s="1">
        <v>45270</v>
      </c>
      <c r="C527" t="s">
        <v>539</v>
      </c>
      <c r="D527" t="s">
        <v>10</v>
      </c>
      <c r="E527">
        <v>33</v>
      </c>
      <c r="F527" t="s">
        <v>14</v>
      </c>
      <c r="G527">
        <v>2</v>
      </c>
      <c r="H527">
        <v>50</v>
      </c>
      <c r="I527">
        <v>100</v>
      </c>
    </row>
    <row r="528" spans="1:9" x14ac:dyDescent="0.35">
      <c r="A528">
        <v>527</v>
      </c>
      <c r="B528" s="1">
        <v>45027</v>
      </c>
      <c r="C528" t="s">
        <v>540</v>
      </c>
      <c r="D528" t="s">
        <v>10</v>
      </c>
      <c r="E528">
        <v>57</v>
      </c>
      <c r="F528" t="s">
        <v>14</v>
      </c>
      <c r="G528">
        <v>2</v>
      </c>
      <c r="H528">
        <v>25</v>
      </c>
      <c r="I528">
        <v>50</v>
      </c>
    </row>
    <row r="529" spans="1:9" x14ac:dyDescent="0.35">
      <c r="A529">
        <v>528</v>
      </c>
      <c r="B529" s="1">
        <v>45113</v>
      </c>
      <c r="C529" t="s">
        <v>541</v>
      </c>
      <c r="D529" t="s">
        <v>13</v>
      </c>
      <c r="E529">
        <v>36</v>
      </c>
      <c r="F529" t="s">
        <v>14</v>
      </c>
      <c r="G529">
        <v>2</v>
      </c>
      <c r="H529">
        <v>30</v>
      </c>
      <c r="I529">
        <v>60</v>
      </c>
    </row>
    <row r="530" spans="1:9" x14ac:dyDescent="0.35">
      <c r="A530">
        <v>529</v>
      </c>
      <c r="B530" s="1">
        <v>45147</v>
      </c>
      <c r="C530" t="s">
        <v>542</v>
      </c>
      <c r="D530" t="s">
        <v>13</v>
      </c>
      <c r="E530">
        <v>35</v>
      </c>
      <c r="F530" t="s">
        <v>14</v>
      </c>
      <c r="G530">
        <v>3</v>
      </c>
      <c r="H530">
        <v>50</v>
      </c>
      <c r="I530">
        <v>150</v>
      </c>
    </row>
    <row r="531" spans="1:9" x14ac:dyDescent="0.35">
      <c r="A531">
        <v>530</v>
      </c>
      <c r="B531" s="1">
        <v>44962</v>
      </c>
      <c r="C531" t="s">
        <v>543</v>
      </c>
      <c r="D531" t="s">
        <v>13</v>
      </c>
      <c r="E531">
        <v>18</v>
      </c>
      <c r="F531" t="s">
        <v>16</v>
      </c>
      <c r="G531">
        <v>4</v>
      </c>
      <c r="H531">
        <v>30</v>
      </c>
      <c r="I531">
        <v>120</v>
      </c>
    </row>
    <row r="532" spans="1:9" x14ac:dyDescent="0.35">
      <c r="A532">
        <v>531</v>
      </c>
      <c r="B532" s="1">
        <v>45267</v>
      </c>
      <c r="C532" t="s">
        <v>544</v>
      </c>
      <c r="D532" t="s">
        <v>10</v>
      </c>
      <c r="E532">
        <v>31</v>
      </c>
      <c r="F532" t="s">
        <v>16</v>
      </c>
      <c r="G532">
        <v>1</v>
      </c>
      <c r="H532">
        <v>500</v>
      </c>
      <c r="I532">
        <v>500</v>
      </c>
    </row>
    <row r="533" spans="1:9" x14ac:dyDescent="0.35">
      <c r="A533">
        <v>532</v>
      </c>
      <c r="B533" s="1">
        <v>45096</v>
      </c>
      <c r="C533" t="s">
        <v>545</v>
      </c>
      <c r="D533" t="s">
        <v>13</v>
      </c>
      <c r="E533">
        <v>64</v>
      </c>
      <c r="F533" t="s">
        <v>14</v>
      </c>
      <c r="G533">
        <v>4</v>
      </c>
      <c r="H533">
        <v>30</v>
      </c>
      <c r="I533">
        <v>120</v>
      </c>
    </row>
    <row r="534" spans="1:9" x14ac:dyDescent="0.35">
      <c r="A534">
        <v>533</v>
      </c>
      <c r="B534" s="1">
        <v>45246</v>
      </c>
      <c r="C534" t="s">
        <v>546</v>
      </c>
      <c r="D534" t="s">
        <v>10</v>
      </c>
      <c r="E534">
        <v>19</v>
      </c>
      <c r="F534" t="s">
        <v>16</v>
      </c>
      <c r="G534">
        <v>3</v>
      </c>
      <c r="H534">
        <v>500</v>
      </c>
      <c r="I534">
        <v>1500</v>
      </c>
    </row>
    <row r="535" spans="1:9" x14ac:dyDescent="0.35">
      <c r="A535">
        <v>534</v>
      </c>
      <c r="B535" s="1">
        <v>45087</v>
      </c>
      <c r="C535" t="s">
        <v>547</v>
      </c>
      <c r="D535" t="s">
        <v>10</v>
      </c>
      <c r="E535">
        <v>45</v>
      </c>
      <c r="F535" t="s">
        <v>14</v>
      </c>
      <c r="G535">
        <v>2</v>
      </c>
      <c r="H535">
        <v>500</v>
      </c>
      <c r="I535">
        <v>1000</v>
      </c>
    </row>
    <row r="536" spans="1:9" x14ac:dyDescent="0.35">
      <c r="A536">
        <v>535</v>
      </c>
      <c r="B536" s="1">
        <v>45266</v>
      </c>
      <c r="C536" t="s">
        <v>548</v>
      </c>
      <c r="D536" t="s">
        <v>10</v>
      </c>
      <c r="E536">
        <v>47</v>
      </c>
      <c r="F536" t="s">
        <v>11</v>
      </c>
      <c r="G536">
        <v>3</v>
      </c>
      <c r="H536">
        <v>30</v>
      </c>
      <c r="I536">
        <v>90</v>
      </c>
    </row>
    <row r="537" spans="1:9" x14ac:dyDescent="0.35">
      <c r="A537">
        <v>536</v>
      </c>
      <c r="B537" s="1">
        <v>44990</v>
      </c>
      <c r="C537" t="s">
        <v>549</v>
      </c>
      <c r="D537" t="s">
        <v>13</v>
      </c>
      <c r="E537">
        <v>55</v>
      </c>
      <c r="F537" t="s">
        <v>11</v>
      </c>
      <c r="G537">
        <v>4</v>
      </c>
      <c r="H537">
        <v>30</v>
      </c>
      <c r="I537">
        <v>120</v>
      </c>
    </row>
    <row r="538" spans="1:9" x14ac:dyDescent="0.35">
      <c r="A538">
        <v>537</v>
      </c>
      <c r="B538" s="1">
        <v>45080</v>
      </c>
      <c r="C538" t="s">
        <v>550</v>
      </c>
      <c r="D538" t="s">
        <v>13</v>
      </c>
      <c r="E538">
        <v>21</v>
      </c>
      <c r="F538" t="s">
        <v>11</v>
      </c>
      <c r="G538">
        <v>1</v>
      </c>
      <c r="H538">
        <v>500</v>
      </c>
      <c r="I538">
        <v>500</v>
      </c>
    </row>
    <row r="539" spans="1:9" x14ac:dyDescent="0.35">
      <c r="A539">
        <v>538</v>
      </c>
      <c r="B539" s="1">
        <v>45186</v>
      </c>
      <c r="C539" t="s">
        <v>551</v>
      </c>
      <c r="D539" t="s">
        <v>10</v>
      </c>
      <c r="E539">
        <v>18</v>
      </c>
      <c r="F539" t="s">
        <v>14</v>
      </c>
      <c r="G539">
        <v>3</v>
      </c>
      <c r="H539">
        <v>50</v>
      </c>
      <c r="I539">
        <v>150</v>
      </c>
    </row>
    <row r="540" spans="1:9" x14ac:dyDescent="0.35">
      <c r="A540">
        <v>539</v>
      </c>
      <c r="B540" s="1">
        <v>45085</v>
      </c>
      <c r="C540" t="s">
        <v>552</v>
      </c>
      <c r="D540" t="s">
        <v>10</v>
      </c>
      <c r="E540">
        <v>25</v>
      </c>
      <c r="F540" t="s">
        <v>11</v>
      </c>
      <c r="G540">
        <v>1</v>
      </c>
      <c r="H540">
        <v>500</v>
      </c>
      <c r="I540">
        <v>500</v>
      </c>
    </row>
    <row r="541" spans="1:9" x14ac:dyDescent="0.35">
      <c r="A541">
        <v>540</v>
      </c>
      <c r="B541" s="1">
        <v>45268</v>
      </c>
      <c r="C541" t="s">
        <v>553</v>
      </c>
      <c r="D541" t="s">
        <v>13</v>
      </c>
      <c r="E541">
        <v>46</v>
      </c>
      <c r="F541" t="s">
        <v>16</v>
      </c>
      <c r="G541">
        <v>3</v>
      </c>
      <c r="H541">
        <v>300</v>
      </c>
      <c r="I541">
        <v>900</v>
      </c>
    </row>
    <row r="542" spans="1:9" x14ac:dyDescent="0.35">
      <c r="A542">
        <v>541</v>
      </c>
      <c r="B542" s="1">
        <v>45136</v>
      </c>
      <c r="C542" t="s">
        <v>554</v>
      </c>
      <c r="D542" t="s">
        <v>10</v>
      </c>
      <c r="E542">
        <v>56</v>
      </c>
      <c r="F542" t="s">
        <v>11</v>
      </c>
      <c r="G542">
        <v>1</v>
      </c>
      <c r="H542">
        <v>500</v>
      </c>
      <c r="I542">
        <v>500</v>
      </c>
    </row>
    <row r="543" spans="1:9" x14ac:dyDescent="0.35">
      <c r="A543">
        <v>542</v>
      </c>
      <c r="B543" s="1">
        <v>45094</v>
      </c>
      <c r="C543" t="s">
        <v>555</v>
      </c>
      <c r="D543" t="s">
        <v>13</v>
      </c>
      <c r="E543">
        <v>20</v>
      </c>
      <c r="F543" t="s">
        <v>11</v>
      </c>
      <c r="G543">
        <v>1</v>
      </c>
      <c r="H543">
        <v>50</v>
      </c>
      <c r="I543">
        <v>50</v>
      </c>
    </row>
    <row r="544" spans="1:9" x14ac:dyDescent="0.35">
      <c r="A544">
        <v>543</v>
      </c>
      <c r="B544" s="1">
        <v>45133</v>
      </c>
      <c r="C544" t="s">
        <v>556</v>
      </c>
      <c r="D544" t="s">
        <v>10</v>
      </c>
      <c r="E544">
        <v>49</v>
      </c>
      <c r="F544" t="s">
        <v>11</v>
      </c>
      <c r="G544">
        <v>2</v>
      </c>
      <c r="H544">
        <v>300</v>
      </c>
      <c r="I544">
        <v>600</v>
      </c>
    </row>
    <row r="545" spans="1:9" x14ac:dyDescent="0.35">
      <c r="A545">
        <v>544</v>
      </c>
      <c r="B545" s="1">
        <v>45283</v>
      </c>
      <c r="C545" t="s">
        <v>557</v>
      </c>
      <c r="D545" t="s">
        <v>13</v>
      </c>
      <c r="E545">
        <v>27</v>
      </c>
      <c r="F545" t="s">
        <v>16</v>
      </c>
      <c r="G545">
        <v>1</v>
      </c>
      <c r="H545">
        <v>25</v>
      </c>
      <c r="I545">
        <v>25</v>
      </c>
    </row>
    <row r="546" spans="1:9" x14ac:dyDescent="0.35">
      <c r="A546">
        <v>545</v>
      </c>
      <c r="B546" s="1">
        <v>45078</v>
      </c>
      <c r="C546" t="s">
        <v>558</v>
      </c>
      <c r="D546" t="s">
        <v>10</v>
      </c>
      <c r="E546">
        <v>27</v>
      </c>
      <c r="F546" t="s">
        <v>14</v>
      </c>
      <c r="G546">
        <v>2</v>
      </c>
      <c r="H546">
        <v>25</v>
      </c>
      <c r="I546">
        <v>50</v>
      </c>
    </row>
    <row r="547" spans="1:9" x14ac:dyDescent="0.35">
      <c r="A547">
        <v>546</v>
      </c>
      <c r="B547" s="1">
        <v>45210</v>
      </c>
      <c r="C547" t="s">
        <v>559</v>
      </c>
      <c r="D547" t="s">
        <v>13</v>
      </c>
      <c r="E547">
        <v>36</v>
      </c>
      <c r="F547" t="s">
        <v>16</v>
      </c>
      <c r="G547">
        <v>4</v>
      </c>
      <c r="H547">
        <v>50</v>
      </c>
      <c r="I547">
        <v>200</v>
      </c>
    </row>
    <row r="548" spans="1:9" x14ac:dyDescent="0.35">
      <c r="A548">
        <v>547</v>
      </c>
      <c r="B548" s="1">
        <v>44992</v>
      </c>
      <c r="C548" t="s">
        <v>560</v>
      </c>
      <c r="D548" t="s">
        <v>10</v>
      </c>
      <c r="E548">
        <v>63</v>
      </c>
      <c r="F548" t="s">
        <v>14</v>
      </c>
      <c r="G548">
        <v>4</v>
      </c>
      <c r="H548">
        <v>500</v>
      </c>
      <c r="I548">
        <v>2000</v>
      </c>
    </row>
    <row r="549" spans="1:9" x14ac:dyDescent="0.35">
      <c r="A549">
        <v>548</v>
      </c>
      <c r="B549" s="1">
        <v>45025</v>
      </c>
      <c r="C549" t="s">
        <v>561</v>
      </c>
      <c r="D549" t="s">
        <v>13</v>
      </c>
      <c r="E549">
        <v>51</v>
      </c>
      <c r="F549" t="s">
        <v>14</v>
      </c>
      <c r="G549">
        <v>2</v>
      </c>
      <c r="H549">
        <v>30</v>
      </c>
      <c r="I549">
        <v>60</v>
      </c>
    </row>
    <row r="550" spans="1:9" x14ac:dyDescent="0.35">
      <c r="A550">
        <v>549</v>
      </c>
      <c r="B550" s="1">
        <v>45142</v>
      </c>
      <c r="C550" t="s">
        <v>562</v>
      </c>
      <c r="D550" t="s">
        <v>13</v>
      </c>
      <c r="E550">
        <v>50</v>
      </c>
      <c r="F550" t="s">
        <v>11</v>
      </c>
      <c r="G550">
        <v>2</v>
      </c>
      <c r="H550">
        <v>50</v>
      </c>
      <c r="I550">
        <v>100</v>
      </c>
    </row>
    <row r="551" spans="1:9" x14ac:dyDescent="0.35">
      <c r="A551">
        <v>550</v>
      </c>
      <c r="B551" s="1">
        <v>45267</v>
      </c>
      <c r="C551" t="s">
        <v>563</v>
      </c>
      <c r="D551" t="s">
        <v>10</v>
      </c>
      <c r="E551">
        <v>40</v>
      </c>
      <c r="F551" t="s">
        <v>14</v>
      </c>
      <c r="G551">
        <v>3</v>
      </c>
      <c r="H551">
        <v>300</v>
      </c>
      <c r="I551">
        <v>900</v>
      </c>
    </row>
    <row r="552" spans="1:9" x14ac:dyDescent="0.35">
      <c r="A552">
        <v>551</v>
      </c>
      <c r="B552" s="1">
        <v>45121</v>
      </c>
      <c r="C552" t="s">
        <v>564</v>
      </c>
      <c r="D552" t="s">
        <v>10</v>
      </c>
      <c r="E552">
        <v>45</v>
      </c>
      <c r="F552" t="s">
        <v>16</v>
      </c>
      <c r="G552">
        <v>3</v>
      </c>
      <c r="H552">
        <v>300</v>
      </c>
      <c r="I552">
        <v>900</v>
      </c>
    </row>
    <row r="553" spans="1:9" x14ac:dyDescent="0.35">
      <c r="A553">
        <v>552</v>
      </c>
      <c r="B553" s="1">
        <v>45273</v>
      </c>
      <c r="C553" t="s">
        <v>565</v>
      </c>
      <c r="D553" t="s">
        <v>13</v>
      </c>
      <c r="E553">
        <v>49</v>
      </c>
      <c r="F553" t="s">
        <v>16</v>
      </c>
      <c r="G553">
        <v>3</v>
      </c>
      <c r="H553">
        <v>25</v>
      </c>
      <c r="I553">
        <v>75</v>
      </c>
    </row>
    <row r="554" spans="1:9" x14ac:dyDescent="0.35">
      <c r="A554">
        <v>553</v>
      </c>
      <c r="B554" s="1">
        <v>45016</v>
      </c>
      <c r="C554" t="s">
        <v>566</v>
      </c>
      <c r="D554" t="s">
        <v>10</v>
      </c>
      <c r="E554">
        <v>24</v>
      </c>
      <c r="F554" t="s">
        <v>14</v>
      </c>
      <c r="G554">
        <v>4</v>
      </c>
      <c r="H554">
        <v>300</v>
      </c>
      <c r="I554">
        <v>1200</v>
      </c>
    </row>
    <row r="555" spans="1:9" x14ac:dyDescent="0.35">
      <c r="A555">
        <v>554</v>
      </c>
      <c r="B555" s="1">
        <v>45242</v>
      </c>
      <c r="C555" t="s">
        <v>567</v>
      </c>
      <c r="D555" t="s">
        <v>13</v>
      </c>
      <c r="E555">
        <v>46</v>
      </c>
      <c r="F555" t="s">
        <v>11</v>
      </c>
      <c r="G555">
        <v>3</v>
      </c>
      <c r="H555">
        <v>50</v>
      </c>
      <c r="I555">
        <v>150</v>
      </c>
    </row>
    <row r="556" spans="1:9" x14ac:dyDescent="0.35">
      <c r="A556">
        <v>555</v>
      </c>
      <c r="B556" s="1">
        <v>45218</v>
      </c>
      <c r="C556" t="s">
        <v>568</v>
      </c>
      <c r="D556" t="s">
        <v>10</v>
      </c>
      <c r="E556">
        <v>25</v>
      </c>
      <c r="F556" t="s">
        <v>11</v>
      </c>
      <c r="G556">
        <v>1</v>
      </c>
      <c r="H556">
        <v>300</v>
      </c>
      <c r="I556">
        <v>300</v>
      </c>
    </row>
    <row r="557" spans="1:9" x14ac:dyDescent="0.35">
      <c r="A557">
        <v>556</v>
      </c>
      <c r="B557" s="1">
        <v>45081</v>
      </c>
      <c r="C557" t="s">
        <v>569</v>
      </c>
      <c r="D557" t="s">
        <v>13</v>
      </c>
      <c r="E557">
        <v>18</v>
      </c>
      <c r="F557" t="s">
        <v>16</v>
      </c>
      <c r="G557">
        <v>1</v>
      </c>
      <c r="H557">
        <v>50</v>
      </c>
      <c r="I557">
        <v>50</v>
      </c>
    </row>
    <row r="558" spans="1:9" x14ac:dyDescent="0.35">
      <c r="A558">
        <v>557</v>
      </c>
      <c r="B558" s="1">
        <v>45134</v>
      </c>
      <c r="C558" t="s">
        <v>570</v>
      </c>
      <c r="D558" t="s">
        <v>13</v>
      </c>
      <c r="E558">
        <v>20</v>
      </c>
      <c r="F558" t="s">
        <v>11</v>
      </c>
      <c r="G558">
        <v>3</v>
      </c>
      <c r="H558">
        <v>30</v>
      </c>
      <c r="I558">
        <v>90</v>
      </c>
    </row>
    <row r="559" spans="1:9" x14ac:dyDescent="0.35">
      <c r="A559">
        <v>558</v>
      </c>
      <c r="B559" s="1">
        <v>45207</v>
      </c>
      <c r="C559" t="s">
        <v>571</v>
      </c>
      <c r="D559" t="s">
        <v>13</v>
      </c>
      <c r="E559">
        <v>41</v>
      </c>
      <c r="F559" t="s">
        <v>14</v>
      </c>
      <c r="G559">
        <v>1</v>
      </c>
      <c r="H559">
        <v>25</v>
      </c>
      <c r="I559">
        <v>25</v>
      </c>
    </row>
    <row r="560" spans="1:9" x14ac:dyDescent="0.35">
      <c r="A560">
        <v>559</v>
      </c>
      <c r="B560" s="1">
        <v>44927</v>
      </c>
      <c r="C560" t="s">
        <v>572</v>
      </c>
      <c r="D560" t="s">
        <v>13</v>
      </c>
      <c r="E560">
        <v>40</v>
      </c>
      <c r="F560" t="s">
        <v>14</v>
      </c>
      <c r="G560">
        <v>4</v>
      </c>
      <c r="H560">
        <v>300</v>
      </c>
      <c r="I560">
        <v>1200</v>
      </c>
    </row>
    <row r="561" spans="1:9" x14ac:dyDescent="0.35">
      <c r="A561">
        <v>560</v>
      </c>
      <c r="B561" s="1">
        <v>45082</v>
      </c>
      <c r="C561" t="s">
        <v>573</v>
      </c>
      <c r="D561" t="s">
        <v>13</v>
      </c>
      <c r="E561">
        <v>25</v>
      </c>
      <c r="F561" t="s">
        <v>16</v>
      </c>
      <c r="G561">
        <v>1</v>
      </c>
      <c r="H561">
        <v>50</v>
      </c>
      <c r="I561">
        <v>50</v>
      </c>
    </row>
    <row r="562" spans="1:9" x14ac:dyDescent="0.35">
      <c r="A562">
        <v>561</v>
      </c>
      <c r="B562" s="1">
        <v>45073</v>
      </c>
      <c r="C562" t="s">
        <v>574</v>
      </c>
      <c r="D562" t="s">
        <v>13</v>
      </c>
      <c r="E562">
        <v>64</v>
      </c>
      <c r="F562" t="s">
        <v>14</v>
      </c>
      <c r="G562">
        <v>4</v>
      </c>
      <c r="H562">
        <v>500</v>
      </c>
      <c r="I562">
        <v>2000</v>
      </c>
    </row>
    <row r="563" spans="1:9" x14ac:dyDescent="0.35">
      <c r="A563">
        <v>562</v>
      </c>
      <c r="B563" s="1">
        <v>45034</v>
      </c>
      <c r="C563" t="s">
        <v>575</v>
      </c>
      <c r="D563" t="s">
        <v>10</v>
      </c>
      <c r="E563">
        <v>54</v>
      </c>
      <c r="F563" t="s">
        <v>16</v>
      </c>
      <c r="G563">
        <v>2</v>
      </c>
      <c r="H563">
        <v>25</v>
      </c>
      <c r="I563">
        <v>50</v>
      </c>
    </row>
    <row r="564" spans="1:9" x14ac:dyDescent="0.35">
      <c r="A564">
        <v>563</v>
      </c>
      <c r="B564" s="1">
        <v>45147</v>
      </c>
      <c r="C564" t="s">
        <v>576</v>
      </c>
      <c r="D564" t="s">
        <v>10</v>
      </c>
      <c r="E564">
        <v>20</v>
      </c>
      <c r="F564" t="s">
        <v>14</v>
      </c>
      <c r="G564">
        <v>2</v>
      </c>
      <c r="H564">
        <v>30</v>
      </c>
      <c r="I564">
        <v>60</v>
      </c>
    </row>
    <row r="565" spans="1:9" x14ac:dyDescent="0.35">
      <c r="A565">
        <v>564</v>
      </c>
      <c r="B565" s="1">
        <v>45223</v>
      </c>
      <c r="C565" t="s">
        <v>577</v>
      </c>
      <c r="D565" t="s">
        <v>10</v>
      </c>
      <c r="E565">
        <v>50</v>
      </c>
      <c r="F565" t="s">
        <v>16</v>
      </c>
      <c r="G565">
        <v>2</v>
      </c>
      <c r="H565">
        <v>50</v>
      </c>
      <c r="I565">
        <v>100</v>
      </c>
    </row>
    <row r="566" spans="1:9" x14ac:dyDescent="0.35">
      <c r="A566">
        <v>565</v>
      </c>
      <c r="B566" s="1">
        <v>45237</v>
      </c>
      <c r="C566" t="s">
        <v>578</v>
      </c>
      <c r="D566" t="s">
        <v>13</v>
      </c>
      <c r="E566">
        <v>45</v>
      </c>
      <c r="F566" t="s">
        <v>11</v>
      </c>
      <c r="G566">
        <v>2</v>
      </c>
      <c r="H566">
        <v>30</v>
      </c>
      <c r="I566">
        <v>60</v>
      </c>
    </row>
    <row r="567" spans="1:9" x14ac:dyDescent="0.35">
      <c r="A567">
        <v>566</v>
      </c>
      <c r="B567" s="1">
        <v>45262</v>
      </c>
      <c r="C567" t="s">
        <v>579</v>
      </c>
      <c r="D567" t="s">
        <v>13</v>
      </c>
      <c r="E567">
        <v>64</v>
      </c>
      <c r="F567" t="s">
        <v>14</v>
      </c>
      <c r="G567">
        <v>1</v>
      </c>
      <c r="H567">
        <v>30</v>
      </c>
      <c r="I567">
        <v>30</v>
      </c>
    </row>
    <row r="568" spans="1:9" x14ac:dyDescent="0.35">
      <c r="A568">
        <v>567</v>
      </c>
      <c r="B568" s="1">
        <v>45091</v>
      </c>
      <c r="C568" t="s">
        <v>580</v>
      </c>
      <c r="D568" t="s">
        <v>13</v>
      </c>
      <c r="E568">
        <v>25</v>
      </c>
      <c r="F568" t="s">
        <v>14</v>
      </c>
      <c r="G568">
        <v>3</v>
      </c>
      <c r="H568">
        <v>300</v>
      </c>
      <c r="I568">
        <v>900</v>
      </c>
    </row>
    <row r="569" spans="1:9" x14ac:dyDescent="0.35">
      <c r="A569">
        <v>568</v>
      </c>
      <c r="B569" s="1">
        <v>45165</v>
      </c>
      <c r="C569" t="s">
        <v>581</v>
      </c>
      <c r="D569" t="s">
        <v>13</v>
      </c>
      <c r="E569">
        <v>51</v>
      </c>
      <c r="F569" t="s">
        <v>16</v>
      </c>
      <c r="G569">
        <v>1</v>
      </c>
      <c r="H569">
        <v>300</v>
      </c>
      <c r="I569">
        <v>300</v>
      </c>
    </row>
    <row r="570" spans="1:9" x14ac:dyDescent="0.35">
      <c r="A570">
        <v>569</v>
      </c>
      <c r="B570" s="1">
        <v>45153</v>
      </c>
      <c r="C570" t="s">
        <v>582</v>
      </c>
      <c r="D570" t="s">
        <v>10</v>
      </c>
      <c r="E570">
        <v>52</v>
      </c>
      <c r="F570" t="s">
        <v>16</v>
      </c>
      <c r="G570">
        <v>4</v>
      </c>
      <c r="H570">
        <v>50</v>
      </c>
      <c r="I570">
        <v>200</v>
      </c>
    </row>
    <row r="571" spans="1:9" x14ac:dyDescent="0.35">
      <c r="A571">
        <v>570</v>
      </c>
      <c r="B571" s="1">
        <v>45153</v>
      </c>
      <c r="C571" t="s">
        <v>583</v>
      </c>
      <c r="D571" t="s">
        <v>10</v>
      </c>
      <c r="E571">
        <v>49</v>
      </c>
      <c r="F571" t="s">
        <v>14</v>
      </c>
      <c r="G571">
        <v>1</v>
      </c>
      <c r="H571">
        <v>500</v>
      </c>
      <c r="I571">
        <v>500</v>
      </c>
    </row>
    <row r="572" spans="1:9" x14ac:dyDescent="0.35">
      <c r="A572">
        <v>571</v>
      </c>
      <c r="B572" s="1">
        <v>45272</v>
      </c>
      <c r="C572" t="s">
        <v>584</v>
      </c>
      <c r="D572" t="s">
        <v>13</v>
      </c>
      <c r="E572">
        <v>41</v>
      </c>
      <c r="F572" t="s">
        <v>16</v>
      </c>
      <c r="G572">
        <v>1</v>
      </c>
      <c r="H572">
        <v>50</v>
      </c>
      <c r="I572">
        <v>50</v>
      </c>
    </row>
    <row r="573" spans="1:9" x14ac:dyDescent="0.35">
      <c r="A573">
        <v>572</v>
      </c>
      <c r="B573" s="1">
        <v>45036</v>
      </c>
      <c r="C573" t="s">
        <v>585</v>
      </c>
      <c r="D573" t="s">
        <v>10</v>
      </c>
      <c r="E573">
        <v>31</v>
      </c>
      <c r="F573" t="s">
        <v>14</v>
      </c>
      <c r="G573">
        <v>4</v>
      </c>
      <c r="H573">
        <v>500</v>
      </c>
      <c r="I573">
        <v>2000</v>
      </c>
    </row>
    <row r="574" spans="1:9" x14ac:dyDescent="0.35">
      <c r="A574">
        <v>573</v>
      </c>
      <c r="B574" s="1">
        <v>45188</v>
      </c>
      <c r="C574" t="s">
        <v>586</v>
      </c>
      <c r="D574" t="s">
        <v>10</v>
      </c>
      <c r="E574">
        <v>49</v>
      </c>
      <c r="F574" t="s">
        <v>11</v>
      </c>
      <c r="G574">
        <v>2</v>
      </c>
      <c r="H574">
        <v>30</v>
      </c>
      <c r="I574">
        <v>60</v>
      </c>
    </row>
    <row r="575" spans="1:9" x14ac:dyDescent="0.35">
      <c r="A575">
        <v>574</v>
      </c>
      <c r="B575" s="1">
        <v>45169</v>
      </c>
      <c r="C575" t="s">
        <v>587</v>
      </c>
      <c r="D575" t="s">
        <v>13</v>
      </c>
      <c r="E575">
        <v>63</v>
      </c>
      <c r="F575" t="s">
        <v>16</v>
      </c>
      <c r="G575">
        <v>2</v>
      </c>
      <c r="H575">
        <v>25</v>
      </c>
      <c r="I575">
        <v>50</v>
      </c>
    </row>
    <row r="576" spans="1:9" x14ac:dyDescent="0.35">
      <c r="A576">
        <v>575</v>
      </c>
      <c r="B576" s="1">
        <v>45013</v>
      </c>
      <c r="C576" t="s">
        <v>588</v>
      </c>
      <c r="D576" t="s">
        <v>10</v>
      </c>
      <c r="E576">
        <v>60</v>
      </c>
      <c r="F576" t="s">
        <v>14</v>
      </c>
      <c r="G576">
        <v>2</v>
      </c>
      <c r="H576">
        <v>50</v>
      </c>
      <c r="I576">
        <v>100</v>
      </c>
    </row>
    <row r="577" spans="1:9" x14ac:dyDescent="0.35">
      <c r="A577">
        <v>576</v>
      </c>
      <c r="B577" s="1">
        <v>45264</v>
      </c>
      <c r="C577" t="s">
        <v>589</v>
      </c>
      <c r="D577" t="s">
        <v>13</v>
      </c>
      <c r="E577">
        <v>33</v>
      </c>
      <c r="F577" t="s">
        <v>11</v>
      </c>
      <c r="G577">
        <v>3</v>
      </c>
      <c r="H577">
        <v>50</v>
      </c>
      <c r="I577">
        <v>150</v>
      </c>
    </row>
    <row r="578" spans="1:9" x14ac:dyDescent="0.35">
      <c r="A578">
        <v>577</v>
      </c>
      <c r="B578" s="1">
        <v>44970</v>
      </c>
      <c r="C578" t="s">
        <v>590</v>
      </c>
      <c r="D578" t="s">
        <v>10</v>
      </c>
      <c r="E578">
        <v>21</v>
      </c>
      <c r="F578" t="s">
        <v>11</v>
      </c>
      <c r="G578">
        <v>4</v>
      </c>
      <c r="H578">
        <v>500</v>
      </c>
      <c r="I578">
        <v>2000</v>
      </c>
    </row>
    <row r="579" spans="1:9" x14ac:dyDescent="0.35">
      <c r="A579">
        <v>578</v>
      </c>
      <c r="B579" s="1">
        <v>45072</v>
      </c>
      <c r="C579" t="s">
        <v>591</v>
      </c>
      <c r="D579" t="s">
        <v>13</v>
      </c>
      <c r="E579">
        <v>54</v>
      </c>
      <c r="F579" t="s">
        <v>14</v>
      </c>
      <c r="G579">
        <v>4</v>
      </c>
      <c r="H579">
        <v>30</v>
      </c>
      <c r="I579">
        <v>120</v>
      </c>
    </row>
    <row r="580" spans="1:9" x14ac:dyDescent="0.35">
      <c r="A580">
        <v>579</v>
      </c>
      <c r="B580" s="1">
        <v>45190</v>
      </c>
      <c r="C580" t="s">
        <v>592</v>
      </c>
      <c r="D580" t="s">
        <v>13</v>
      </c>
      <c r="E580">
        <v>38</v>
      </c>
      <c r="F580" t="s">
        <v>16</v>
      </c>
      <c r="G580">
        <v>1</v>
      </c>
      <c r="H580">
        <v>30</v>
      </c>
      <c r="I580">
        <v>30</v>
      </c>
    </row>
    <row r="581" spans="1:9" x14ac:dyDescent="0.35">
      <c r="A581">
        <v>580</v>
      </c>
      <c r="B581" s="1">
        <v>45266</v>
      </c>
      <c r="C581" t="s">
        <v>593</v>
      </c>
      <c r="D581" t="s">
        <v>13</v>
      </c>
      <c r="E581">
        <v>31</v>
      </c>
      <c r="F581" t="s">
        <v>14</v>
      </c>
      <c r="G581">
        <v>3</v>
      </c>
      <c r="H581">
        <v>500</v>
      </c>
      <c r="I581">
        <v>1500</v>
      </c>
    </row>
    <row r="582" spans="1:9" x14ac:dyDescent="0.35">
      <c r="A582">
        <v>581</v>
      </c>
      <c r="B582" s="1">
        <v>45251</v>
      </c>
      <c r="C582" t="s">
        <v>594</v>
      </c>
      <c r="D582" t="s">
        <v>13</v>
      </c>
      <c r="E582">
        <v>48</v>
      </c>
      <c r="F582" t="s">
        <v>11</v>
      </c>
      <c r="G582">
        <v>2</v>
      </c>
      <c r="H582">
        <v>30</v>
      </c>
      <c r="I582">
        <v>60</v>
      </c>
    </row>
    <row r="583" spans="1:9" x14ac:dyDescent="0.35">
      <c r="A583">
        <v>582</v>
      </c>
      <c r="B583" s="1">
        <v>45244</v>
      </c>
      <c r="C583" t="s">
        <v>595</v>
      </c>
      <c r="D583" t="s">
        <v>10</v>
      </c>
      <c r="E583">
        <v>35</v>
      </c>
      <c r="F583" t="s">
        <v>14</v>
      </c>
      <c r="G583">
        <v>3</v>
      </c>
      <c r="H583">
        <v>300</v>
      </c>
      <c r="I583">
        <v>900</v>
      </c>
    </row>
    <row r="584" spans="1:9" x14ac:dyDescent="0.35">
      <c r="A584">
        <v>583</v>
      </c>
      <c r="B584" s="1">
        <v>45098</v>
      </c>
      <c r="C584" t="s">
        <v>596</v>
      </c>
      <c r="D584" t="s">
        <v>13</v>
      </c>
      <c r="E584">
        <v>24</v>
      </c>
      <c r="F584" t="s">
        <v>16</v>
      </c>
      <c r="G584">
        <v>4</v>
      </c>
      <c r="H584">
        <v>25</v>
      </c>
      <c r="I584">
        <v>100</v>
      </c>
    </row>
    <row r="585" spans="1:9" x14ac:dyDescent="0.35">
      <c r="A585">
        <v>584</v>
      </c>
      <c r="B585" s="1">
        <v>44974</v>
      </c>
      <c r="C585" t="s">
        <v>597</v>
      </c>
      <c r="D585" t="s">
        <v>13</v>
      </c>
      <c r="E585">
        <v>27</v>
      </c>
      <c r="F585" t="s">
        <v>11</v>
      </c>
      <c r="G585">
        <v>4</v>
      </c>
      <c r="H585">
        <v>50</v>
      </c>
      <c r="I585">
        <v>200</v>
      </c>
    </row>
    <row r="586" spans="1:9" x14ac:dyDescent="0.35">
      <c r="A586">
        <v>585</v>
      </c>
      <c r="B586" s="1">
        <v>45047</v>
      </c>
      <c r="C586" t="s">
        <v>598</v>
      </c>
      <c r="D586" t="s">
        <v>13</v>
      </c>
      <c r="E586">
        <v>24</v>
      </c>
      <c r="F586" t="s">
        <v>14</v>
      </c>
      <c r="G586">
        <v>1</v>
      </c>
      <c r="H586">
        <v>25</v>
      </c>
      <c r="I586">
        <v>25</v>
      </c>
    </row>
    <row r="587" spans="1:9" x14ac:dyDescent="0.35">
      <c r="A587">
        <v>586</v>
      </c>
      <c r="B587" s="1">
        <v>45271</v>
      </c>
      <c r="C587" t="s">
        <v>599</v>
      </c>
      <c r="D587" t="s">
        <v>10</v>
      </c>
      <c r="E587">
        <v>50</v>
      </c>
      <c r="F587" t="s">
        <v>16</v>
      </c>
      <c r="G587">
        <v>1</v>
      </c>
      <c r="H587">
        <v>50</v>
      </c>
      <c r="I587">
        <v>50</v>
      </c>
    </row>
    <row r="588" spans="1:9" x14ac:dyDescent="0.35">
      <c r="A588">
        <v>587</v>
      </c>
      <c r="B588" s="1">
        <v>45085</v>
      </c>
      <c r="C588" t="s">
        <v>600</v>
      </c>
      <c r="D588" t="s">
        <v>13</v>
      </c>
      <c r="E588">
        <v>40</v>
      </c>
      <c r="F588" t="s">
        <v>11</v>
      </c>
      <c r="G588">
        <v>4</v>
      </c>
      <c r="H588">
        <v>300</v>
      </c>
      <c r="I588">
        <v>1200</v>
      </c>
    </row>
    <row r="589" spans="1:9" x14ac:dyDescent="0.35">
      <c r="A589">
        <v>588</v>
      </c>
      <c r="B589" s="1">
        <v>45042</v>
      </c>
      <c r="C589" t="s">
        <v>601</v>
      </c>
      <c r="D589" t="s">
        <v>10</v>
      </c>
      <c r="E589">
        <v>38</v>
      </c>
      <c r="F589" t="s">
        <v>16</v>
      </c>
      <c r="G589">
        <v>2</v>
      </c>
      <c r="H589">
        <v>30</v>
      </c>
      <c r="I589">
        <v>60</v>
      </c>
    </row>
    <row r="590" spans="1:9" x14ac:dyDescent="0.35">
      <c r="A590">
        <v>589</v>
      </c>
      <c r="B590" s="1">
        <v>45028</v>
      </c>
      <c r="C590" t="s">
        <v>602</v>
      </c>
      <c r="D590" t="s">
        <v>13</v>
      </c>
      <c r="E590">
        <v>36</v>
      </c>
      <c r="F590" t="s">
        <v>11</v>
      </c>
      <c r="G590">
        <v>2</v>
      </c>
      <c r="H590">
        <v>500</v>
      </c>
      <c r="I590">
        <v>1000</v>
      </c>
    </row>
    <row r="591" spans="1:9" x14ac:dyDescent="0.35">
      <c r="A591">
        <v>590</v>
      </c>
      <c r="B591" s="1">
        <v>45002</v>
      </c>
      <c r="C591" t="s">
        <v>603</v>
      </c>
      <c r="D591" t="s">
        <v>10</v>
      </c>
      <c r="E591">
        <v>36</v>
      </c>
      <c r="F591" t="s">
        <v>14</v>
      </c>
      <c r="G591">
        <v>3</v>
      </c>
      <c r="H591">
        <v>300</v>
      </c>
      <c r="I591">
        <v>900</v>
      </c>
    </row>
    <row r="592" spans="1:9" x14ac:dyDescent="0.35">
      <c r="A592">
        <v>591</v>
      </c>
      <c r="B592" s="1">
        <v>44939</v>
      </c>
      <c r="C592" t="s">
        <v>604</v>
      </c>
      <c r="D592" t="s">
        <v>10</v>
      </c>
      <c r="E592">
        <v>53</v>
      </c>
      <c r="F592" t="s">
        <v>16</v>
      </c>
      <c r="G592">
        <v>4</v>
      </c>
      <c r="H592">
        <v>25</v>
      </c>
      <c r="I592">
        <v>100</v>
      </c>
    </row>
    <row r="593" spans="1:9" x14ac:dyDescent="0.35">
      <c r="A593">
        <v>592</v>
      </c>
      <c r="B593" s="1">
        <v>44950</v>
      </c>
      <c r="C593" t="s">
        <v>605</v>
      </c>
      <c r="D593" t="s">
        <v>13</v>
      </c>
      <c r="E593">
        <v>46</v>
      </c>
      <c r="F593" t="s">
        <v>11</v>
      </c>
      <c r="G593">
        <v>4</v>
      </c>
      <c r="H593">
        <v>500</v>
      </c>
      <c r="I593">
        <v>2000</v>
      </c>
    </row>
    <row r="594" spans="1:9" x14ac:dyDescent="0.35">
      <c r="A594">
        <v>593</v>
      </c>
      <c r="B594" s="1">
        <v>45052</v>
      </c>
      <c r="C594" t="s">
        <v>606</v>
      </c>
      <c r="D594" t="s">
        <v>10</v>
      </c>
      <c r="E594">
        <v>35</v>
      </c>
      <c r="F594" t="s">
        <v>16</v>
      </c>
      <c r="G594">
        <v>2</v>
      </c>
      <c r="H594">
        <v>30</v>
      </c>
      <c r="I594">
        <v>60</v>
      </c>
    </row>
    <row r="595" spans="1:9" x14ac:dyDescent="0.35">
      <c r="A595">
        <v>594</v>
      </c>
      <c r="B595" s="1">
        <v>45170</v>
      </c>
      <c r="C595" t="s">
        <v>607</v>
      </c>
      <c r="D595" t="s">
        <v>13</v>
      </c>
      <c r="E595">
        <v>19</v>
      </c>
      <c r="F595" t="s">
        <v>16</v>
      </c>
      <c r="G595">
        <v>2</v>
      </c>
      <c r="H595">
        <v>300</v>
      </c>
      <c r="I595">
        <v>600</v>
      </c>
    </row>
    <row r="596" spans="1:9" x14ac:dyDescent="0.35">
      <c r="A596">
        <v>595</v>
      </c>
      <c r="B596" s="1">
        <v>45239</v>
      </c>
      <c r="C596" t="s">
        <v>608</v>
      </c>
      <c r="D596" t="s">
        <v>13</v>
      </c>
      <c r="E596">
        <v>18</v>
      </c>
      <c r="F596" t="s">
        <v>14</v>
      </c>
      <c r="G596">
        <v>4</v>
      </c>
      <c r="H596">
        <v>500</v>
      </c>
      <c r="I596">
        <v>2000</v>
      </c>
    </row>
    <row r="597" spans="1:9" x14ac:dyDescent="0.35">
      <c r="A597">
        <v>596</v>
      </c>
      <c r="B597" s="1">
        <v>44964</v>
      </c>
      <c r="C597" t="s">
        <v>609</v>
      </c>
      <c r="D597" t="s">
        <v>13</v>
      </c>
      <c r="E597">
        <v>64</v>
      </c>
      <c r="F597" t="s">
        <v>16</v>
      </c>
      <c r="G597">
        <v>1</v>
      </c>
      <c r="H597">
        <v>300</v>
      </c>
      <c r="I597">
        <v>300</v>
      </c>
    </row>
    <row r="598" spans="1:9" x14ac:dyDescent="0.35">
      <c r="A598">
        <v>597</v>
      </c>
      <c r="B598" s="1">
        <v>45160</v>
      </c>
      <c r="C598" t="s">
        <v>610</v>
      </c>
      <c r="D598" t="s">
        <v>10</v>
      </c>
      <c r="E598">
        <v>22</v>
      </c>
      <c r="F598" t="s">
        <v>11</v>
      </c>
      <c r="G598">
        <v>4</v>
      </c>
      <c r="H598">
        <v>300</v>
      </c>
      <c r="I598">
        <v>1200</v>
      </c>
    </row>
    <row r="599" spans="1:9" x14ac:dyDescent="0.35">
      <c r="A599">
        <v>598</v>
      </c>
      <c r="B599" s="1">
        <v>45139</v>
      </c>
      <c r="C599" t="s">
        <v>611</v>
      </c>
      <c r="D599" t="s">
        <v>10</v>
      </c>
      <c r="E599">
        <v>37</v>
      </c>
      <c r="F599" t="s">
        <v>11</v>
      </c>
      <c r="G599">
        <v>4</v>
      </c>
      <c r="H599">
        <v>30</v>
      </c>
      <c r="I599">
        <v>120</v>
      </c>
    </row>
    <row r="600" spans="1:9" x14ac:dyDescent="0.35">
      <c r="A600">
        <v>599</v>
      </c>
      <c r="B600" s="1">
        <v>45249</v>
      </c>
      <c r="C600" t="s">
        <v>612</v>
      </c>
      <c r="D600" t="s">
        <v>13</v>
      </c>
      <c r="E600">
        <v>28</v>
      </c>
      <c r="F600" t="s">
        <v>11</v>
      </c>
      <c r="G600">
        <v>2</v>
      </c>
      <c r="H600">
        <v>50</v>
      </c>
      <c r="I600">
        <v>100</v>
      </c>
    </row>
    <row r="601" spans="1:9" x14ac:dyDescent="0.35">
      <c r="A601">
        <v>600</v>
      </c>
      <c r="B601" s="1">
        <v>45221</v>
      </c>
      <c r="C601" t="s">
        <v>613</v>
      </c>
      <c r="D601" t="s">
        <v>13</v>
      </c>
      <c r="E601">
        <v>59</v>
      </c>
      <c r="F601" t="s">
        <v>11</v>
      </c>
      <c r="G601">
        <v>2</v>
      </c>
      <c r="H601">
        <v>500</v>
      </c>
      <c r="I601">
        <v>1000</v>
      </c>
    </row>
    <row r="602" spans="1:9" x14ac:dyDescent="0.35">
      <c r="A602">
        <v>601</v>
      </c>
      <c r="B602" s="1">
        <v>45026</v>
      </c>
      <c r="C602" t="s">
        <v>614</v>
      </c>
      <c r="D602" t="s">
        <v>10</v>
      </c>
      <c r="E602">
        <v>19</v>
      </c>
      <c r="F602" t="s">
        <v>14</v>
      </c>
      <c r="G602">
        <v>1</v>
      </c>
      <c r="H602">
        <v>30</v>
      </c>
      <c r="I602">
        <v>30</v>
      </c>
    </row>
    <row r="603" spans="1:9" x14ac:dyDescent="0.35">
      <c r="A603">
        <v>602</v>
      </c>
      <c r="B603" s="1">
        <v>45283</v>
      </c>
      <c r="C603" t="s">
        <v>615</v>
      </c>
      <c r="D603" t="s">
        <v>13</v>
      </c>
      <c r="E603">
        <v>20</v>
      </c>
      <c r="F603" t="s">
        <v>16</v>
      </c>
      <c r="G603">
        <v>1</v>
      </c>
      <c r="H603">
        <v>300</v>
      </c>
      <c r="I603">
        <v>300</v>
      </c>
    </row>
    <row r="604" spans="1:9" x14ac:dyDescent="0.35">
      <c r="A604">
        <v>603</v>
      </c>
      <c r="B604" s="1">
        <v>45123</v>
      </c>
      <c r="C604" t="s">
        <v>616</v>
      </c>
      <c r="D604" t="s">
        <v>13</v>
      </c>
      <c r="E604">
        <v>40</v>
      </c>
      <c r="F604" t="s">
        <v>14</v>
      </c>
      <c r="G604">
        <v>3</v>
      </c>
      <c r="H604">
        <v>30</v>
      </c>
      <c r="I604">
        <v>90</v>
      </c>
    </row>
    <row r="605" spans="1:9" x14ac:dyDescent="0.35">
      <c r="A605">
        <v>604</v>
      </c>
      <c r="B605" s="1">
        <v>45180</v>
      </c>
      <c r="C605" t="s">
        <v>617</v>
      </c>
      <c r="D605" t="s">
        <v>13</v>
      </c>
      <c r="E605">
        <v>29</v>
      </c>
      <c r="F605" t="s">
        <v>16</v>
      </c>
      <c r="G605">
        <v>4</v>
      </c>
      <c r="H605">
        <v>50</v>
      </c>
      <c r="I605">
        <v>200</v>
      </c>
    </row>
    <row r="606" spans="1:9" x14ac:dyDescent="0.35">
      <c r="A606">
        <v>605</v>
      </c>
      <c r="B606" s="1">
        <v>45131</v>
      </c>
      <c r="C606" t="s">
        <v>618</v>
      </c>
      <c r="D606" t="s">
        <v>10</v>
      </c>
      <c r="E606">
        <v>37</v>
      </c>
      <c r="F606" t="s">
        <v>16</v>
      </c>
      <c r="G606">
        <v>2</v>
      </c>
      <c r="H606">
        <v>500</v>
      </c>
      <c r="I606">
        <v>1000</v>
      </c>
    </row>
    <row r="607" spans="1:9" x14ac:dyDescent="0.35">
      <c r="A607">
        <v>606</v>
      </c>
      <c r="B607" s="1">
        <v>45051</v>
      </c>
      <c r="C607" t="s">
        <v>619</v>
      </c>
      <c r="D607" t="s">
        <v>10</v>
      </c>
      <c r="E607">
        <v>22</v>
      </c>
      <c r="F607" t="s">
        <v>16</v>
      </c>
      <c r="G607">
        <v>1</v>
      </c>
      <c r="H607">
        <v>50</v>
      </c>
      <c r="I607">
        <v>50</v>
      </c>
    </row>
    <row r="608" spans="1:9" x14ac:dyDescent="0.35">
      <c r="A608">
        <v>607</v>
      </c>
      <c r="B608" s="1">
        <v>45002</v>
      </c>
      <c r="C608" t="s">
        <v>620</v>
      </c>
      <c r="D608" t="s">
        <v>10</v>
      </c>
      <c r="E608">
        <v>54</v>
      </c>
      <c r="F608" t="s">
        <v>14</v>
      </c>
      <c r="G608">
        <v>3</v>
      </c>
      <c r="H608">
        <v>25</v>
      </c>
      <c r="I608">
        <v>75</v>
      </c>
    </row>
    <row r="609" spans="1:9" x14ac:dyDescent="0.35">
      <c r="A609">
        <v>608</v>
      </c>
      <c r="B609" s="1">
        <v>45262</v>
      </c>
      <c r="C609" t="s">
        <v>621</v>
      </c>
      <c r="D609" t="s">
        <v>13</v>
      </c>
      <c r="E609">
        <v>55</v>
      </c>
      <c r="F609" t="s">
        <v>16</v>
      </c>
      <c r="G609">
        <v>3</v>
      </c>
      <c r="H609">
        <v>500</v>
      </c>
      <c r="I609">
        <v>1500</v>
      </c>
    </row>
    <row r="610" spans="1:9" x14ac:dyDescent="0.35">
      <c r="A610">
        <v>609</v>
      </c>
      <c r="B610" s="1">
        <v>45279</v>
      </c>
      <c r="C610" t="s">
        <v>622</v>
      </c>
      <c r="D610" t="s">
        <v>13</v>
      </c>
      <c r="E610">
        <v>47</v>
      </c>
      <c r="F610" t="s">
        <v>14</v>
      </c>
      <c r="G610">
        <v>2</v>
      </c>
      <c r="H610">
        <v>50</v>
      </c>
      <c r="I610">
        <v>100</v>
      </c>
    </row>
    <row r="611" spans="1:9" x14ac:dyDescent="0.35">
      <c r="A611">
        <v>610</v>
      </c>
      <c r="B611" s="1">
        <v>44929</v>
      </c>
      <c r="C611" t="s">
        <v>623</v>
      </c>
      <c r="D611" t="s">
        <v>13</v>
      </c>
      <c r="E611">
        <v>26</v>
      </c>
      <c r="F611" t="s">
        <v>11</v>
      </c>
      <c r="G611">
        <v>2</v>
      </c>
      <c r="H611">
        <v>300</v>
      </c>
      <c r="I611">
        <v>600</v>
      </c>
    </row>
    <row r="612" spans="1:9" x14ac:dyDescent="0.35">
      <c r="A612">
        <v>611</v>
      </c>
      <c r="B612" s="1">
        <v>44981</v>
      </c>
      <c r="C612" t="s">
        <v>624</v>
      </c>
      <c r="D612" t="s">
        <v>10</v>
      </c>
      <c r="E612">
        <v>51</v>
      </c>
      <c r="F612" t="s">
        <v>11</v>
      </c>
      <c r="G612">
        <v>3</v>
      </c>
      <c r="H612">
        <v>500</v>
      </c>
      <c r="I612">
        <v>1500</v>
      </c>
    </row>
    <row r="613" spans="1:9" x14ac:dyDescent="0.35">
      <c r="A613">
        <v>612</v>
      </c>
      <c r="B613" s="1">
        <v>45144</v>
      </c>
      <c r="C613" t="s">
        <v>625</v>
      </c>
      <c r="D613" t="s">
        <v>13</v>
      </c>
      <c r="E613">
        <v>61</v>
      </c>
      <c r="F613" t="s">
        <v>16</v>
      </c>
      <c r="G613">
        <v>1</v>
      </c>
      <c r="H613">
        <v>500</v>
      </c>
      <c r="I613">
        <v>500</v>
      </c>
    </row>
    <row r="614" spans="1:9" x14ac:dyDescent="0.35">
      <c r="A614">
        <v>613</v>
      </c>
      <c r="B614" s="1">
        <v>45039</v>
      </c>
      <c r="C614" t="s">
        <v>626</v>
      </c>
      <c r="D614" t="s">
        <v>13</v>
      </c>
      <c r="E614">
        <v>52</v>
      </c>
      <c r="F614" t="s">
        <v>14</v>
      </c>
      <c r="G614">
        <v>3</v>
      </c>
      <c r="H614">
        <v>30</v>
      </c>
      <c r="I614">
        <v>90</v>
      </c>
    </row>
    <row r="615" spans="1:9" x14ac:dyDescent="0.35">
      <c r="A615">
        <v>614</v>
      </c>
      <c r="B615" s="1">
        <v>45017</v>
      </c>
      <c r="C615" t="s">
        <v>627</v>
      </c>
      <c r="D615" t="s">
        <v>13</v>
      </c>
      <c r="E615">
        <v>39</v>
      </c>
      <c r="F615" t="s">
        <v>11</v>
      </c>
      <c r="G615">
        <v>4</v>
      </c>
      <c r="H615">
        <v>300</v>
      </c>
      <c r="I615">
        <v>1200</v>
      </c>
    </row>
    <row r="616" spans="1:9" x14ac:dyDescent="0.35">
      <c r="A616">
        <v>615</v>
      </c>
      <c r="B616" s="1">
        <v>45283</v>
      </c>
      <c r="C616" t="s">
        <v>628</v>
      </c>
      <c r="D616" t="s">
        <v>13</v>
      </c>
      <c r="E616">
        <v>61</v>
      </c>
      <c r="F616" t="s">
        <v>14</v>
      </c>
      <c r="G616">
        <v>4</v>
      </c>
      <c r="H616">
        <v>25</v>
      </c>
      <c r="I616">
        <v>100</v>
      </c>
    </row>
    <row r="617" spans="1:9" x14ac:dyDescent="0.35">
      <c r="A617">
        <v>616</v>
      </c>
      <c r="B617" s="1">
        <v>45192</v>
      </c>
      <c r="C617" t="s">
        <v>629</v>
      </c>
      <c r="D617" t="s">
        <v>10</v>
      </c>
      <c r="E617">
        <v>41</v>
      </c>
      <c r="F617" t="s">
        <v>14</v>
      </c>
      <c r="G617">
        <v>2</v>
      </c>
      <c r="H617">
        <v>50</v>
      </c>
      <c r="I617">
        <v>100</v>
      </c>
    </row>
    <row r="618" spans="1:9" x14ac:dyDescent="0.35">
      <c r="A618">
        <v>617</v>
      </c>
      <c r="B618" s="1">
        <v>45164</v>
      </c>
      <c r="C618" t="s">
        <v>630</v>
      </c>
      <c r="D618" t="s">
        <v>10</v>
      </c>
      <c r="E618">
        <v>34</v>
      </c>
      <c r="F618" t="s">
        <v>16</v>
      </c>
      <c r="G618">
        <v>1</v>
      </c>
      <c r="H618">
        <v>30</v>
      </c>
      <c r="I618">
        <v>30</v>
      </c>
    </row>
    <row r="619" spans="1:9" x14ac:dyDescent="0.35">
      <c r="A619">
        <v>618</v>
      </c>
      <c r="B619" s="1">
        <v>44952</v>
      </c>
      <c r="C619" t="s">
        <v>631</v>
      </c>
      <c r="D619" t="s">
        <v>13</v>
      </c>
      <c r="E619">
        <v>27</v>
      </c>
      <c r="F619" t="s">
        <v>11</v>
      </c>
      <c r="G619">
        <v>1</v>
      </c>
      <c r="H619">
        <v>50</v>
      </c>
      <c r="I619">
        <v>50</v>
      </c>
    </row>
    <row r="620" spans="1:9" x14ac:dyDescent="0.35">
      <c r="A620">
        <v>619</v>
      </c>
      <c r="B620" s="1">
        <v>45212</v>
      </c>
      <c r="C620" t="s">
        <v>632</v>
      </c>
      <c r="D620" t="s">
        <v>10</v>
      </c>
      <c r="E620">
        <v>47</v>
      </c>
      <c r="F620" t="s">
        <v>16</v>
      </c>
      <c r="G620">
        <v>4</v>
      </c>
      <c r="H620">
        <v>25</v>
      </c>
      <c r="I620">
        <v>100</v>
      </c>
    </row>
    <row r="621" spans="1:9" x14ac:dyDescent="0.35">
      <c r="A621">
        <v>620</v>
      </c>
      <c r="B621" s="1">
        <v>45054</v>
      </c>
      <c r="C621" t="s">
        <v>633</v>
      </c>
      <c r="D621" t="s">
        <v>10</v>
      </c>
      <c r="E621">
        <v>63</v>
      </c>
      <c r="F621" t="s">
        <v>16</v>
      </c>
      <c r="G621">
        <v>3</v>
      </c>
      <c r="H621">
        <v>25</v>
      </c>
      <c r="I621">
        <v>75</v>
      </c>
    </row>
    <row r="622" spans="1:9" x14ac:dyDescent="0.35">
      <c r="A622">
        <v>621</v>
      </c>
      <c r="B622" s="1">
        <v>44989</v>
      </c>
      <c r="C622" t="s">
        <v>634</v>
      </c>
      <c r="D622" t="s">
        <v>13</v>
      </c>
      <c r="E622">
        <v>40</v>
      </c>
      <c r="F622" t="s">
        <v>11</v>
      </c>
      <c r="G622">
        <v>2</v>
      </c>
      <c r="H622">
        <v>500</v>
      </c>
      <c r="I622">
        <v>1000</v>
      </c>
    </row>
    <row r="623" spans="1:9" x14ac:dyDescent="0.35">
      <c r="A623">
        <v>622</v>
      </c>
      <c r="B623" s="1">
        <v>45160</v>
      </c>
      <c r="C623" t="s">
        <v>635</v>
      </c>
      <c r="D623" t="s">
        <v>13</v>
      </c>
      <c r="E623">
        <v>49</v>
      </c>
      <c r="F623" t="s">
        <v>11</v>
      </c>
      <c r="G623">
        <v>3</v>
      </c>
      <c r="H623">
        <v>25</v>
      </c>
      <c r="I623">
        <v>75</v>
      </c>
    </row>
    <row r="624" spans="1:9" x14ac:dyDescent="0.35">
      <c r="A624">
        <v>623</v>
      </c>
      <c r="B624" s="1">
        <v>44995</v>
      </c>
      <c r="C624" t="s">
        <v>636</v>
      </c>
      <c r="D624" t="s">
        <v>10</v>
      </c>
      <c r="E624">
        <v>34</v>
      </c>
      <c r="F624" t="s">
        <v>14</v>
      </c>
      <c r="G624">
        <v>3</v>
      </c>
      <c r="H624">
        <v>50</v>
      </c>
      <c r="I624">
        <v>150</v>
      </c>
    </row>
    <row r="625" spans="1:9" x14ac:dyDescent="0.35">
      <c r="A625">
        <v>624</v>
      </c>
      <c r="B625" s="1">
        <v>45164</v>
      </c>
      <c r="C625" t="s">
        <v>637</v>
      </c>
      <c r="D625" t="s">
        <v>13</v>
      </c>
      <c r="E625">
        <v>34</v>
      </c>
      <c r="F625" t="s">
        <v>11</v>
      </c>
      <c r="G625">
        <v>3</v>
      </c>
      <c r="H625">
        <v>300</v>
      </c>
      <c r="I625">
        <v>900</v>
      </c>
    </row>
    <row r="626" spans="1:9" x14ac:dyDescent="0.35">
      <c r="A626">
        <v>625</v>
      </c>
      <c r="B626" s="1">
        <v>45268</v>
      </c>
      <c r="C626" t="s">
        <v>638</v>
      </c>
      <c r="D626" t="s">
        <v>10</v>
      </c>
      <c r="E626">
        <v>31</v>
      </c>
      <c r="F626" t="s">
        <v>14</v>
      </c>
      <c r="G626">
        <v>1</v>
      </c>
      <c r="H626">
        <v>300</v>
      </c>
      <c r="I626">
        <v>300</v>
      </c>
    </row>
    <row r="627" spans="1:9" x14ac:dyDescent="0.35">
      <c r="A627">
        <v>626</v>
      </c>
      <c r="B627" s="1">
        <v>45198</v>
      </c>
      <c r="C627" t="s">
        <v>639</v>
      </c>
      <c r="D627" t="s">
        <v>13</v>
      </c>
      <c r="E627">
        <v>26</v>
      </c>
      <c r="F627" t="s">
        <v>14</v>
      </c>
      <c r="G627">
        <v>4</v>
      </c>
      <c r="H627">
        <v>500</v>
      </c>
      <c r="I627">
        <v>2000</v>
      </c>
    </row>
    <row r="628" spans="1:9" x14ac:dyDescent="0.35">
      <c r="A628">
        <v>627</v>
      </c>
      <c r="B628" s="1">
        <v>45213</v>
      </c>
      <c r="C628" t="s">
        <v>640</v>
      </c>
      <c r="D628" t="s">
        <v>10</v>
      </c>
      <c r="E628">
        <v>57</v>
      </c>
      <c r="F628" t="s">
        <v>14</v>
      </c>
      <c r="G628">
        <v>1</v>
      </c>
      <c r="H628">
        <v>50</v>
      </c>
      <c r="I628">
        <v>50</v>
      </c>
    </row>
    <row r="629" spans="1:9" x14ac:dyDescent="0.35">
      <c r="A629">
        <v>628</v>
      </c>
      <c r="B629" s="1">
        <v>45231</v>
      </c>
      <c r="C629" t="s">
        <v>641</v>
      </c>
      <c r="D629" t="s">
        <v>13</v>
      </c>
      <c r="E629">
        <v>19</v>
      </c>
      <c r="F629" t="s">
        <v>11</v>
      </c>
      <c r="G629">
        <v>4</v>
      </c>
      <c r="H629">
        <v>50</v>
      </c>
      <c r="I629">
        <v>200</v>
      </c>
    </row>
    <row r="630" spans="1:9" x14ac:dyDescent="0.35">
      <c r="A630">
        <v>629</v>
      </c>
      <c r="B630" s="1">
        <v>45089</v>
      </c>
      <c r="C630" t="s">
        <v>642</v>
      </c>
      <c r="D630" t="s">
        <v>10</v>
      </c>
      <c r="E630">
        <v>62</v>
      </c>
      <c r="F630" t="s">
        <v>16</v>
      </c>
      <c r="G630">
        <v>2</v>
      </c>
      <c r="H630">
        <v>25</v>
      </c>
      <c r="I630">
        <v>50</v>
      </c>
    </row>
    <row r="631" spans="1:9" x14ac:dyDescent="0.35">
      <c r="A631">
        <v>630</v>
      </c>
      <c r="B631" s="1">
        <v>45153</v>
      </c>
      <c r="C631" t="s">
        <v>643</v>
      </c>
      <c r="D631" t="s">
        <v>10</v>
      </c>
      <c r="E631">
        <v>42</v>
      </c>
      <c r="F631" t="s">
        <v>14</v>
      </c>
      <c r="G631">
        <v>2</v>
      </c>
      <c r="H631">
        <v>50</v>
      </c>
      <c r="I631">
        <v>100</v>
      </c>
    </row>
    <row r="632" spans="1:9" x14ac:dyDescent="0.35">
      <c r="A632">
        <v>631</v>
      </c>
      <c r="B632" s="1">
        <v>45240</v>
      </c>
      <c r="C632" t="s">
        <v>644</v>
      </c>
      <c r="D632" t="s">
        <v>10</v>
      </c>
      <c r="E632">
        <v>56</v>
      </c>
      <c r="F632" t="s">
        <v>16</v>
      </c>
      <c r="G632">
        <v>3</v>
      </c>
      <c r="H632">
        <v>30</v>
      </c>
      <c r="I632">
        <v>90</v>
      </c>
    </row>
    <row r="633" spans="1:9" x14ac:dyDescent="0.35">
      <c r="A633">
        <v>632</v>
      </c>
      <c r="B633" s="1">
        <v>45185</v>
      </c>
      <c r="C633" t="s">
        <v>645</v>
      </c>
      <c r="D633" t="s">
        <v>13</v>
      </c>
      <c r="E633">
        <v>26</v>
      </c>
      <c r="F633" t="s">
        <v>16</v>
      </c>
      <c r="G633">
        <v>4</v>
      </c>
      <c r="H633">
        <v>25</v>
      </c>
      <c r="I633">
        <v>100</v>
      </c>
    </row>
    <row r="634" spans="1:9" x14ac:dyDescent="0.35">
      <c r="A634">
        <v>633</v>
      </c>
      <c r="B634" s="1">
        <v>45145</v>
      </c>
      <c r="C634" t="s">
        <v>646</v>
      </c>
      <c r="D634" t="s">
        <v>10</v>
      </c>
      <c r="E634">
        <v>39</v>
      </c>
      <c r="F634" t="s">
        <v>11</v>
      </c>
      <c r="G634">
        <v>4</v>
      </c>
      <c r="H634">
        <v>30</v>
      </c>
      <c r="I634">
        <v>120</v>
      </c>
    </row>
    <row r="635" spans="1:9" x14ac:dyDescent="0.35">
      <c r="A635">
        <v>634</v>
      </c>
      <c r="B635" s="1">
        <v>45207</v>
      </c>
      <c r="C635" t="s">
        <v>647</v>
      </c>
      <c r="D635" t="s">
        <v>10</v>
      </c>
      <c r="E635">
        <v>60</v>
      </c>
      <c r="F635" t="s">
        <v>16</v>
      </c>
      <c r="G635">
        <v>4</v>
      </c>
      <c r="H635">
        <v>500</v>
      </c>
      <c r="I635">
        <v>2000</v>
      </c>
    </row>
    <row r="636" spans="1:9" x14ac:dyDescent="0.35">
      <c r="A636">
        <v>635</v>
      </c>
      <c r="B636" s="1">
        <v>45155</v>
      </c>
      <c r="C636" t="s">
        <v>648</v>
      </c>
      <c r="D636" t="s">
        <v>13</v>
      </c>
      <c r="E636">
        <v>63</v>
      </c>
      <c r="F636" t="s">
        <v>16</v>
      </c>
      <c r="G636">
        <v>3</v>
      </c>
      <c r="H636">
        <v>300</v>
      </c>
      <c r="I636">
        <v>900</v>
      </c>
    </row>
    <row r="637" spans="1:9" x14ac:dyDescent="0.35">
      <c r="A637">
        <v>636</v>
      </c>
      <c r="B637" s="1">
        <v>45008</v>
      </c>
      <c r="C637" t="s">
        <v>649</v>
      </c>
      <c r="D637" t="s">
        <v>13</v>
      </c>
      <c r="E637">
        <v>21</v>
      </c>
      <c r="F637" t="s">
        <v>11</v>
      </c>
      <c r="G637">
        <v>3</v>
      </c>
      <c r="H637">
        <v>500</v>
      </c>
      <c r="I637">
        <v>1500</v>
      </c>
    </row>
    <row r="638" spans="1:9" x14ac:dyDescent="0.35">
      <c r="A638">
        <v>637</v>
      </c>
      <c r="B638" s="1">
        <v>45170</v>
      </c>
      <c r="C638" t="s">
        <v>650</v>
      </c>
      <c r="D638" t="s">
        <v>10</v>
      </c>
      <c r="E638">
        <v>43</v>
      </c>
      <c r="F638" t="s">
        <v>14</v>
      </c>
      <c r="G638">
        <v>2</v>
      </c>
      <c r="H638">
        <v>300</v>
      </c>
      <c r="I638">
        <v>600</v>
      </c>
    </row>
    <row r="639" spans="1:9" x14ac:dyDescent="0.35">
      <c r="A639">
        <v>638</v>
      </c>
      <c r="B639" s="1">
        <v>45157</v>
      </c>
      <c r="C639" t="s">
        <v>651</v>
      </c>
      <c r="D639" t="s">
        <v>10</v>
      </c>
      <c r="E639">
        <v>46</v>
      </c>
      <c r="F639" t="s">
        <v>16</v>
      </c>
      <c r="G639">
        <v>1</v>
      </c>
      <c r="H639">
        <v>500</v>
      </c>
      <c r="I639">
        <v>500</v>
      </c>
    </row>
    <row r="640" spans="1:9" x14ac:dyDescent="0.35">
      <c r="A640">
        <v>639</v>
      </c>
      <c r="B640" s="1">
        <v>45059</v>
      </c>
      <c r="C640" t="s">
        <v>652</v>
      </c>
      <c r="D640" t="s">
        <v>13</v>
      </c>
      <c r="E640">
        <v>62</v>
      </c>
      <c r="F640" t="s">
        <v>11</v>
      </c>
      <c r="G640">
        <v>4</v>
      </c>
      <c r="H640">
        <v>50</v>
      </c>
      <c r="I640">
        <v>200</v>
      </c>
    </row>
    <row r="641" spans="1:9" x14ac:dyDescent="0.35">
      <c r="A641">
        <v>640</v>
      </c>
      <c r="B641" s="1">
        <v>45053</v>
      </c>
      <c r="C641" t="s">
        <v>653</v>
      </c>
      <c r="D641" t="s">
        <v>13</v>
      </c>
      <c r="E641">
        <v>51</v>
      </c>
      <c r="F641" t="s">
        <v>16</v>
      </c>
      <c r="G641">
        <v>4</v>
      </c>
      <c r="H641">
        <v>30</v>
      </c>
      <c r="I641">
        <v>120</v>
      </c>
    </row>
    <row r="642" spans="1:9" x14ac:dyDescent="0.35">
      <c r="A642">
        <v>641</v>
      </c>
      <c r="B642" s="1">
        <v>45253</v>
      </c>
      <c r="C642" t="s">
        <v>654</v>
      </c>
      <c r="D642" t="s">
        <v>13</v>
      </c>
      <c r="E642">
        <v>40</v>
      </c>
      <c r="F642" t="s">
        <v>16</v>
      </c>
      <c r="G642">
        <v>1</v>
      </c>
      <c r="H642">
        <v>300</v>
      </c>
      <c r="I642">
        <v>300</v>
      </c>
    </row>
    <row r="643" spans="1:9" x14ac:dyDescent="0.35">
      <c r="A643">
        <v>642</v>
      </c>
      <c r="B643" s="1">
        <v>45068</v>
      </c>
      <c r="C643" t="s">
        <v>655</v>
      </c>
      <c r="D643" t="s">
        <v>13</v>
      </c>
      <c r="E643">
        <v>54</v>
      </c>
      <c r="F643" t="s">
        <v>14</v>
      </c>
      <c r="G643">
        <v>4</v>
      </c>
      <c r="H643">
        <v>25</v>
      </c>
      <c r="I643">
        <v>100</v>
      </c>
    </row>
    <row r="644" spans="1:9" x14ac:dyDescent="0.35">
      <c r="A644">
        <v>643</v>
      </c>
      <c r="B644" s="1">
        <v>45193</v>
      </c>
      <c r="C644" t="s">
        <v>656</v>
      </c>
      <c r="D644" t="s">
        <v>13</v>
      </c>
      <c r="E644">
        <v>28</v>
      </c>
      <c r="F644" t="s">
        <v>16</v>
      </c>
      <c r="G644">
        <v>3</v>
      </c>
      <c r="H644">
        <v>30</v>
      </c>
      <c r="I644">
        <v>90</v>
      </c>
    </row>
    <row r="645" spans="1:9" x14ac:dyDescent="0.35">
      <c r="A645">
        <v>644</v>
      </c>
      <c r="B645" s="1">
        <v>45175</v>
      </c>
      <c r="C645" t="s">
        <v>657</v>
      </c>
      <c r="D645" t="s">
        <v>10</v>
      </c>
      <c r="E645">
        <v>23</v>
      </c>
      <c r="F645" t="s">
        <v>11</v>
      </c>
      <c r="G645">
        <v>3</v>
      </c>
      <c r="H645">
        <v>25</v>
      </c>
      <c r="I645">
        <v>75</v>
      </c>
    </row>
    <row r="646" spans="1:9" x14ac:dyDescent="0.35">
      <c r="A646">
        <v>645</v>
      </c>
      <c r="B646" s="1">
        <v>45247</v>
      </c>
      <c r="C646" t="s">
        <v>658</v>
      </c>
      <c r="D646" t="s">
        <v>13</v>
      </c>
      <c r="E646">
        <v>35</v>
      </c>
      <c r="F646" t="s">
        <v>16</v>
      </c>
      <c r="G646">
        <v>4</v>
      </c>
      <c r="H646">
        <v>30</v>
      </c>
      <c r="I646">
        <v>120</v>
      </c>
    </row>
    <row r="647" spans="1:9" x14ac:dyDescent="0.35">
      <c r="A647">
        <v>646</v>
      </c>
      <c r="B647" s="1">
        <v>45049</v>
      </c>
      <c r="C647" t="s">
        <v>659</v>
      </c>
      <c r="D647" t="s">
        <v>10</v>
      </c>
      <c r="E647">
        <v>38</v>
      </c>
      <c r="F647" t="s">
        <v>14</v>
      </c>
      <c r="G647">
        <v>3</v>
      </c>
      <c r="H647">
        <v>30</v>
      </c>
      <c r="I647">
        <v>90</v>
      </c>
    </row>
    <row r="648" spans="1:9" x14ac:dyDescent="0.35">
      <c r="A648">
        <v>647</v>
      </c>
      <c r="B648" s="1">
        <v>45067</v>
      </c>
      <c r="C648" t="s">
        <v>660</v>
      </c>
      <c r="D648" t="s">
        <v>10</v>
      </c>
      <c r="E648">
        <v>59</v>
      </c>
      <c r="F648" t="s">
        <v>14</v>
      </c>
      <c r="G648">
        <v>3</v>
      </c>
      <c r="H648">
        <v>500</v>
      </c>
      <c r="I648">
        <v>1500</v>
      </c>
    </row>
    <row r="649" spans="1:9" x14ac:dyDescent="0.35">
      <c r="A649">
        <v>648</v>
      </c>
      <c r="B649" s="1">
        <v>45152</v>
      </c>
      <c r="C649" t="s">
        <v>661</v>
      </c>
      <c r="D649" t="s">
        <v>10</v>
      </c>
      <c r="E649">
        <v>53</v>
      </c>
      <c r="F649" t="s">
        <v>11</v>
      </c>
      <c r="G649">
        <v>4</v>
      </c>
      <c r="H649">
        <v>300</v>
      </c>
      <c r="I649">
        <v>1200</v>
      </c>
    </row>
    <row r="650" spans="1:9" x14ac:dyDescent="0.35">
      <c r="A650">
        <v>649</v>
      </c>
      <c r="B650" s="1">
        <v>44966</v>
      </c>
      <c r="C650" t="s">
        <v>662</v>
      </c>
      <c r="D650" t="s">
        <v>13</v>
      </c>
      <c r="E650">
        <v>58</v>
      </c>
      <c r="F650" t="s">
        <v>14</v>
      </c>
      <c r="G650">
        <v>2</v>
      </c>
      <c r="H650">
        <v>300</v>
      </c>
      <c r="I650">
        <v>600</v>
      </c>
    </row>
    <row r="651" spans="1:9" x14ac:dyDescent="0.35">
      <c r="A651">
        <v>650</v>
      </c>
      <c r="B651" s="1">
        <v>45292</v>
      </c>
      <c r="C651" t="s">
        <v>663</v>
      </c>
      <c r="D651" t="s">
        <v>10</v>
      </c>
      <c r="E651">
        <v>55</v>
      </c>
      <c r="F651" t="s">
        <v>16</v>
      </c>
      <c r="G651">
        <v>1</v>
      </c>
      <c r="H651">
        <v>30</v>
      </c>
      <c r="I651">
        <v>30</v>
      </c>
    </row>
    <row r="652" spans="1:9" x14ac:dyDescent="0.35">
      <c r="A652">
        <v>651</v>
      </c>
      <c r="B652" s="1">
        <v>45073</v>
      </c>
      <c r="C652" t="s">
        <v>664</v>
      </c>
      <c r="D652" t="s">
        <v>10</v>
      </c>
      <c r="E652">
        <v>51</v>
      </c>
      <c r="F652" t="s">
        <v>14</v>
      </c>
      <c r="G652">
        <v>3</v>
      </c>
      <c r="H652">
        <v>50</v>
      </c>
      <c r="I652">
        <v>150</v>
      </c>
    </row>
    <row r="653" spans="1:9" x14ac:dyDescent="0.35">
      <c r="A653">
        <v>652</v>
      </c>
      <c r="B653" s="1">
        <v>45047</v>
      </c>
      <c r="C653" t="s">
        <v>665</v>
      </c>
      <c r="D653" t="s">
        <v>13</v>
      </c>
      <c r="E653">
        <v>34</v>
      </c>
      <c r="F653" t="s">
        <v>11</v>
      </c>
      <c r="G653">
        <v>2</v>
      </c>
      <c r="H653">
        <v>50</v>
      </c>
      <c r="I653">
        <v>100</v>
      </c>
    </row>
    <row r="654" spans="1:9" x14ac:dyDescent="0.35">
      <c r="A654">
        <v>653</v>
      </c>
      <c r="B654" s="1">
        <v>45066</v>
      </c>
      <c r="C654" t="s">
        <v>666</v>
      </c>
      <c r="D654" t="s">
        <v>10</v>
      </c>
      <c r="E654">
        <v>54</v>
      </c>
      <c r="F654" t="s">
        <v>14</v>
      </c>
      <c r="G654">
        <v>3</v>
      </c>
      <c r="H654">
        <v>25</v>
      </c>
      <c r="I654">
        <v>75</v>
      </c>
    </row>
    <row r="655" spans="1:9" x14ac:dyDescent="0.35">
      <c r="A655">
        <v>654</v>
      </c>
      <c r="B655" s="1">
        <v>45098</v>
      </c>
      <c r="C655" t="s">
        <v>667</v>
      </c>
      <c r="D655" t="s">
        <v>10</v>
      </c>
      <c r="E655">
        <v>42</v>
      </c>
      <c r="F655" t="s">
        <v>14</v>
      </c>
      <c r="G655">
        <v>3</v>
      </c>
      <c r="H655">
        <v>25</v>
      </c>
      <c r="I655">
        <v>75</v>
      </c>
    </row>
    <row r="656" spans="1:9" x14ac:dyDescent="0.35">
      <c r="A656">
        <v>655</v>
      </c>
      <c r="B656" s="1">
        <v>45090</v>
      </c>
      <c r="C656" t="s">
        <v>668</v>
      </c>
      <c r="D656" t="s">
        <v>13</v>
      </c>
      <c r="E656">
        <v>55</v>
      </c>
      <c r="F656" t="s">
        <v>14</v>
      </c>
      <c r="G656">
        <v>1</v>
      </c>
      <c r="H656">
        <v>500</v>
      </c>
      <c r="I656">
        <v>500</v>
      </c>
    </row>
    <row r="657" spans="1:9" x14ac:dyDescent="0.35">
      <c r="A657">
        <v>656</v>
      </c>
      <c r="B657" s="1">
        <v>45203</v>
      </c>
      <c r="C657" t="s">
        <v>669</v>
      </c>
      <c r="D657" t="s">
        <v>10</v>
      </c>
      <c r="E657">
        <v>29</v>
      </c>
      <c r="F657" t="s">
        <v>11</v>
      </c>
      <c r="G657">
        <v>3</v>
      </c>
      <c r="H657">
        <v>30</v>
      </c>
      <c r="I657">
        <v>90</v>
      </c>
    </row>
    <row r="658" spans="1:9" x14ac:dyDescent="0.35">
      <c r="A658">
        <v>657</v>
      </c>
      <c r="B658" s="1">
        <v>44968</v>
      </c>
      <c r="C658" t="s">
        <v>670</v>
      </c>
      <c r="D658" t="s">
        <v>10</v>
      </c>
      <c r="E658">
        <v>40</v>
      </c>
      <c r="F658" t="s">
        <v>14</v>
      </c>
      <c r="G658">
        <v>1</v>
      </c>
      <c r="H658">
        <v>25</v>
      </c>
      <c r="I658">
        <v>25</v>
      </c>
    </row>
    <row r="659" spans="1:9" x14ac:dyDescent="0.35">
      <c r="A659">
        <v>658</v>
      </c>
      <c r="B659" s="1">
        <v>44997</v>
      </c>
      <c r="C659" t="s">
        <v>671</v>
      </c>
      <c r="D659" t="s">
        <v>10</v>
      </c>
      <c r="E659">
        <v>59</v>
      </c>
      <c r="F659" t="s">
        <v>14</v>
      </c>
      <c r="G659">
        <v>1</v>
      </c>
      <c r="H659">
        <v>25</v>
      </c>
      <c r="I659">
        <v>25</v>
      </c>
    </row>
    <row r="660" spans="1:9" x14ac:dyDescent="0.35">
      <c r="A660">
        <v>659</v>
      </c>
      <c r="B660" s="1">
        <v>45004</v>
      </c>
      <c r="C660" t="s">
        <v>672</v>
      </c>
      <c r="D660" t="s">
        <v>13</v>
      </c>
      <c r="E660">
        <v>39</v>
      </c>
      <c r="F660" t="s">
        <v>16</v>
      </c>
      <c r="G660">
        <v>1</v>
      </c>
      <c r="H660">
        <v>30</v>
      </c>
      <c r="I660">
        <v>30</v>
      </c>
    </row>
    <row r="661" spans="1:9" x14ac:dyDescent="0.35">
      <c r="A661">
        <v>660</v>
      </c>
      <c r="B661" s="1">
        <v>45045</v>
      </c>
      <c r="C661" t="s">
        <v>673</v>
      </c>
      <c r="D661" t="s">
        <v>13</v>
      </c>
      <c r="E661">
        <v>38</v>
      </c>
      <c r="F661" t="s">
        <v>11</v>
      </c>
      <c r="G661">
        <v>2</v>
      </c>
      <c r="H661">
        <v>500</v>
      </c>
      <c r="I661">
        <v>1000</v>
      </c>
    </row>
    <row r="662" spans="1:9" x14ac:dyDescent="0.35">
      <c r="A662">
        <v>661</v>
      </c>
      <c r="B662" s="1">
        <v>45123</v>
      </c>
      <c r="C662" t="s">
        <v>674</v>
      </c>
      <c r="D662" t="s">
        <v>13</v>
      </c>
      <c r="E662">
        <v>44</v>
      </c>
      <c r="F662" t="s">
        <v>14</v>
      </c>
      <c r="G662">
        <v>4</v>
      </c>
      <c r="H662">
        <v>25</v>
      </c>
      <c r="I662">
        <v>100</v>
      </c>
    </row>
    <row r="663" spans="1:9" x14ac:dyDescent="0.35">
      <c r="A663">
        <v>662</v>
      </c>
      <c r="B663" s="1">
        <v>45282</v>
      </c>
      <c r="C663" t="s">
        <v>675</v>
      </c>
      <c r="D663" t="s">
        <v>10</v>
      </c>
      <c r="E663">
        <v>48</v>
      </c>
      <c r="F663" t="s">
        <v>11</v>
      </c>
      <c r="G663">
        <v>2</v>
      </c>
      <c r="H663">
        <v>500</v>
      </c>
      <c r="I663">
        <v>1000</v>
      </c>
    </row>
    <row r="664" spans="1:9" x14ac:dyDescent="0.35">
      <c r="A664">
        <v>663</v>
      </c>
      <c r="B664" s="1">
        <v>45005</v>
      </c>
      <c r="C664" t="s">
        <v>676</v>
      </c>
      <c r="D664" t="s">
        <v>10</v>
      </c>
      <c r="E664">
        <v>23</v>
      </c>
      <c r="F664" t="s">
        <v>14</v>
      </c>
      <c r="G664">
        <v>4</v>
      </c>
      <c r="H664">
        <v>300</v>
      </c>
      <c r="I664">
        <v>1200</v>
      </c>
    </row>
    <row r="665" spans="1:9" x14ac:dyDescent="0.35">
      <c r="A665">
        <v>664</v>
      </c>
      <c r="B665" s="1">
        <v>45288</v>
      </c>
      <c r="C665" t="s">
        <v>677</v>
      </c>
      <c r="D665" t="s">
        <v>13</v>
      </c>
      <c r="E665">
        <v>44</v>
      </c>
      <c r="F665" t="s">
        <v>14</v>
      </c>
      <c r="G665">
        <v>4</v>
      </c>
      <c r="H665">
        <v>500</v>
      </c>
      <c r="I665">
        <v>2000</v>
      </c>
    </row>
    <row r="666" spans="1:9" x14ac:dyDescent="0.35">
      <c r="A666">
        <v>665</v>
      </c>
      <c r="B666" s="1">
        <v>45036</v>
      </c>
      <c r="C666" t="s">
        <v>678</v>
      </c>
      <c r="D666" t="s">
        <v>10</v>
      </c>
      <c r="E666">
        <v>57</v>
      </c>
      <c r="F666" t="s">
        <v>14</v>
      </c>
      <c r="G666">
        <v>1</v>
      </c>
      <c r="H666">
        <v>50</v>
      </c>
      <c r="I666">
        <v>50</v>
      </c>
    </row>
    <row r="667" spans="1:9" x14ac:dyDescent="0.35">
      <c r="A667">
        <v>666</v>
      </c>
      <c r="B667" s="1">
        <v>44959</v>
      </c>
      <c r="C667" t="s">
        <v>679</v>
      </c>
      <c r="D667" t="s">
        <v>10</v>
      </c>
      <c r="E667">
        <v>51</v>
      </c>
      <c r="F667" t="s">
        <v>16</v>
      </c>
      <c r="G667">
        <v>3</v>
      </c>
      <c r="H667">
        <v>50</v>
      </c>
      <c r="I667">
        <v>150</v>
      </c>
    </row>
    <row r="668" spans="1:9" x14ac:dyDescent="0.35">
      <c r="A668">
        <v>667</v>
      </c>
      <c r="B668" s="1">
        <v>45139</v>
      </c>
      <c r="C668" t="s">
        <v>680</v>
      </c>
      <c r="D668" t="s">
        <v>13</v>
      </c>
      <c r="E668">
        <v>29</v>
      </c>
      <c r="F668" t="s">
        <v>16</v>
      </c>
      <c r="G668">
        <v>1</v>
      </c>
      <c r="H668">
        <v>500</v>
      </c>
      <c r="I668">
        <v>500</v>
      </c>
    </row>
    <row r="669" spans="1:9" x14ac:dyDescent="0.35">
      <c r="A669">
        <v>668</v>
      </c>
      <c r="B669" s="1">
        <v>45135</v>
      </c>
      <c r="C669" t="s">
        <v>681</v>
      </c>
      <c r="D669" t="s">
        <v>13</v>
      </c>
      <c r="E669">
        <v>62</v>
      </c>
      <c r="F669" t="s">
        <v>16</v>
      </c>
      <c r="G669">
        <v>3</v>
      </c>
      <c r="H669">
        <v>50</v>
      </c>
      <c r="I669">
        <v>150</v>
      </c>
    </row>
    <row r="670" spans="1:9" x14ac:dyDescent="0.35">
      <c r="A670">
        <v>669</v>
      </c>
      <c r="B670" s="1">
        <v>45096</v>
      </c>
      <c r="C670" t="s">
        <v>682</v>
      </c>
      <c r="D670" t="s">
        <v>10</v>
      </c>
      <c r="E670">
        <v>24</v>
      </c>
      <c r="F670" t="s">
        <v>11</v>
      </c>
      <c r="G670">
        <v>4</v>
      </c>
      <c r="H670">
        <v>300</v>
      </c>
      <c r="I670">
        <v>1200</v>
      </c>
    </row>
    <row r="671" spans="1:9" x14ac:dyDescent="0.35">
      <c r="A671">
        <v>670</v>
      </c>
      <c r="B671" s="1">
        <v>45204</v>
      </c>
      <c r="C671" t="s">
        <v>683</v>
      </c>
      <c r="D671" t="s">
        <v>10</v>
      </c>
      <c r="E671">
        <v>27</v>
      </c>
      <c r="F671" t="s">
        <v>11</v>
      </c>
      <c r="G671">
        <v>1</v>
      </c>
      <c r="H671">
        <v>30</v>
      </c>
      <c r="I671">
        <v>30</v>
      </c>
    </row>
    <row r="672" spans="1:9" x14ac:dyDescent="0.35">
      <c r="A672">
        <v>671</v>
      </c>
      <c r="B672" s="1">
        <v>45165</v>
      </c>
      <c r="C672" t="s">
        <v>684</v>
      </c>
      <c r="D672" t="s">
        <v>10</v>
      </c>
      <c r="E672">
        <v>62</v>
      </c>
      <c r="F672" t="s">
        <v>16</v>
      </c>
      <c r="G672">
        <v>3</v>
      </c>
      <c r="H672">
        <v>50</v>
      </c>
      <c r="I672">
        <v>150</v>
      </c>
    </row>
    <row r="673" spans="1:9" x14ac:dyDescent="0.35">
      <c r="A673">
        <v>672</v>
      </c>
      <c r="B673" s="1">
        <v>45139</v>
      </c>
      <c r="C673" t="s">
        <v>685</v>
      </c>
      <c r="D673" t="s">
        <v>13</v>
      </c>
      <c r="E673">
        <v>34</v>
      </c>
      <c r="F673" t="s">
        <v>11</v>
      </c>
      <c r="G673">
        <v>2</v>
      </c>
      <c r="H673">
        <v>50</v>
      </c>
      <c r="I673">
        <v>100</v>
      </c>
    </row>
    <row r="674" spans="1:9" x14ac:dyDescent="0.35">
      <c r="A674">
        <v>673</v>
      </c>
      <c r="B674" s="1">
        <v>44958</v>
      </c>
      <c r="C674" t="s">
        <v>686</v>
      </c>
      <c r="D674" t="s">
        <v>13</v>
      </c>
      <c r="E674">
        <v>43</v>
      </c>
      <c r="F674" t="s">
        <v>14</v>
      </c>
      <c r="G674">
        <v>3</v>
      </c>
      <c r="H674">
        <v>500</v>
      </c>
      <c r="I674">
        <v>1500</v>
      </c>
    </row>
    <row r="675" spans="1:9" x14ac:dyDescent="0.35">
      <c r="A675">
        <v>674</v>
      </c>
      <c r="B675" s="1">
        <v>45032</v>
      </c>
      <c r="C675" t="s">
        <v>687</v>
      </c>
      <c r="D675" t="s">
        <v>13</v>
      </c>
      <c r="E675">
        <v>38</v>
      </c>
      <c r="F675" t="s">
        <v>14</v>
      </c>
      <c r="G675">
        <v>1</v>
      </c>
      <c r="H675">
        <v>300</v>
      </c>
      <c r="I675">
        <v>300</v>
      </c>
    </row>
    <row r="676" spans="1:9" x14ac:dyDescent="0.35">
      <c r="A676">
        <v>675</v>
      </c>
      <c r="B676" s="1">
        <v>45142</v>
      </c>
      <c r="C676" t="s">
        <v>688</v>
      </c>
      <c r="D676" t="s">
        <v>13</v>
      </c>
      <c r="E676">
        <v>45</v>
      </c>
      <c r="F676" t="s">
        <v>14</v>
      </c>
      <c r="G676">
        <v>2</v>
      </c>
      <c r="H676">
        <v>30</v>
      </c>
      <c r="I676">
        <v>60</v>
      </c>
    </row>
    <row r="677" spans="1:9" x14ac:dyDescent="0.35">
      <c r="A677">
        <v>676</v>
      </c>
      <c r="B677" s="1">
        <v>45126</v>
      </c>
      <c r="C677" t="s">
        <v>689</v>
      </c>
      <c r="D677" t="s">
        <v>10</v>
      </c>
      <c r="E677">
        <v>63</v>
      </c>
      <c r="F677" t="s">
        <v>16</v>
      </c>
      <c r="G677">
        <v>3</v>
      </c>
      <c r="H677">
        <v>500</v>
      </c>
      <c r="I677">
        <v>1500</v>
      </c>
    </row>
    <row r="678" spans="1:9" x14ac:dyDescent="0.35">
      <c r="A678">
        <v>677</v>
      </c>
      <c r="B678" s="1">
        <v>45226</v>
      </c>
      <c r="C678" t="s">
        <v>690</v>
      </c>
      <c r="D678" t="s">
        <v>13</v>
      </c>
      <c r="E678">
        <v>19</v>
      </c>
      <c r="F678" t="s">
        <v>11</v>
      </c>
      <c r="G678">
        <v>3</v>
      </c>
      <c r="H678">
        <v>500</v>
      </c>
      <c r="I678">
        <v>1500</v>
      </c>
    </row>
    <row r="679" spans="1:9" x14ac:dyDescent="0.35">
      <c r="A679">
        <v>678</v>
      </c>
      <c r="B679" s="1">
        <v>45283</v>
      </c>
      <c r="C679" t="s">
        <v>691</v>
      </c>
      <c r="D679" t="s">
        <v>13</v>
      </c>
      <c r="E679">
        <v>60</v>
      </c>
      <c r="F679" t="s">
        <v>16</v>
      </c>
      <c r="G679">
        <v>3</v>
      </c>
      <c r="H679">
        <v>300</v>
      </c>
      <c r="I679">
        <v>900</v>
      </c>
    </row>
    <row r="680" spans="1:9" x14ac:dyDescent="0.35">
      <c r="A680">
        <v>679</v>
      </c>
      <c r="B680" s="1">
        <v>44937</v>
      </c>
      <c r="C680" t="s">
        <v>692</v>
      </c>
      <c r="D680" t="s">
        <v>13</v>
      </c>
      <c r="E680">
        <v>18</v>
      </c>
      <c r="F680" t="s">
        <v>11</v>
      </c>
      <c r="G680">
        <v>3</v>
      </c>
      <c r="H680">
        <v>30</v>
      </c>
      <c r="I680">
        <v>90</v>
      </c>
    </row>
    <row r="681" spans="1:9" x14ac:dyDescent="0.35">
      <c r="A681">
        <v>680</v>
      </c>
      <c r="B681" s="1">
        <v>45221</v>
      </c>
      <c r="C681" t="s">
        <v>693</v>
      </c>
      <c r="D681" t="s">
        <v>13</v>
      </c>
      <c r="E681">
        <v>53</v>
      </c>
      <c r="F681" t="s">
        <v>14</v>
      </c>
      <c r="G681">
        <v>3</v>
      </c>
      <c r="H681">
        <v>300</v>
      </c>
      <c r="I681">
        <v>900</v>
      </c>
    </row>
    <row r="682" spans="1:9" x14ac:dyDescent="0.35">
      <c r="A682">
        <v>681</v>
      </c>
      <c r="B682" s="1">
        <v>45121</v>
      </c>
      <c r="C682" t="s">
        <v>694</v>
      </c>
      <c r="D682" t="s">
        <v>13</v>
      </c>
      <c r="E682">
        <v>43</v>
      </c>
      <c r="F682" t="s">
        <v>16</v>
      </c>
      <c r="G682">
        <v>2</v>
      </c>
      <c r="H682">
        <v>30</v>
      </c>
      <c r="I682">
        <v>60</v>
      </c>
    </row>
    <row r="683" spans="1:9" x14ac:dyDescent="0.35">
      <c r="A683">
        <v>682</v>
      </c>
      <c r="B683" s="1">
        <v>45171</v>
      </c>
      <c r="C683" t="s">
        <v>695</v>
      </c>
      <c r="D683" t="s">
        <v>10</v>
      </c>
      <c r="E683">
        <v>46</v>
      </c>
      <c r="F683" t="s">
        <v>11</v>
      </c>
      <c r="G683">
        <v>4</v>
      </c>
      <c r="H683">
        <v>300</v>
      </c>
      <c r="I683">
        <v>1200</v>
      </c>
    </row>
    <row r="684" spans="1:9" x14ac:dyDescent="0.35">
      <c r="A684">
        <v>683</v>
      </c>
      <c r="B684" s="1">
        <v>44930</v>
      </c>
      <c r="C684" t="s">
        <v>696</v>
      </c>
      <c r="D684" t="s">
        <v>10</v>
      </c>
      <c r="E684">
        <v>38</v>
      </c>
      <c r="F684" t="s">
        <v>11</v>
      </c>
      <c r="G684">
        <v>2</v>
      </c>
      <c r="H684">
        <v>500</v>
      </c>
      <c r="I684">
        <v>1000</v>
      </c>
    </row>
    <row r="685" spans="1:9" x14ac:dyDescent="0.35">
      <c r="A685">
        <v>684</v>
      </c>
      <c r="B685" s="1">
        <v>45107</v>
      </c>
      <c r="C685" t="s">
        <v>697</v>
      </c>
      <c r="D685" t="s">
        <v>13</v>
      </c>
      <c r="E685">
        <v>28</v>
      </c>
      <c r="F685" t="s">
        <v>14</v>
      </c>
      <c r="G685">
        <v>2</v>
      </c>
      <c r="H685">
        <v>500</v>
      </c>
      <c r="I685">
        <v>1000</v>
      </c>
    </row>
    <row r="686" spans="1:9" x14ac:dyDescent="0.35">
      <c r="A686">
        <v>685</v>
      </c>
      <c r="B686" s="1">
        <v>45079</v>
      </c>
      <c r="C686" t="s">
        <v>698</v>
      </c>
      <c r="D686" t="s">
        <v>10</v>
      </c>
      <c r="E686">
        <v>57</v>
      </c>
      <c r="F686" t="s">
        <v>16</v>
      </c>
      <c r="G686">
        <v>2</v>
      </c>
      <c r="H686">
        <v>25</v>
      </c>
      <c r="I686">
        <v>50</v>
      </c>
    </row>
    <row r="687" spans="1:9" x14ac:dyDescent="0.35">
      <c r="A687">
        <v>686</v>
      </c>
      <c r="B687" s="1">
        <v>45126</v>
      </c>
      <c r="C687" t="s">
        <v>699</v>
      </c>
      <c r="D687" t="s">
        <v>13</v>
      </c>
      <c r="E687">
        <v>28</v>
      </c>
      <c r="F687" t="s">
        <v>16</v>
      </c>
      <c r="G687">
        <v>4</v>
      </c>
      <c r="H687">
        <v>50</v>
      </c>
      <c r="I687">
        <v>200</v>
      </c>
    </row>
    <row r="688" spans="1:9" x14ac:dyDescent="0.35">
      <c r="A688">
        <v>687</v>
      </c>
      <c r="B688" s="1">
        <v>45141</v>
      </c>
      <c r="C688" t="s">
        <v>700</v>
      </c>
      <c r="D688" t="s">
        <v>13</v>
      </c>
      <c r="E688">
        <v>53</v>
      </c>
      <c r="F688" t="s">
        <v>16</v>
      </c>
      <c r="G688">
        <v>1</v>
      </c>
      <c r="H688">
        <v>300</v>
      </c>
      <c r="I688">
        <v>300</v>
      </c>
    </row>
    <row r="689" spans="1:9" x14ac:dyDescent="0.35">
      <c r="A689">
        <v>688</v>
      </c>
      <c r="B689" s="1">
        <v>45202</v>
      </c>
      <c r="C689" t="s">
        <v>701</v>
      </c>
      <c r="D689" t="s">
        <v>10</v>
      </c>
      <c r="E689">
        <v>56</v>
      </c>
      <c r="F689" t="s">
        <v>14</v>
      </c>
      <c r="G689">
        <v>4</v>
      </c>
      <c r="H689">
        <v>25</v>
      </c>
      <c r="I689">
        <v>100</v>
      </c>
    </row>
    <row r="690" spans="1:9" x14ac:dyDescent="0.35">
      <c r="A690">
        <v>689</v>
      </c>
      <c r="B690" s="1">
        <v>45206</v>
      </c>
      <c r="C690" t="s">
        <v>702</v>
      </c>
      <c r="D690" t="s">
        <v>10</v>
      </c>
      <c r="E690">
        <v>57</v>
      </c>
      <c r="F690" t="s">
        <v>16</v>
      </c>
      <c r="G690">
        <v>2</v>
      </c>
      <c r="H690">
        <v>50</v>
      </c>
      <c r="I690">
        <v>100</v>
      </c>
    </row>
    <row r="691" spans="1:9" x14ac:dyDescent="0.35">
      <c r="A691">
        <v>690</v>
      </c>
      <c r="B691" s="1">
        <v>45235</v>
      </c>
      <c r="C691" t="s">
        <v>703</v>
      </c>
      <c r="D691" t="s">
        <v>13</v>
      </c>
      <c r="E691">
        <v>52</v>
      </c>
      <c r="F691" t="s">
        <v>14</v>
      </c>
      <c r="G691">
        <v>3</v>
      </c>
      <c r="H691">
        <v>300</v>
      </c>
      <c r="I691">
        <v>900</v>
      </c>
    </row>
    <row r="692" spans="1:9" x14ac:dyDescent="0.35">
      <c r="A692">
        <v>691</v>
      </c>
      <c r="B692" s="1">
        <v>45039</v>
      </c>
      <c r="C692" t="s">
        <v>704</v>
      </c>
      <c r="D692" t="s">
        <v>13</v>
      </c>
      <c r="E692">
        <v>51</v>
      </c>
      <c r="F692" t="s">
        <v>14</v>
      </c>
      <c r="G692">
        <v>3</v>
      </c>
      <c r="H692">
        <v>30</v>
      </c>
      <c r="I692">
        <v>90</v>
      </c>
    </row>
    <row r="693" spans="1:9" x14ac:dyDescent="0.35">
      <c r="A693">
        <v>692</v>
      </c>
      <c r="B693" s="1">
        <v>45176</v>
      </c>
      <c r="C693" t="s">
        <v>705</v>
      </c>
      <c r="D693" t="s">
        <v>13</v>
      </c>
      <c r="E693">
        <v>64</v>
      </c>
      <c r="F693" t="s">
        <v>14</v>
      </c>
      <c r="G693">
        <v>2</v>
      </c>
      <c r="H693">
        <v>50</v>
      </c>
      <c r="I693">
        <v>100</v>
      </c>
    </row>
    <row r="694" spans="1:9" x14ac:dyDescent="0.35">
      <c r="A694">
        <v>693</v>
      </c>
      <c r="B694" s="1">
        <v>45039</v>
      </c>
      <c r="C694" t="s">
        <v>706</v>
      </c>
      <c r="D694" t="s">
        <v>10</v>
      </c>
      <c r="E694">
        <v>41</v>
      </c>
      <c r="F694" t="s">
        <v>11</v>
      </c>
      <c r="G694">
        <v>3</v>
      </c>
      <c r="H694">
        <v>500</v>
      </c>
      <c r="I694">
        <v>1500</v>
      </c>
    </row>
    <row r="695" spans="1:9" x14ac:dyDescent="0.35">
      <c r="A695">
        <v>694</v>
      </c>
      <c r="B695" s="1">
        <v>45066</v>
      </c>
      <c r="C695" t="s">
        <v>707</v>
      </c>
      <c r="D695" t="s">
        <v>13</v>
      </c>
      <c r="E695">
        <v>39</v>
      </c>
      <c r="F695" t="s">
        <v>16</v>
      </c>
      <c r="G695">
        <v>2</v>
      </c>
      <c r="H695">
        <v>25</v>
      </c>
      <c r="I695">
        <v>50</v>
      </c>
    </row>
    <row r="696" spans="1:9" x14ac:dyDescent="0.35">
      <c r="A696">
        <v>695</v>
      </c>
      <c r="B696" s="1">
        <v>45150</v>
      </c>
      <c r="C696" t="s">
        <v>708</v>
      </c>
      <c r="D696" t="s">
        <v>13</v>
      </c>
      <c r="E696">
        <v>22</v>
      </c>
      <c r="F696" t="s">
        <v>16</v>
      </c>
      <c r="G696">
        <v>3</v>
      </c>
      <c r="H696">
        <v>50</v>
      </c>
      <c r="I696">
        <v>150</v>
      </c>
    </row>
    <row r="697" spans="1:9" x14ac:dyDescent="0.35">
      <c r="A697">
        <v>696</v>
      </c>
      <c r="B697" s="1">
        <v>45175</v>
      </c>
      <c r="C697" t="s">
        <v>709</v>
      </c>
      <c r="D697" t="s">
        <v>13</v>
      </c>
      <c r="E697">
        <v>50</v>
      </c>
      <c r="F697" t="s">
        <v>14</v>
      </c>
      <c r="G697">
        <v>4</v>
      </c>
      <c r="H697">
        <v>50</v>
      </c>
      <c r="I697">
        <v>200</v>
      </c>
    </row>
    <row r="698" spans="1:9" x14ac:dyDescent="0.35">
      <c r="A698">
        <v>697</v>
      </c>
      <c r="B698" s="1">
        <v>44941</v>
      </c>
      <c r="C698" t="s">
        <v>710</v>
      </c>
      <c r="D698" t="s">
        <v>10</v>
      </c>
      <c r="E698">
        <v>53</v>
      </c>
      <c r="F698" t="s">
        <v>14</v>
      </c>
      <c r="G698">
        <v>1</v>
      </c>
      <c r="H698">
        <v>500</v>
      </c>
      <c r="I698">
        <v>500</v>
      </c>
    </row>
    <row r="699" spans="1:9" x14ac:dyDescent="0.35">
      <c r="A699">
        <v>698</v>
      </c>
      <c r="B699" s="1">
        <v>45126</v>
      </c>
      <c r="C699" t="s">
        <v>711</v>
      </c>
      <c r="D699" t="s">
        <v>13</v>
      </c>
      <c r="E699">
        <v>64</v>
      </c>
      <c r="F699" t="s">
        <v>16</v>
      </c>
      <c r="G699">
        <v>1</v>
      </c>
      <c r="H699">
        <v>300</v>
      </c>
      <c r="I699">
        <v>300</v>
      </c>
    </row>
    <row r="700" spans="1:9" x14ac:dyDescent="0.35">
      <c r="A700">
        <v>699</v>
      </c>
      <c r="B700" s="1">
        <v>45099</v>
      </c>
      <c r="C700" t="s">
        <v>712</v>
      </c>
      <c r="D700" t="s">
        <v>13</v>
      </c>
      <c r="E700">
        <v>37</v>
      </c>
      <c r="F700" t="s">
        <v>14</v>
      </c>
      <c r="G700">
        <v>4</v>
      </c>
      <c r="H700">
        <v>30</v>
      </c>
      <c r="I700">
        <v>120</v>
      </c>
    </row>
    <row r="701" spans="1:9" x14ac:dyDescent="0.35">
      <c r="A701">
        <v>700</v>
      </c>
      <c r="B701" s="1">
        <v>45269</v>
      </c>
      <c r="C701" t="s">
        <v>713</v>
      </c>
      <c r="D701" t="s">
        <v>10</v>
      </c>
      <c r="E701">
        <v>36</v>
      </c>
      <c r="F701" t="s">
        <v>16</v>
      </c>
      <c r="G701">
        <v>4</v>
      </c>
      <c r="H701">
        <v>500</v>
      </c>
      <c r="I701">
        <v>2000</v>
      </c>
    </row>
    <row r="702" spans="1:9" x14ac:dyDescent="0.35">
      <c r="A702">
        <v>701</v>
      </c>
      <c r="B702" s="1">
        <v>45274</v>
      </c>
      <c r="C702" t="s">
        <v>714</v>
      </c>
      <c r="D702" t="s">
        <v>13</v>
      </c>
      <c r="E702">
        <v>52</v>
      </c>
      <c r="F702" t="s">
        <v>11</v>
      </c>
      <c r="G702">
        <v>2</v>
      </c>
      <c r="H702">
        <v>30</v>
      </c>
      <c r="I702">
        <v>60</v>
      </c>
    </row>
    <row r="703" spans="1:9" x14ac:dyDescent="0.35">
      <c r="A703">
        <v>702</v>
      </c>
      <c r="B703" s="1">
        <v>45134</v>
      </c>
      <c r="C703" t="s">
        <v>715</v>
      </c>
      <c r="D703" t="s">
        <v>13</v>
      </c>
      <c r="E703">
        <v>60</v>
      </c>
      <c r="F703" t="s">
        <v>14</v>
      </c>
      <c r="G703">
        <v>2</v>
      </c>
      <c r="H703">
        <v>300</v>
      </c>
      <c r="I703">
        <v>600</v>
      </c>
    </row>
    <row r="704" spans="1:9" x14ac:dyDescent="0.35">
      <c r="A704">
        <v>703</v>
      </c>
      <c r="B704" s="1">
        <v>45011</v>
      </c>
      <c r="C704" t="s">
        <v>716</v>
      </c>
      <c r="D704" t="s">
        <v>10</v>
      </c>
      <c r="E704">
        <v>34</v>
      </c>
      <c r="F704" t="s">
        <v>16</v>
      </c>
      <c r="G704">
        <v>2</v>
      </c>
      <c r="H704">
        <v>50</v>
      </c>
      <c r="I704">
        <v>100</v>
      </c>
    </row>
    <row r="705" spans="1:9" x14ac:dyDescent="0.35">
      <c r="A705">
        <v>704</v>
      </c>
      <c r="B705" s="1">
        <v>45166</v>
      </c>
      <c r="C705" t="s">
        <v>717</v>
      </c>
      <c r="D705" t="s">
        <v>13</v>
      </c>
      <c r="E705">
        <v>62</v>
      </c>
      <c r="F705" t="s">
        <v>14</v>
      </c>
      <c r="G705">
        <v>3</v>
      </c>
      <c r="H705">
        <v>30</v>
      </c>
      <c r="I705">
        <v>90</v>
      </c>
    </row>
    <row r="706" spans="1:9" x14ac:dyDescent="0.35">
      <c r="A706">
        <v>705</v>
      </c>
      <c r="B706" s="1">
        <v>44992</v>
      </c>
      <c r="C706" t="s">
        <v>718</v>
      </c>
      <c r="D706" t="s">
        <v>10</v>
      </c>
      <c r="E706">
        <v>60</v>
      </c>
      <c r="F706" t="s">
        <v>16</v>
      </c>
      <c r="G706">
        <v>2</v>
      </c>
      <c r="H706">
        <v>25</v>
      </c>
      <c r="I706">
        <v>50</v>
      </c>
    </row>
    <row r="707" spans="1:9" x14ac:dyDescent="0.35">
      <c r="A707">
        <v>706</v>
      </c>
      <c r="B707" s="1">
        <v>45245</v>
      </c>
      <c r="C707" t="s">
        <v>719</v>
      </c>
      <c r="D707" t="s">
        <v>10</v>
      </c>
      <c r="E707">
        <v>51</v>
      </c>
      <c r="F707" t="s">
        <v>16</v>
      </c>
      <c r="G707">
        <v>4</v>
      </c>
      <c r="H707">
        <v>25</v>
      </c>
      <c r="I707">
        <v>100</v>
      </c>
    </row>
    <row r="708" spans="1:9" x14ac:dyDescent="0.35">
      <c r="A708">
        <v>707</v>
      </c>
      <c r="B708" s="1">
        <v>45200</v>
      </c>
      <c r="C708" t="s">
        <v>720</v>
      </c>
      <c r="D708" t="s">
        <v>13</v>
      </c>
      <c r="E708">
        <v>26</v>
      </c>
      <c r="F708" t="s">
        <v>14</v>
      </c>
      <c r="G708">
        <v>1</v>
      </c>
      <c r="H708">
        <v>500</v>
      </c>
      <c r="I708">
        <v>500</v>
      </c>
    </row>
    <row r="709" spans="1:9" x14ac:dyDescent="0.35">
      <c r="A709">
        <v>708</v>
      </c>
      <c r="B709" s="1">
        <v>44940</v>
      </c>
      <c r="C709" t="s">
        <v>721</v>
      </c>
      <c r="D709" t="s">
        <v>13</v>
      </c>
      <c r="E709">
        <v>43</v>
      </c>
      <c r="F709" t="s">
        <v>11</v>
      </c>
      <c r="G709">
        <v>3</v>
      </c>
      <c r="H709">
        <v>300</v>
      </c>
      <c r="I709">
        <v>900</v>
      </c>
    </row>
    <row r="710" spans="1:9" x14ac:dyDescent="0.35">
      <c r="A710">
        <v>709</v>
      </c>
      <c r="B710" s="1">
        <v>45128</v>
      </c>
      <c r="C710" t="s">
        <v>722</v>
      </c>
      <c r="D710" t="s">
        <v>13</v>
      </c>
      <c r="E710">
        <v>19</v>
      </c>
      <c r="F710" t="s">
        <v>16</v>
      </c>
      <c r="G710">
        <v>2</v>
      </c>
      <c r="H710">
        <v>500</v>
      </c>
      <c r="I710">
        <v>1000</v>
      </c>
    </row>
    <row r="711" spans="1:9" x14ac:dyDescent="0.35">
      <c r="A711">
        <v>710</v>
      </c>
      <c r="B711" s="1">
        <v>45230</v>
      </c>
      <c r="C711" t="s">
        <v>723</v>
      </c>
      <c r="D711" t="s">
        <v>13</v>
      </c>
      <c r="E711">
        <v>26</v>
      </c>
      <c r="F711" t="s">
        <v>16</v>
      </c>
      <c r="G711">
        <v>3</v>
      </c>
      <c r="H711">
        <v>500</v>
      </c>
      <c r="I711">
        <v>1500</v>
      </c>
    </row>
    <row r="712" spans="1:9" x14ac:dyDescent="0.35">
      <c r="A712">
        <v>711</v>
      </c>
      <c r="B712" s="1">
        <v>45215</v>
      </c>
      <c r="C712" t="s">
        <v>724</v>
      </c>
      <c r="D712" t="s">
        <v>10</v>
      </c>
      <c r="E712">
        <v>26</v>
      </c>
      <c r="F712" t="s">
        <v>16</v>
      </c>
      <c r="G712">
        <v>3</v>
      </c>
      <c r="H712">
        <v>500</v>
      </c>
      <c r="I712">
        <v>1500</v>
      </c>
    </row>
    <row r="713" spans="1:9" x14ac:dyDescent="0.35">
      <c r="A713">
        <v>712</v>
      </c>
      <c r="B713" s="1">
        <v>45266</v>
      </c>
      <c r="C713" t="s">
        <v>725</v>
      </c>
      <c r="D713" t="s">
        <v>13</v>
      </c>
      <c r="E713">
        <v>57</v>
      </c>
      <c r="F713" t="s">
        <v>11</v>
      </c>
      <c r="G713">
        <v>2</v>
      </c>
      <c r="H713">
        <v>25</v>
      </c>
      <c r="I713">
        <v>50</v>
      </c>
    </row>
    <row r="714" spans="1:9" x14ac:dyDescent="0.35">
      <c r="A714">
        <v>713</v>
      </c>
      <c r="B714" s="1">
        <v>44940</v>
      </c>
      <c r="C714" t="s">
        <v>726</v>
      </c>
      <c r="D714" t="s">
        <v>10</v>
      </c>
      <c r="E714">
        <v>34</v>
      </c>
      <c r="F714" t="s">
        <v>11</v>
      </c>
      <c r="G714">
        <v>3</v>
      </c>
      <c r="H714">
        <v>25</v>
      </c>
      <c r="I714">
        <v>75</v>
      </c>
    </row>
    <row r="715" spans="1:9" x14ac:dyDescent="0.35">
      <c r="A715">
        <v>714</v>
      </c>
      <c r="B715" s="1">
        <v>44969</v>
      </c>
      <c r="C715" t="s">
        <v>727</v>
      </c>
      <c r="D715" t="s">
        <v>13</v>
      </c>
      <c r="E715">
        <v>18</v>
      </c>
      <c r="F715" t="s">
        <v>14</v>
      </c>
      <c r="G715">
        <v>1</v>
      </c>
      <c r="H715">
        <v>500</v>
      </c>
      <c r="I715">
        <v>500</v>
      </c>
    </row>
    <row r="716" spans="1:9" x14ac:dyDescent="0.35">
      <c r="A716">
        <v>715</v>
      </c>
      <c r="B716" s="1">
        <v>45256</v>
      </c>
      <c r="C716" t="s">
        <v>728</v>
      </c>
      <c r="D716" t="s">
        <v>13</v>
      </c>
      <c r="E716">
        <v>42</v>
      </c>
      <c r="F716" t="s">
        <v>11</v>
      </c>
      <c r="G716">
        <v>4</v>
      </c>
      <c r="H716">
        <v>25</v>
      </c>
      <c r="I716">
        <v>100</v>
      </c>
    </row>
    <row r="717" spans="1:9" x14ac:dyDescent="0.35">
      <c r="A717">
        <v>716</v>
      </c>
      <c r="B717" s="1">
        <v>45146</v>
      </c>
      <c r="C717" t="s">
        <v>729</v>
      </c>
      <c r="D717" t="s">
        <v>13</v>
      </c>
      <c r="E717">
        <v>60</v>
      </c>
      <c r="F717" t="s">
        <v>14</v>
      </c>
      <c r="G717">
        <v>4</v>
      </c>
      <c r="H717">
        <v>300</v>
      </c>
      <c r="I717">
        <v>1200</v>
      </c>
    </row>
    <row r="718" spans="1:9" x14ac:dyDescent="0.35">
      <c r="A718">
        <v>717</v>
      </c>
      <c r="B718" s="1">
        <v>44996</v>
      </c>
      <c r="C718" t="s">
        <v>730</v>
      </c>
      <c r="D718" t="s">
        <v>10</v>
      </c>
      <c r="E718">
        <v>57</v>
      </c>
      <c r="F718" t="s">
        <v>14</v>
      </c>
      <c r="G718">
        <v>1</v>
      </c>
      <c r="H718">
        <v>500</v>
      </c>
      <c r="I718">
        <v>500</v>
      </c>
    </row>
    <row r="719" spans="1:9" x14ac:dyDescent="0.35">
      <c r="A719">
        <v>718</v>
      </c>
      <c r="B719" s="1">
        <v>45163</v>
      </c>
      <c r="C719" t="s">
        <v>731</v>
      </c>
      <c r="D719" t="s">
        <v>13</v>
      </c>
      <c r="E719">
        <v>59</v>
      </c>
      <c r="F719" t="s">
        <v>11</v>
      </c>
      <c r="G719">
        <v>3</v>
      </c>
      <c r="H719">
        <v>25</v>
      </c>
      <c r="I719">
        <v>75</v>
      </c>
    </row>
    <row r="720" spans="1:9" x14ac:dyDescent="0.35">
      <c r="A720">
        <v>719</v>
      </c>
      <c r="B720" s="1">
        <v>45020</v>
      </c>
      <c r="C720" t="s">
        <v>732</v>
      </c>
      <c r="D720" t="s">
        <v>13</v>
      </c>
      <c r="E720">
        <v>42</v>
      </c>
      <c r="F720" t="s">
        <v>14</v>
      </c>
      <c r="G720">
        <v>2</v>
      </c>
      <c r="H720">
        <v>30</v>
      </c>
      <c r="I720">
        <v>60</v>
      </c>
    </row>
    <row r="721" spans="1:9" x14ac:dyDescent="0.35">
      <c r="A721">
        <v>720</v>
      </c>
      <c r="B721" s="1">
        <v>44952</v>
      </c>
      <c r="C721" t="s">
        <v>733</v>
      </c>
      <c r="D721" t="s">
        <v>13</v>
      </c>
      <c r="E721">
        <v>56</v>
      </c>
      <c r="F721" t="s">
        <v>11</v>
      </c>
      <c r="G721">
        <v>3</v>
      </c>
      <c r="H721">
        <v>500</v>
      </c>
      <c r="I721">
        <v>1500</v>
      </c>
    </row>
    <row r="722" spans="1:9" x14ac:dyDescent="0.35">
      <c r="A722">
        <v>721</v>
      </c>
      <c r="B722" s="1">
        <v>45060</v>
      </c>
      <c r="C722" t="s">
        <v>734</v>
      </c>
      <c r="D722" t="s">
        <v>13</v>
      </c>
      <c r="E722">
        <v>52</v>
      </c>
      <c r="F722" t="s">
        <v>14</v>
      </c>
      <c r="G722">
        <v>1</v>
      </c>
      <c r="H722">
        <v>500</v>
      </c>
      <c r="I722">
        <v>500</v>
      </c>
    </row>
    <row r="723" spans="1:9" x14ac:dyDescent="0.35">
      <c r="A723">
        <v>722</v>
      </c>
      <c r="B723" s="1">
        <v>45121</v>
      </c>
      <c r="C723" t="s">
        <v>735</v>
      </c>
      <c r="D723" t="s">
        <v>10</v>
      </c>
      <c r="E723">
        <v>20</v>
      </c>
      <c r="F723" t="s">
        <v>11</v>
      </c>
      <c r="G723">
        <v>3</v>
      </c>
      <c r="H723">
        <v>300</v>
      </c>
      <c r="I723">
        <v>900</v>
      </c>
    </row>
    <row r="724" spans="1:9" x14ac:dyDescent="0.35">
      <c r="A724">
        <v>723</v>
      </c>
      <c r="B724" s="1">
        <v>45094</v>
      </c>
      <c r="C724" t="s">
        <v>736</v>
      </c>
      <c r="D724" t="s">
        <v>13</v>
      </c>
      <c r="E724">
        <v>54</v>
      </c>
      <c r="F724" t="s">
        <v>11</v>
      </c>
      <c r="G724">
        <v>4</v>
      </c>
      <c r="H724">
        <v>50</v>
      </c>
      <c r="I724">
        <v>200</v>
      </c>
    </row>
    <row r="725" spans="1:9" x14ac:dyDescent="0.35">
      <c r="A725">
        <v>724</v>
      </c>
      <c r="B725" s="1">
        <v>45035</v>
      </c>
      <c r="C725" t="s">
        <v>737</v>
      </c>
      <c r="D725" t="s">
        <v>10</v>
      </c>
      <c r="E725">
        <v>61</v>
      </c>
      <c r="F725" t="s">
        <v>14</v>
      </c>
      <c r="G725">
        <v>3</v>
      </c>
      <c r="H725">
        <v>50</v>
      </c>
      <c r="I725">
        <v>150</v>
      </c>
    </row>
    <row r="726" spans="1:9" x14ac:dyDescent="0.35">
      <c r="A726">
        <v>725</v>
      </c>
      <c r="B726" s="1">
        <v>45159</v>
      </c>
      <c r="C726" t="s">
        <v>738</v>
      </c>
      <c r="D726" t="s">
        <v>10</v>
      </c>
      <c r="E726">
        <v>61</v>
      </c>
      <c r="F726" t="s">
        <v>16</v>
      </c>
      <c r="G726">
        <v>1</v>
      </c>
      <c r="H726">
        <v>300</v>
      </c>
      <c r="I726">
        <v>300</v>
      </c>
    </row>
    <row r="727" spans="1:9" x14ac:dyDescent="0.35">
      <c r="A727">
        <v>726</v>
      </c>
      <c r="B727" s="1">
        <v>45094</v>
      </c>
      <c r="C727" t="s">
        <v>739</v>
      </c>
      <c r="D727" t="s">
        <v>10</v>
      </c>
      <c r="E727">
        <v>47</v>
      </c>
      <c r="F727" t="s">
        <v>14</v>
      </c>
      <c r="G727">
        <v>4</v>
      </c>
      <c r="H727">
        <v>300</v>
      </c>
      <c r="I727">
        <v>1200</v>
      </c>
    </row>
    <row r="728" spans="1:9" x14ac:dyDescent="0.35">
      <c r="A728">
        <v>727</v>
      </c>
      <c r="B728" s="1">
        <v>45099</v>
      </c>
      <c r="C728" t="s">
        <v>740</v>
      </c>
      <c r="D728" t="s">
        <v>10</v>
      </c>
      <c r="E728">
        <v>55</v>
      </c>
      <c r="F728" t="s">
        <v>11</v>
      </c>
      <c r="G728">
        <v>3</v>
      </c>
      <c r="H728">
        <v>300</v>
      </c>
      <c r="I728">
        <v>900</v>
      </c>
    </row>
    <row r="729" spans="1:9" x14ac:dyDescent="0.35">
      <c r="A729">
        <v>728</v>
      </c>
      <c r="B729" s="1">
        <v>45121</v>
      </c>
      <c r="C729" t="s">
        <v>741</v>
      </c>
      <c r="D729" t="s">
        <v>10</v>
      </c>
      <c r="E729">
        <v>51</v>
      </c>
      <c r="F729" t="s">
        <v>16</v>
      </c>
      <c r="G729">
        <v>3</v>
      </c>
      <c r="H729">
        <v>50</v>
      </c>
      <c r="I729">
        <v>150</v>
      </c>
    </row>
    <row r="730" spans="1:9" x14ac:dyDescent="0.35">
      <c r="A730">
        <v>729</v>
      </c>
      <c r="B730" s="1">
        <v>45069</v>
      </c>
      <c r="C730" t="s">
        <v>742</v>
      </c>
      <c r="D730" t="s">
        <v>10</v>
      </c>
      <c r="E730">
        <v>29</v>
      </c>
      <c r="F730" t="s">
        <v>14</v>
      </c>
      <c r="G730">
        <v>4</v>
      </c>
      <c r="H730">
        <v>300</v>
      </c>
      <c r="I730">
        <v>1200</v>
      </c>
    </row>
    <row r="731" spans="1:9" x14ac:dyDescent="0.35">
      <c r="A731">
        <v>730</v>
      </c>
      <c r="B731" s="1">
        <v>45142</v>
      </c>
      <c r="C731" t="s">
        <v>743</v>
      </c>
      <c r="D731" t="s">
        <v>13</v>
      </c>
      <c r="E731">
        <v>36</v>
      </c>
      <c r="F731" t="s">
        <v>14</v>
      </c>
      <c r="G731">
        <v>2</v>
      </c>
      <c r="H731">
        <v>25</v>
      </c>
      <c r="I731">
        <v>50</v>
      </c>
    </row>
    <row r="732" spans="1:9" x14ac:dyDescent="0.35">
      <c r="A732">
        <v>731</v>
      </c>
      <c r="B732" s="1">
        <v>45056</v>
      </c>
      <c r="C732" t="s">
        <v>744</v>
      </c>
      <c r="D732" t="s">
        <v>10</v>
      </c>
      <c r="E732">
        <v>54</v>
      </c>
      <c r="F732" t="s">
        <v>14</v>
      </c>
      <c r="G732">
        <v>4</v>
      </c>
      <c r="H732">
        <v>500</v>
      </c>
      <c r="I732">
        <v>2000</v>
      </c>
    </row>
    <row r="733" spans="1:9" x14ac:dyDescent="0.35">
      <c r="A733">
        <v>732</v>
      </c>
      <c r="B733" s="1">
        <v>44968</v>
      </c>
      <c r="C733" t="s">
        <v>745</v>
      </c>
      <c r="D733" t="s">
        <v>10</v>
      </c>
      <c r="E733">
        <v>61</v>
      </c>
      <c r="F733" t="s">
        <v>16</v>
      </c>
      <c r="G733">
        <v>2</v>
      </c>
      <c r="H733">
        <v>500</v>
      </c>
      <c r="I733">
        <v>1000</v>
      </c>
    </row>
    <row r="734" spans="1:9" x14ac:dyDescent="0.35">
      <c r="A734">
        <v>733</v>
      </c>
      <c r="B734" s="1">
        <v>45167</v>
      </c>
      <c r="C734" t="s">
        <v>746</v>
      </c>
      <c r="D734" t="s">
        <v>10</v>
      </c>
      <c r="E734">
        <v>34</v>
      </c>
      <c r="F734" t="s">
        <v>11</v>
      </c>
      <c r="G734">
        <v>1</v>
      </c>
      <c r="H734">
        <v>30</v>
      </c>
      <c r="I734">
        <v>30</v>
      </c>
    </row>
    <row r="735" spans="1:9" x14ac:dyDescent="0.35">
      <c r="A735">
        <v>734</v>
      </c>
      <c r="B735" s="1">
        <v>44936</v>
      </c>
      <c r="C735" t="s">
        <v>747</v>
      </c>
      <c r="D735" t="s">
        <v>13</v>
      </c>
      <c r="E735">
        <v>27</v>
      </c>
      <c r="F735" t="s">
        <v>14</v>
      </c>
      <c r="G735">
        <v>1</v>
      </c>
      <c r="H735">
        <v>30</v>
      </c>
      <c r="I735">
        <v>30</v>
      </c>
    </row>
    <row r="736" spans="1:9" x14ac:dyDescent="0.35">
      <c r="A736">
        <v>735</v>
      </c>
      <c r="B736" s="1">
        <v>45203</v>
      </c>
      <c r="C736" t="s">
        <v>748</v>
      </c>
      <c r="D736" t="s">
        <v>13</v>
      </c>
      <c r="E736">
        <v>64</v>
      </c>
      <c r="F736" t="s">
        <v>14</v>
      </c>
      <c r="G736">
        <v>4</v>
      </c>
      <c r="H736">
        <v>500</v>
      </c>
      <c r="I736">
        <v>2000</v>
      </c>
    </row>
    <row r="737" spans="1:9" x14ac:dyDescent="0.35">
      <c r="A737">
        <v>736</v>
      </c>
      <c r="B737" s="1">
        <v>44953</v>
      </c>
      <c r="C737" t="s">
        <v>749</v>
      </c>
      <c r="D737" t="s">
        <v>10</v>
      </c>
      <c r="E737">
        <v>29</v>
      </c>
      <c r="F737" t="s">
        <v>14</v>
      </c>
      <c r="G737">
        <v>4</v>
      </c>
      <c r="H737">
        <v>25</v>
      </c>
      <c r="I737">
        <v>100</v>
      </c>
    </row>
    <row r="738" spans="1:9" x14ac:dyDescent="0.35">
      <c r="A738">
        <v>737</v>
      </c>
      <c r="B738" s="1">
        <v>45106</v>
      </c>
      <c r="C738" t="s">
        <v>750</v>
      </c>
      <c r="D738" t="s">
        <v>13</v>
      </c>
      <c r="E738">
        <v>33</v>
      </c>
      <c r="F738" t="s">
        <v>14</v>
      </c>
      <c r="G738">
        <v>1</v>
      </c>
      <c r="H738">
        <v>50</v>
      </c>
      <c r="I738">
        <v>50</v>
      </c>
    </row>
    <row r="739" spans="1:9" x14ac:dyDescent="0.35">
      <c r="A739">
        <v>738</v>
      </c>
      <c r="B739" s="1">
        <v>45041</v>
      </c>
      <c r="C739" t="s">
        <v>751</v>
      </c>
      <c r="D739" t="s">
        <v>10</v>
      </c>
      <c r="E739">
        <v>41</v>
      </c>
      <c r="F739" t="s">
        <v>14</v>
      </c>
      <c r="G739">
        <v>2</v>
      </c>
      <c r="H739">
        <v>50</v>
      </c>
      <c r="I739">
        <v>100</v>
      </c>
    </row>
    <row r="740" spans="1:9" x14ac:dyDescent="0.35">
      <c r="A740">
        <v>739</v>
      </c>
      <c r="B740" s="1">
        <v>45259</v>
      </c>
      <c r="C740" t="s">
        <v>752</v>
      </c>
      <c r="D740" t="s">
        <v>10</v>
      </c>
      <c r="E740">
        <v>36</v>
      </c>
      <c r="F740" t="s">
        <v>11</v>
      </c>
      <c r="G740">
        <v>1</v>
      </c>
      <c r="H740">
        <v>25</v>
      </c>
      <c r="I740">
        <v>25</v>
      </c>
    </row>
    <row r="741" spans="1:9" x14ac:dyDescent="0.35">
      <c r="A741">
        <v>740</v>
      </c>
      <c r="B741" s="1">
        <v>44962</v>
      </c>
      <c r="C741" t="s">
        <v>753</v>
      </c>
      <c r="D741" t="s">
        <v>13</v>
      </c>
      <c r="E741">
        <v>25</v>
      </c>
      <c r="F741" t="s">
        <v>11</v>
      </c>
      <c r="G741">
        <v>4</v>
      </c>
      <c r="H741">
        <v>50</v>
      </c>
      <c r="I741">
        <v>200</v>
      </c>
    </row>
    <row r="742" spans="1:9" x14ac:dyDescent="0.35">
      <c r="A742">
        <v>741</v>
      </c>
      <c r="B742" s="1">
        <v>45260</v>
      </c>
      <c r="C742" t="s">
        <v>754</v>
      </c>
      <c r="D742" t="s">
        <v>10</v>
      </c>
      <c r="E742">
        <v>48</v>
      </c>
      <c r="F742" t="s">
        <v>14</v>
      </c>
      <c r="G742">
        <v>1</v>
      </c>
      <c r="H742">
        <v>300</v>
      </c>
      <c r="I742">
        <v>300</v>
      </c>
    </row>
    <row r="743" spans="1:9" x14ac:dyDescent="0.35">
      <c r="A743">
        <v>742</v>
      </c>
      <c r="B743" s="1">
        <v>44947</v>
      </c>
      <c r="C743" t="s">
        <v>755</v>
      </c>
      <c r="D743" t="s">
        <v>13</v>
      </c>
      <c r="E743">
        <v>38</v>
      </c>
      <c r="F743" t="s">
        <v>16</v>
      </c>
      <c r="G743">
        <v>4</v>
      </c>
      <c r="H743">
        <v>500</v>
      </c>
      <c r="I743">
        <v>2000</v>
      </c>
    </row>
    <row r="744" spans="1:9" x14ac:dyDescent="0.35">
      <c r="A744">
        <v>743</v>
      </c>
      <c r="B744" s="1">
        <v>44942</v>
      </c>
      <c r="C744" t="s">
        <v>756</v>
      </c>
      <c r="D744" t="s">
        <v>13</v>
      </c>
      <c r="E744">
        <v>34</v>
      </c>
      <c r="F744" t="s">
        <v>11</v>
      </c>
      <c r="G744">
        <v>4</v>
      </c>
      <c r="H744">
        <v>500</v>
      </c>
      <c r="I744">
        <v>2000</v>
      </c>
    </row>
    <row r="745" spans="1:9" x14ac:dyDescent="0.35">
      <c r="A745">
        <v>744</v>
      </c>
      <c r="B745" s="1">
        <v>45053</v>
      </c>
      <c r="C745" t="s">
        <v>757</v>
      </c>
      <c r="D745" t="s">
        <v>10</v>
      </c>
      <c r="E745">
        <v>40</v>
      </c>
      <c r="F745" t="s">
        <v>16</v>
      </c>
      <c r="G745">
        <v>1</v>
      </c>
      <c r="H745">
        <v>25</v>
      </c>
      <c r="I745">
        <v>25</v>
      </c>
    </row>
    <row r="746" spans="1:9" x14ac:dyDescent="0.35">
      <c r="A746">
        <v>745</v>
      </c>
      <c r="B746" s="1">
        <v>45029</v>
      </c>
      <c r="C746" t="s">
        <v>758</v>
      </c>
      <c r="D746" t="s">
        <v>10</v>
      </c>
      <c r="E746">
        <v>54</v>
      </c>
      <c r="F746" t="s">
        <v>11</v>
      </c>
      <c r="G746">
        <v>2</v>
      </c>
      <c r="H746">
        <v>50</v>
      </c>
      <c r="I746">
        <v>100</v>
      </c>
    </row>
    <row r="747" spans="1:9" x14ac:dyDescent="0.35">
      <c r="A747">
        <v>746</v>
      </c>
      <c r="B747" s="1">
        <v>44937</v>
      </c>
      <c r="C747" t="s">
        <v>759</v>
      </c>
      <c r="D747" t="s">
        <v>13</v>
      </c>
      <c r="E747">
        <v>33</v>
      </c>
      <c r="F747" t="s">
        <v>14</v>
      </c>
      <c r="G747">
        <v>3</v>
      </c>
      <c r="H747">
        <v>30</v>
      </c>
      <c r="I747">
        <v>90</v>
      </c>
    </row>
    <row r="748" spans="1:9" x14ac:dyDescent="0.35">
      <c r="A748">
        <v>747</v>
      </c>
      <c r="B748" s="1">
        <v>45245</v>
      </c>
      <c r="C748" t="s">
        <v>760</v>
      </c>
      <c r="D748" t="s">
        <v>10</v>
      </c>
      <c r="E748">
        <v>23</v>
      </c>
      <c r="F748" t="s">
        <v>11</v>
      </c>
      <c r="G748">
        <v>1</v>
      </c>
      <c r="H748">
        <v>30</v>
      </c>
      <c r="I748">
        <v>30</v>
      </c>
    </row>
    <row r="749" spans="1:9" x14ac:dyDescent="0.35">
      <c r="A749">
        <v>748</v>
      </c>
      <c r="B749" s="1">
        <v>45005</v>
      </c>
      <c r="C749" t="s">
        <v>761</v>
      </c>
      <c r="D749" t="s">
        <v>10</v>
      </c>
      <c r="E749">
        <v>25</v>
      </c>
      <c r="F749" t="s">
        <v>14</v>
      </c>
      <c r="G749">
        <v>3</v>
      </c>
      <c r="H749">
        <v>50</v>
      </c>
      <c r="I749">
        <v>150</v>
      </c>
    </row>
    <row r="750" spans="1:9" x14ac:dyDescent="0.35">
      <c r="A750">
        <v>749</v>
      </c>
      <c r="B750" s="1">
        <v>45049</v>
      </c>
      <c r="C750" t="s">
        <v>762</v>
      </c>
      <c r="D750" t="s">
        <v>10</v>
      </c>
      <c r="E750">
        <v>42</v>
      </c>
      <c r="F750" t="s">
        <v>11</v>
      </c>
      <c r="G750">
        <v>1</v>
      </c>
      <c r="H750">
        <v>30</v>
      </c>
      <c r="I750">
        <v>30</v>
      </c>
    </row>
    <row r="751" spans="1:9" x14ac:dyDescent="0.35">
      <c r="A751">
        <v>750</v>
      </c>
      <c r="B751" s="1">
        <v>44991</v>
      </c>
      <c r="C751" t="s">
        <v>763</v>
      </c>
      <c r="D751" t="s">
        <v>13</v>
      </c>
      <c r="E751">
        <v>35</v>
      </c>
      <c r="F751" t="s">
        <v>14</v>
      </c>
      <c r="G751">
        <v>3</v>
      </c>
      <c r="H751">
        <v>25</v>
      </c>
      <c r="I751">
        <v>75</v>
      </c>
    </row>
    <row r="752" spans="1:9" x14ac:dyDescent="0.35">
      <c r="A752">
        <v>751</v>
      </c>
      <c r="B752" s="1">
        <v>45169</v>
      </c>
      <c r="C752" t="s">
        <v>764</v>
      </c>
      <c r="D752" t="s">
        <v>13</v>
      </c>
      <c r="E752">
        <v>42</v>
      </c>
      <c r="F752" t="s">
        <v>14</v>
      </c>
      <c r="G752">
        <v>2</v>
      </c>
      <c r="H752">
        <v>25</v>
      </c>
      <c r="I752">
        <v>50</v>
      </c>
    </row>
    <row r="753" spans="1:9" x14ac:dyDescent="0.35">
      <c r="A753">
        <v>752</v>
      </c>
      <c r="B753" s="1">
        <v>45269</v>
      </c>
      <c r="C753" t="s">
        <v>765</v>
      </c>
      <c r="D753" t="s">
        <v>10</v>
      </c>
      <c r="E753">
        <v>29</v>
      </c>
      <c r="F753" t="s">
        <v>14</v>
      </c>
      <c r="G753">
        <v>2</v>
      </c>
      <c r="H753">
        <v>50</v>
      </c>
      <c r="I753">
        <v>100</v>
      </c>
    </row>
    <row r="754" spans="1:9" x14ac:dyDescent="0.35">
      <c r="A754">
        <v>753</v>
      </c>
      <c r="B754" s="1">
        <v>44985</v>
      </c>
      <c r="C754" t="s">
        <v>766</v>
      </c>
      <c r="D754" t="s">
        <v>13</v>
      </c>
      <c r="E754">
        <v>32</v>
      </c>
      <c r="F754" t="s">
        <v>14</v>
      </c>
      <c r="G754">
        <v>1</v>
      </c>
      <c r="H754">
        <v>30</v>
      </c>
      <c r="I754">
        <v>30</v>
      </c>
    </row>
    <row r="755" spans="1:9" x14ac:dyDescent="0.35">
      <c r="A755">
        <v>754</v>
      </c>
      <c r="B755" s="1">
        <v>45215</v>
      </c>
      <c r="C755" t="s">
        <v>767</v>
      </c>
      <c r="D755" t="s">
        <v>13</v>
      </c>
      <c r="E755">
        <v>43</v>
      </c>
      <c r="F755" t="s">
        <v>16</v>
      </c>
      <c r="G755">
        <v>4</v>
      </c>
      <c r="H755">
        <v>25</v>
      </c>
      <c r="I755">
        <v>100</v>
      </c>
    </row>
    <row r="756" spans="1:9" x14ac:dyDescent="0.35">
      <c r="A756">
        <v>755</v>
      </c>
      <c r="B756" s="1">
        <v>45038</v>
      </c>
      <c r="C756" t="s">
        <v>768</v>
      </c>
      <c r="D756" t="s">
        <v>13</v>
      </c>
      <c r="E756">
        <v>58</v>
      </c>
      <c r="F756" t="s">
        <v>14</v>
      </c>
      <c r="G756">
        <v>3</v>
      </c>
      <c r="H756">
        <v>25</v>
      </c>
      <c r="I756">
        <v>75</v>
      </c>
    </row>
    <row r="757" spans="1:9" x14ac:dyDescent="0.35">
      <c r="A757">
        <v>756</v>
      </c>
      <c r="B757" s="1">
        <v>45165</v>
      </c>
      <c r="C757" t="s">
        <v>769</v>
      </c>
      <c r="D757" t="s">
        <v>13</v>
      </c>
      <c r="E757">
        <v>62</v>
      </c>
      <c r="F757" t="s">
        <v>16</v>
      </c>
      <c r="G757">
        <v>4</v>
      </c>
      <c r="H757">
        <v>300</v>
      </c>
      <c r="I757">
        <v>1200</v>
      </c>
    </row>
    <row r="758" spans="1:9" x14ac:dyDescent="0.35">
      <c r="A758">
        <v>757</v>
      </c>
      <c r="B758" s="1">
        <v>45285</v>
      </c>
      <c r="C758" t="s">
        <v>770</v>
      </c>
      <c r="D758" t="s">
        <v>13</v>
      </c>
      <c r="E758">
        <v>43</v>
      </c>
      <c r="F758" t="s">
        <v>16</v>
      </c>
      <c r="G758">
        <v>4</v>
      </c>
      <c r="H758">
        <v>300</v>
      </c>
      <c r="I758">
        <v>1200</v>
      </c>
    </row>
    <row r="759" spans="1:9" x14ac:dyDescent="0.35">
      <c r="A759">
        <v>758</v>
      </c>
      <c r="B759" s="1">
        <v>45058</v>
      </c>
      <c r="C759" t="s">
        <v>771</v>
      </c>
      <c r="D759" t="s">
        <v>10</v>
      </c>
      <c r="E759">
        <v>64</v>
      </c>
      <c r="F759" t="s">
        <v>14</v>
      </c>
      <c r="G759">
        <v>4</v>
      </c>
      <c r="H759">
        <v>25</v>
      </c>
      <c r="I759">
        <v>100</v>
      </c>
    </row>
    <row r="760" spans="1:9" x14ac:dyDescent="0.35">
      <c r="A760">
        <v>759</v>
      </c>
      <c r="B760" s="1">
        <v>45115</v>
      </c>
      <c r="C760" t="s">
        <v>772</v>
      </c>
      <c r="D760" t="s">
        <v>10</v>
      </c>
      <c r="E760">
        <v>49</v>
      </c>
      <c r="F760" t="s">
        <v>16</v>
      </c>
      <c r="G760">
        <v>2</v>
      </c>
      <c r="H760">
        <v>50</v>
      </c>
      <c r="I760">
        <v>100</v>
      </c>
    </row>
    <row r="761" spans="1:9" x14ac:dyDescent="0.35">
      <c r="A761">
        <v>760</v>
      </c>
      <c r="B761" s="1">
        <v>45012</v>
      </c>
      <c r="C761" t="s">
        <v>773</v>
      </c>
      <c r="D761" t="s">
        <v>10</v>
      </c>
      <c r="E761">
        <v>27</v>
      </c>
      <c r="F761" t="s">
        <v>11</v>
      </c>
      <c r="G761">
        <v>1</v>
      </c>
      <c r="H761">
        <v>500</v>
      </c>
      <c r="I761">
        <v>500</v>
      </c>
    </row>
    <row r="762" spans="1:9" x14ac:dyDescent="0.35">
      <c r="A762">
        <v>761</v>
      </c>
      <c r="B762" s="1">
        <v>45237</v>
      </c>
      <c r="C762" t="s">
        <v>774</v>
      </c>
      <c r="D762" t="s">
        <v>13</v>
      </c>
      <c r="E762">
        <v>33</v>
      </c>
      <c r="F762" t="s">
        <v>14</v>
      </c>
      <c r="G762">
        <v>1</v>
      </c>
      <c r="H762">
        <v>500</v>
      </c>
      <c r="I762">
        <v>500</v>
      </c>
    </row>
    <row r="763" spans="1:9" x14ac:dyDescent="0.35">
      <c r="A763">
        <v>762</v>
      </c>
      <c r="B763" s="1">
        <v>45237</v>
      </c>
      <c r="C763" t="s">
        <v>775</v>
      </c>
      <c r="D763" t="s">
        <v>13</v>
      </c>
      <c r="E763">
        <v>24</v>
      </c>
      <c r="F763" t="s">
        <v>16</v>
      </c>
      <c r="G763">
        <v>2</v>
      </c>
      <c r="H763">
        <v>25</v>
      </c>
      <c r="I763">
        <v>50</v>
      </c>
    </row>
    <row r="764" spans="1:9" x14ac:dyDescent="0.35">
      <c r="A764">
        <v>763</v>
      </c>
      <c r="B764" s="1">
        <v>44985</v>
      </c>
      <c r="C764" t="s">
        <v>776</v>
      </c>
      <c r="D764" t="s">
        <v>10</v>
      </c>
      <c r="E764">
        <v>34</v>
      </c>
      <c r="F764" t="s">
        <v>14</v>
      </c>
      <c r="G764">
        <v>2</v>
      </c>
      <c r="H764">
        <v>25</v>
      </c>
      <c r="I764">
        <v>50</v>
      </c>
    </row>
    <row r="765" spans="1:9" x14ac:dyDescent="0.35">
      <c r="A765">
        <v>764</v>
      </c>
      <c r="B765" s="1">
        <v>45010</v>
      </c>
      <c r="C765" t="s">
        <v>777</v>
      </c>
      <c r="D765" t="s">
        <v>13</v>
      </c>
      <c r="E765">
        <v>40</v>
      </c>
      <c r="F765" t="s">
        <v>14</v>
      </c>
      <c r="G765">
        <v>1</v>
      </c>
      <c r="H765">
        <v>25</v>
      </c>
      <c r="I765">
        <v>25</v>
      </c>
    </row>
    <row r="766" spans="1:9" x14ac:dyDescent="0.35">
      <c r="A766">
        <v>765</v>
      </c>
      <c r="B766" s="1">
        <v>45086</v>
      </c>
      <c r="C766" t="s">
        <v>778</v>
      </c>
      <c r="D766" t="s">
        <v>10</v>
      </c>
      <c r="E766">
        <v>43</v>
      </c>
      <c r="F766" t="s">
        <v>14</v>
      </c>
      <c r="G766">
        <v>4</v>
      </c>
      <c r="H766">
        <v>50</v>
      </c>
      <c r="I766">
        <v>200</v>
      </c>
    </row>
    <row r="767" spans="1:9" x14ac:dyDescent="0.35">
      <c r="A767">
        <v>766</v>
      </c>
      <c r="B767" s="1">
        <v>44982</v>
      </c>
      <c r="C767" t="s">
        <v>779</v>
      </c>
      <c r="D767" t="s">
        <v>10</v>
      </c>
      <c r="E767">
        <v>38</v>
      </c>
      <c r="F767" t="s">
        <v>16</v>
      </c>
      <c r="G767">
        <v>3</v>
      </c>
      <c r="H767">
        <v>300</v>
      </c>
      <c r="I767">
        <v>900</v>
      </c>
    </row>
    <row r="768" spans="1:9" x14ac:dyDescent="0.35">
      <c r="A768">
        <v>767</v>
      </c>
      <c r="B768" s="1">
        <v>45223</v>
      </c>
      <c r="C768" t="s">
        <v>780</v>
      </c>
      <c r="D768" t="s">
        <v>10</v>
      </c>
      <c r="E768">
        <v>39</v>
      </c>
      <c r="F768" t="s">
        <v>11</v>
      </c>
      <c r="G768">
        <v>3</v>
      </c>
      <c r="H768">
        <v>25</v>
      </c>
      <c r="I768">
        <v>75</v>
      </c>
    </row>
    <row r="769" spans="1:9" x14ac:dyDescent="0.35">
      <c r="A769">
        <v>768</v>
      </c>
      <c r="B769" s="1">
        <v>44940</v>
      </c>
      <c r="C769" t="s">
        <v>781</v>
      </c>
      <c r="D769" t="s">
        <v>13</v>
      </c>
      <c r="E769">
        <v>24</v>
      </c>
      <c r="F769" t="s">
        <v>11</v>
      </c>
      <c r="G769">
        <v>3</v>
      </c>
      <c r="H769">
        <v>25</v>
      </c>
      <c r="I769">
        <v>75</v>
      </c>
    </row>
    <row r="770" spans="1:9" x14ac:dyDescent="0.35">
      <c r="A770">
        <v>769</v>
      </c>
      <c r="B770" s="1">
        <v>45086</v>
      </c>
      <c r="C770" t="s">
        <v>782</v>
      </c>
      <c r="D770" t="s">
        <v>13</v>
      </c>
      <c r="E770">
        <v>31</v>
      </c>
      <c r="F770" t="s">
        <v>16</v>
      </c>
      <c r="G770">
        <v>4</v>
      </c>
      <c r="H770">
        <v>30</v>
      </c>
      <c r="I770">
        <v>120</v>
      </c>
    </row>
    <row r="771" spans="1:9" x14ac:dyDescent="0.35">
      <c r="A771">
        <v>770</v>
      </c>
      <c r="B771" s="1">
        <v>45221</v>
      </c>
      <c r="C771" t="s">
        <v>783</v>
      </c>
      <c r="D771" t="s">
        <v>10</v>
      </c>
      <c r="E771">
        <v>32</v>
      </c>
      <c r="F771" t="s">
        <v>14</v>
      </c>
      <c r="G771">
        <v>1</v>
      </c>
      <c r="H771">
        <v>50</v>
      </c>
      <c r="I771">
        <v>50</v>
      </c>
    </row>
    <row r="772" spans="1:9" x14ac:dyDescent="0.35">
      <c r="A772">
        <v>771</v>
      </c>
      <c r="B772" s="1">
        <v>45273</v>
      </c>
      <c r="C772" t="s">
        <v>784</v>
      </c>
      <c r="D772" t="s">
        <v>10</v>
      </c>
      <c r="E772">
        <v>24</v>
      </c>
      <c r="F772" t="s">
        <v>16</v>
      </c>
      <c r="G772">
        <v>2</v>
      </c>
      <c r="H772">
        <v>25</v>
      </c>
      <c r="I772">
        <v>50</v>
      </c>
    </row>
    <row r="773" spans="1:9" x14ac:dyDescent="0.35">
      <c r="A773">
        <v>772</v>
      </c>
      <c r="B773" s="1">
        <v>45119</v>
      </c>
      <c r="C773" t="s">
        <v>785</v>
      </c>
      <c r="D773" t="s">
        <v>10</v>
      </c>
      <c r="E773">
        <v>26</v>
      </c>
      <c r="F773" t="s">
        <v>16</v>
      </c>
      <c r="G773">
        <v>1</v>
      </c>
      <c r="H773">
        <v>30</v>
      </c>
      <c r="I773">
        <v>30</v>
      </c>
    </row>
    <row r="774" spans="1:9" x14ac:dyDescent="0.35">
      <c r="A774">
        <v>773</v>
      </c>
      <c r="B774" s="1">
        <v>45130</v>
      </c>
      <c r="C774" t="s">
        <v>786</v>
      </c>
      <c r="D774" t="s">
        <v>10</v>
      </c>
      <c r="E774">
        <v>25</v>
      </c>
      <c r="F774" t="s">
        <v>16</v>
      </c>
      <c r="G774">
        <v>4</v>
      </c>
      <c r="H774">
        <v>500</v>
      </c>
      <c r="I774">
        <v>2000</v>
      </c>
    </row>
    <row r="775" spans="1:9" x14ac:dyDescent="0.35">
      <c r="A775">
        <v>774</v>
      </c>
      <c r="B775" s="1">
        <v>45028</v>
      </c>
      <c r="C775" t="s">
        <v>787</v>
      </c>
      <c r="D775" t="s">
        <v>13</v>
      </c>
      <c r="E775">
        <v>40</v>
      </c>
      <c r="F775" t="s">
        <v>14</v>
      </c>
      <c r="G775">
        <v>2</v>
      </c>
      <c r="H775">
        <v>25</v>
      </c>
      <c r="I775">
        <v>50</v>
      </c>
    </row>
    <row r="776" spans="1:9" x14ac:dyDescent="0.35">
      <c r="A776">
        <v>775</v>
      </c>
      <c r="B776" s="1">
        <v>44965</v>
      </c>
      <c r="C776" t="s">
        <v>788</v>
      </c>
      <c r="D776" t="s">
        <v>13</v>
      </c>
      <c r="E776">
        <v>46</v>
      </c>
      <c r="F776" t="s">
        <v>16</v>
      </c>
      <c r="G776">
        <v>4</v>
      </c>
      <c r="H776">
        <v>25</v>
      </c>
      <c r="I776">
        <v>100</v>
      </c>
    </row>
    <row r="777" spans="1:9" x14ac:dyDescent="0.35">
      <c r="A777">
        <v>776</v>
      </c>
      <c r="B777" s="1">
        <v>45230</v>
      </c>
      <c r="C777" t="s">
        <v>789</v>
      </c>
      <c r="D777" t="s">
        <v>10</v>
      </c>
      <c r="E777">
        <v>35</v>
      </c>
      <c r="F777" t="s">
        <v>14</v>
      </c>
      <c r="G777">
        <v>3</v>
      </c>
      <c r="H777">
        <v>30</v>
      </c>
      <c r="I777">
        <v>90</v>
      </c>
    </row>
    <row r="778" spans="1:9" x14ac:dyDescent="0.35">
      <c r="A778">
        <v>777</v>
      </c>
      <c r="B778" s="1">
        <v>45280</v>
      </c>
      <c r="C778" t="s">
        <v>790</v>
      </c>
      <c r="D778" t="s">
        <v>10</v>
      </c>
      <c r="E778">
        <v>48</v>
      </c>
      <c r="F778" t="s">
        <v>16</v>
      </c>
      <c r="G778">
        <v>3</v>
      </c>
      <c r="H778">
        <v>50</v>
      </c>
      <c r="I778">
        <v>150</v>
      </c>
    </row>
    <row r="779" spans="1:9" x14ac:dyDescent="0.35">
      <c r="A779">
        <v>778</v>
      </c>
      <c r="B779" s="1">
        <v>45248</v>
      </c>
      <c r="C779" t="s">
        <v>791</v>
      </c>
      <c r="D779" t="s">
        <v>13</v>
      </c>
      <c r="E779">
        <v>47</v>
      </c>
      <c r="F779" t="s">
        <v>11</v>
      </c>
      <c r="G779">
        <v>4</v>
      </c>
      <c r="H779">
        <v>25</v>
      </c>
      <c r="I779">
        <v>100</v>
      </c>
    </row>
    <row r="780" spans="1:9" x14ac:dyDescent="0.35">
      <c r="A780">
        <v>779</v>
      </c>
      <c r="B780" s="1">
        <v>45051</v>
      </c>
      <c r="C780" t="s">
        <v>792</v>
      </c>
      <c r="D780" t="s">
        <v>13</v>
      </c>
      <c r="E780">
        <v>56</v>
      </c>
      <c r="F780" t="s">
        <v>16</v>
      </c>
      <c r="G780">
        <v>2</v>
      </c>
      <c r="H780">
        <v>500</v>
      </c>
      <c r="I780">
        <v>1000</v>
      </c>
    </row>
    <row r="781" spans="1:9" x14ac:dyDescent="0.35">
      <c r="A781">
        <v>780</v>
      </c>
      <c r="B781" s="1">
        <v>44979</v>
      </c>
      <c r="C781" t="s">
        <v>793</v>
      </c>
      <c r="D781" t="s">
        <v>10</v>
      </c>
      <c r="E781">
        <v>52</v>
      </c>
      <c r="F781" t="s">
        <v>16</v>
      </c>
      <c r="G781">
        <v>2</v>
      </c>
      <c r="H781">
        <v>25</v>
      </c>
      <c r="I781">
        <v>50</v>
      </c>
    </row>
    <row r="782" spans="1:9" x14ac:dyDescent="0.35">
      <c r="A782">
        <v>781</v>
      </c>
      <c r="B782" s="1">
        <v>45283</v>
      </c>
      <c r="C782" t="s">
        <v>794</v>
      </c>
      <c r="D782" t="s">
        <v>10</v>
      </c>
      <c r="E782">
        <v>35</v>
      </c>
      <c r="F782" t="s">
        <v>11</v>
      </c>
      <c r="G782">
        <v>1</v>
      </c>
      <c r="H782">
        <v>500</v>
      </c>
      <c r="I782">
        <v>500</v>
      </c>
    </row>
    <row r="783" spans="1:9" x14ac:dyDescent="0.35">
      <c r="A783">
        <v>782</v>
      </c>
      <c r="B783" s="1">
        <v>45081</v>
      </c>
      <c r="C783" t="s">
        <v>795</v>
      </c>
      <c r="D783" t="s">
        <v>10</v>
      </c>
      <c r="E783">
        <v>59</v>
      </c>
      <c r="F783" t="s">
        <v>14</v>
      </c>
      <c r="G783">
        <v>3</v>
      </c>
      <c r="H783">
        <v>300</v>
      </c>
      <c r="I783">
        <v>900</v>
      </c>
    </row>
    <row r="784" spans="1:9" x14ac:dyDescent="0.35">
      <c r="A784">
        <v>783</v>
      </c>
      <c r="B784" s="1">
        <v>45277</v>
      </c>
      <c r="C784" t="s">
        <v>796</v>
      </c>
      <c r="D784" t="s">
        <v>13</v>
      </c>
      <c r="E784">
        <v>56</v>
      </c>
      <c r="F784" t="s">
        <v>14</v>
      </c>
      <c r="G784">
        <v>1</v>
      </c>
      <c r="H784">
        <v>300</v>
      </c>
      <c r="I784">
        <v>300</v>
      </c>
    </row>
    <row r="785" spans="1:9" x14ac:dyDescent="0.35">
      <c r="A785">
        <v>784</v>
      </c>
      <c r="B785" s="1">
        <v>45234</v>
      </c>
      <c r="C785" t="s">
        <v>797</v>
      </c>
      <c r="D785" t="s">
        <v>13</v>
      </c>
      <c r="E785">
        <v>34</v>
      </c>
      <c r="F785" t="s">
        <v>16</v>
      </c>
      <c r="G785">
        <v>1</v>
      </c>
      <c r="H785">
        <v>500</v>
      </c>
      <c r="I785">
        <v>500</v>
      </c>
    </row>
    <row r="786" spans="1:9" x14ac:dyDescent="0.35">
      <c r="A786">
        <v>785</v>
      </c>
      <c r="B786" s="1">
        <v>44988</v>
      </c>
      <c r="C786" t="s">
        <v>798</v>
      </c>
      <c r="D786" t="s">
        <v>13</v>
      </c>
      <c r="E786">
        <v>31</v>
      </c>
      <c r="F786" t="s">
        <v>11</v>
      </c>
      <c r="G786">
        <v>4</v>
      </c>
      <c r="H786">
        <v>50</v>
      </c>
      <c r="I786">
        <v>200</v>
      </c>
    </row>
    <row r="787" spans="1:9" x14ac:dyDescent="0.35">
      <c r="A787">
        <v>786</v>
      </c>
      <c r="B787" s="1">
        <v>45216</v>
      </c>
      <c r="C787" t="s">
        <v>799</v>
      </c>
      <c r="D787" t="s">
        <v>10</v>
      </c>
      <c r="E787">
        <v>48</v>
      </c>
      <c r="F787" t="s">
        <v>14</v>
      </c>
      <c r="G787">
        <v>4</v>
      </c>
      <c r="H787">
        <v>25</v>
      </c>
      <c r="I787">
        <v>100</v>
      </c>
    </row>
    <row r="788" spans="1:9" x14ac:dyDescent="0.35">
      <c r="A788">
        <v>787</v>
      </c>
      <c r="B788" s="1">
        <v>44948</v>
      </c>
      <c r="C788" t="s">
        <v>800</v>
      </c>
      <c r="D788" t="s">
        <v>10</v>
      </c>
      <c r="E788">
        <v>41</v>
      </c>
      <c r="F788" t="s">
        <v>16</v>
      </c>
      <c r="G788">
        <v>1</v>
      </c>
      <c r="H788">
        <v>25</v>
      </c>
      <c r="I788">
        <v>25</v>
      </c>
    </row>
    <row r="789" spans="1:9" x14ac:dyDescent="0.35">
      <c r="A789">
        <v>788</v>
      </c>
      <c r="B789" s="1">
        <v>45104</v>
      </c>
      <c r="C789" t="s">
        <v>801</v>
      </c>
      <c r="D789" t="s">
        <v>13</v>
      </c>
      <c r="E789">
        <v>52</v>
      </c>
      <c r="F789" t="s">
        <v>11</v>
      </c>
      <c r="G789">
        <v>3</v>
      </c>
      <c r="H789">
        <v>300</v>
      </c>
      <c r="I789">
        <v>900</v>
      </c>
    </row>
    <row r="790" spans="1:9" x14ac:dyDescent="0.35">
      <c r="A790">
        <v>789</v>
      </c>
      <c r="B790" s="1">
        <v>45199</v>
      </c>
      <c r="C790" t="s">
        <v>802</v>
      </c>
      <c r="D790" t="s">
        <v>13</v>
      </c>
      <c r="E790">
        <v>61</v>
      </c>
      <c r="F790" t="s">
        <v>14</v>
      </c>
      <c r="G790">
        <v>4</v>
      </c>
      <c r="H790">
        <v>500</v>
      </c>
      <c r="I790">
        <v>2000</v>
      </c>
    </row>
    <row r="791" spans="1:9" x14ac:dyDescent="0.35">
      <c r="A791">
        <v>790</v>
      </c>
      <c r="B791" s="1">
        <v>45146</v>
      </c>
      <c r="C791" t="s">
        <v>803</v>
      </c>
      <c r="D791" t="s">
        <v>10</v>
      </c>
      <c r="E791">
        <v>62</v>
      </c>
      <c r="F791" t="s">
        <v>14</v>
      </c>
      <c r="G791">
        <v>1</v>
      </c>
      <c r="H791">
        <v>25</v>
      </c>
      <c r="I791">
        <v>25</v>
      </c>
    </row>
    <row r="792" spans="1:9" x14ac:dyDescent="0.35">
      <c r="A792">
        <v>791</v>
      </c>
      <c r="B792" s="1">
        <v>45265</v>
      </c>
      <c r="C792" t="s">
        <v>804</v>
      </c>
      <c r="D792" t="s">
        <v>13</v>
      </c>
      <c r="E792">
        <v>51</v>
      </c>
      <c r="F792" t="s">
        <v>11</v>
      </c>
      <c r="G792">
        <v>1</v>
      </c>
      <c r="H792">
        <v>25</v>
      </c>
      <c r="I792">
        <v>25</v>
      </c>
    </row>
    <row r="793" spans="1:9" x14ac:dyDescent="0.35">
      <c r="A793">
        <v>792</v>
      </c>
      <c r="B793" s="1">
        <v>45116</v>
      </c>
      <c r="C793" t="s">
        <v>805</v>
      </c>
      <c r="D793" t="s">
        <v>13</v>
      </c>
      <c r="E793">
        <v>20</v>
      </c>
      <c r="F793" t="s">
        <v>11</v>
      </c>
      <c r="G793">
        <v>1</v>
      </c>
      <c r="H793">
        <v>50</v>
      </c>
      <c r="I793">
        <v>50</v>
      </c>
    </row>
    <row r="794" spans="1:9" x14ac:dyDescent="0.35">
      <c r="A794">
        <v>793</v>
      </c>
      <c r="B794" s="1">
        <v>44962</v>
      </c>
      <c r="C794" t="s">
        <v>806</v>
      </c>
      <c r="D794" t="s">
        <v>10</v>
      </c>
      <c r="E794">
        <v>54</v>
      </c>
      <c r="F794" t="s">
        <v>11</v>
      </c>
      <c r="G794">
        <v>1</v>
      </c>
      <c r="H794">
        <v>30</v>
      </c>
      <c r="I794">
        <v>30</v>
      </c>
    </row>
    <row r="795" spans="1:9" x14ac:dyDescent="0.35">
      <c r="A795">
        <v>794</v>
      </c>
      <c r="B795" s="1">
        <v>45186</v>
      </c>
      <c r="C795" t="s">
        <v>807</v>
      </c>
      <c r="D795" t="s">
        <v>13</v>
      </c>
      <c r="E795">
        <v>60</v>
      </c>
      <c r="F795" t="s">
        <v>11</v>
      </c>
      <c r="G795">
        <v>1</v>
      </c>
      <c r="H795">
        <v>300</v>
      </c>
      <c r="I795">
        <v>300</v>
      </c>
    </row>
    <row r="796" spans="1:9" x14ac:dyDescent="0.35">
      <c r="A796">
        <v>795</v>
      </c>
      <c r="B796" s="1">
        <v>45258</v>
      </c>
      <c r="C796" t="s">
        <v>808</v>
      </c>
      <c r="D796" t="s">
        <v>10</v>
      </c>
      <c r="E796">
        <v>57</v>
      </c>
      <c r="F796" t="s">
        <v>16</v>
      </c>
      <c r="G796">
        <v>1</v>
      </c>
      <c r="H796">
        <v>300</v>
      </c>
      <c r="I796">
        <v>300</v>
      </c>
    </row>
    <row r="797" spans="1:9" x14ac:dyDescent="0.35">
      <c r="A797">
        <v>796</v>
      </c>
      <c r="B797" s="1">
        <v>45101</v>
      </c>
      <c r="C797" t="s">
        <v>809</v>
      </c>
      <c r="D797" t="s">
        <v>10</v>
      </c>
      <c r="E797">
        <v>43</v>
      </c>
      <c r="F797" t="s">
        <v>11</v>
      </c>
      <c r="G797">
        <v>4</v>
      </c>
      <c r="H797">
        <v>30</v>
      </c>
      <c r="I797">
        <v>120</v>
      </c>
    </row>
    <row r="798" spans="1:9" x14ac:dyDescent="0.35">
      <c r="A798">
        <v>797</v>
      </c>
      <c r="B798" s="1">
        <v>44933</v>
      </c>
      <c r="C798" t="s">
        <v>810</v>
      </c>
      <c r="D798" t="s">
        <v>10</v>
      </c>
      <c r="E798">
        <v>40</v>
      </c>
      <c r="F798" t="s">
        <v>14</v>
      </c>
      <c r="G798">
        <v>3</v>
      </c>
      <c r="H798">
        <v>25</v>
      </c>
      <c r="I798">
        <v>75</v>
      </c>
    </row>
    <row r="799" spans="1:9" x14ac:dyDescent="0.35">
      <c r="A799">
        <v>798</v>
      </c>
      <c r="B799" s="1">
        <v>45142</v>
      </c>
      <c r="C799" t="s">
        <v>811</v>
      </c>
      <c r="D799" t="s">
        <v>10</v>
      </c>
      <c r="E799">
        <v>61</v>
      </c>
      <c r="F799" t="s">
        <v>14</v>
      </c>
      <c r="G799">
        <v>1</v>
      </c>
      <c r="H799">
        <v>50</v>
      </c>
      <c r="I799">
        <v>50</v>
      </c>
    </row>
    <row r="800" spans="1:9" x14ac:dyDescent="0.35">
      <c r="A800">
        <v>799</v>
      </c>
      <c r="B800" s="1">
        <v>45177</v>
      </c>
      <c r="C800" t="s">
        <v>812</v>
      </c>
      <c r="D800" t="s">
        <v>10</v>
      </c>
      <c r="E800">
        <v>56</v>
      </c>
      <c r="F800" t="s">
        <v>16</v>
      </c>
      <c r="G800">
        <v>2</v>
      </c>
      <c r="H800">
        <v>50</v>
      </c>
      <c r="I800">
        <v>100</v>
      </c>
    </row>
    <row r="801" spans="1:9" x14ac:dyDescent="0.35">
      <c r="A801">
        <v>800</v>
      </c>
      <c r="B801" s="1">
        <v>44981</v>
      </c>
      <c r="C801" t="s">
        <v>813</v>
      </c>
      <c r="D801" t="s">
        <v>10</v>
      </c>
      <c r="E801">
        <v>32</v>
      </c>
      <c r="F801" t="s">
        <v>14</v>
      </c>
      <c r="G801">
        <v>4</v>
      </c>
      <c r="H801">
        <v>300</v>
      </c>
      <c r="I801">
        <v>1200</v>
      </c>
    </row>
    <row r="802" spans="1:9" x14ac:dyDescent="0.35">
      <c r="A802">
        <v>801</v>
      </c>
      <c r="B802" s="1">
        <v>45148</v>
      </c>
      <c r="C802" t="s">
        <v>814</v>
      </c>
      <c r="D802" t="s">
        <v>10</v>
      </c>
      <c r="E802">
        <v>21</v>
      </c>
      <c r="F802" t="s">
        <v>14</v>
      </c>
      <c r="G802">
        <v>4</v>
      </c>
      <c r="H802">
        <v>50</v>
      </c>
      <c r="I802">
        <v>200</v>
      </c>
    </row>
    <row r="803" spans="1:9" x14ac:dyDescent="0.35">
      <c r="A803">
        <v>802</v>
      </c>
      <c r="B803" s="1">
        <v>45112</v>
      </c>
      <c r="C803" t="s">
        <v>815</v>
      </c>
      <c r="D803" t="s">
        <v>13</v>
      </c>
      <c r="E803">
        <v>46</v>
      </c>
      <c r="F803" t="s">
        <v>11</v>
      </c>
      <c r="G803">
        <v>1</v>
      </c>
      <c r="H803">
        <v>30</v>
      </c>
      <c r="I803">
        <v>30</v>
      </c>
    </row>
    <row r="804" spans="1:9" x14ac:dyDescent="0.35">
      <c r="A804">
        <v>803</v>
      </c>
      <c r="B804" s="1">
        <v>45252</v>
      </c>
      <c r="C804" t="s">
        <v>816</v>
      </c>
      <c r="D804" t="s">
        <v>10</v>
      </c>
      <c r="E804">
        <v>39</v>
      </c>
      <c r="F804" t="s">
        <v>14</v>
      </c>
      <c r="G804">
        <v>4</v>
      </c>
      <c r="H804">
        <v>25</v>
      </c>
      <c r="I804">
        <v>100</v>
      </c>
    </row>
    <row r="805" spans="1:9" x14ac:dyDescent="0.35">
      <c r="A805">
        <v>804</v>
      </c>
      <c r="B805" s="1">
        <v>45162</v>
      </c>
      <c r="C805" t="s">
        <v>817</v>
      </c>
      <c r="D805" t="s">
        <v>10</v>
      </c>
      <c r="E805">
        <v>42</v>
      </c>
      <c r="F805" t="s">
        <v>16</v>
      </c>
      <c r="G805">
        <v>1</v>
      </c>
      <c r="H805">
        <v>30</v>
      </c>
      <c r="I805">
        <v>30</v>
      </c>
    </row>
    <row r="806" spans="1:9" x14ac:dyDescent="0.35">
      <c r="A806">
        <v>805</v>
      </c>
      <c r="B806" s="1">
        <v>45289</v>
      </c>
      <c r="C806" t="s">
        <v>818</v>
      </c>
      <c r="D806" t="s">
        <v>13</v>
      </c>
      <c r="E806">
        <v>30</v>
      </c>
      <c r="F806" t="s">
        <v>11</v>
      </c>
      <c r="G806">
        <v>3</v>
      </c>
      <c r="H806">
        <v>500</v>
      </c>
      <c r="I806">
        <v>1500</v>
      </c>
    </row>
    <row r="807" spans="1:9" x14ac:dyDescent="0.35">
      <c r="A807">
        <v>806</v>
      </c>
      <c r="B807" s="1">
        <v>45005</v>
      </c>
      <c r="C807" t="s">
        <v>819</v>
      </c>
      <c r="D807" t="s">
        <v>13</v>
      </c>
      <c r="E807">
        <v>35</v>
      </c>
      <c r="F807" t="s">
        <v>11</v>
      </c>
      <c r="G807">
        <v>3</v>
      </c>
      <c r="H807">
        <v>300</v>
      </c>
      <c r="I807">
        <v>900</v>
      </c>
    </row>
    <row r="808" spans="1:9" x14ac:dyDescent="0.35">
      <c r="A808">
        <v>807</v>
      </c>
      <c r="B808" s="1">
        <v>45149</v>
      </c>
      <c r="C808" t="s">
        <v>820</v>
      </c>
      <c r="D808" t="s">
        <v>13</v>
      </c>
      <c r="E808">
        <v>50</v>
      </c>
      <c r="F808" t="s">
        <v>16</v>
      </c>
      <c r="G808">
        <v>4</v>
      </c>
      <c r="H808">
        <v>50</v>
      </c>
      <c r="I808">
        <v>200</v>
      </c>
    </row>
    <row r="809" spans="1:9" x14ac:dyDescent="0.35">
      <c r="A809">
        <v>808</v>
      </c>
      <c r="B809" s="1">
        <v>45017</v>
      </c>
      <c r="C809" t="s">
        <v>821</v>
      </c>
      <c r="D809" t="s">
        <v>10</v>
      </c>
      <c r="E809">
        <v>33</v>
      </c>
      <c r="F809" t="s">
        <v>11</v>
      </c>
      <c r="G809">
        <v>4</v>
      </c>
      <c r="H809">
        <v>500</v>
      </c>
      <c r="I809">
        <v>2000</v>
      </c>
    </row>
    <row r="810" spans="1:9" x14ac:dyDescent="0.35">
      <c r="A810">
        <v>809</v>
      </c>
      <c r="B810" s="1">
        <v>45194</v>
      </c>
      <c r="C810" t="s">
        <v>822</v>
      </c>
      <c r="D810" t="s">
        <v>13</v>
      </c>
      <c r="E810">
        <v>62</v>
      </c>
      <c r="F810" t="s">
        <v>11</v>
      </c>
      <c r="G810">
        <v>2</v>
      </c>
      <c r="H810">
        <v>50</v>
      </c>
      <c r="I810">
        <v>100</v>
      </c>
    </row>
    <row r="811" spans="1:9" x14ac:dyDescent="0.35">
      <c r="A811">
        <v>810</v>
      </c>
      <c r="B811" s="1">
        <v>45260</v>
      </c>
      <c r="C811" t="s">
        <v>823</v>
      </c>
      <c r="D811" t="s">
        <v>10</v>
      </c>
      <c r="E811">
        <v>59</v>
      </c>
      <c r="F811" t="s">
        <v>16</v>
      </c>
      <c r="G811">
        <v>4</v>
      </c>
      <c r="H811">
        <v>25</v>
      </c>
      <c r="I811">
        <v>100</v>
      </c>
    </row>
    <row r="812" spans="1:9" x14ac:dyDescent="0.35">
      <c r="A812">
        <v>811</v>
      </c>
      <c r="B812" s="1">
        <v>45065</v>
      </c>
      <c r="C812" t="s">
        <v>824</v>
      </c>
      <c r="D812" t="s">
        <v>10</v>
      </c>
      <c r="E812">
        <v>61</v>
      </c>
      <c r="F812" t="s">
        <v>11</v>
      </c>
      <c r="G812">
        <v>2</v>
      </c>
      <c r="H812">
        <v>25</v>
      </c>
      <c r="I812">
        <v>50</v>
      </c>
    </row>
    <row r="813" spans="1:9" x14ac:dyDescent="0.35">
      <c r="A813">
        <v>812</v>
      </c>
      <c r="B813" s="1">
        <v>45242</v>
      </c>
      <c r="C813" t="s">
        <v>825</v>
      </c>
      <c r="D813" t="s">
        <v>10</v>
      </c>
      <c r="E813">
        <v>19</v>
      </c>
      <c r="F813" t="s">
        <v>16</v>
      </c>
      <c r="G813">
        <v>3</v>
      </c>
      <c r="H813">
        <v>25</v>
      </c>
      <c r="I813">
        <v>75</v>
      </c>
    </row>
    <row r="814" spans="1:9" x14ac:dyDescent="0.35">
      <c r="A814">
        <v>813</v>
      </c>
      <c r="B814" s="1">
        <v>45202</v>
      </c>
      <c r="C814" t="s">
        <v>826</v>
      </c>
      <c r="D814" t="s">
        <v>10</v>
      </c>
      <c r="E814">
        <v>52</v>
      </c>
      <c r="F814" t="s">
        <v>16</v>
      </c>
      <c r="G814">
        <v>3</v>
      </c>
      <c r="H814">
        <v>50</v>
      </c>
      <c r="I814">
        <v>150</v>
      </c>
    </row>
    <row r="815" spans="1:9" x14ac:dyDescent="0.35">
      <c r="A815">
        <v>814</v>
      </c>
      <c r="B815" s="1">
        <v>45174</v>
      </c>
      <c r="C815" t="s">
        <v>827</v>
      </c>
      <c r="D815" t="s">
        <v>13</v>
      </c>
      <c r="E815">
        <v>59</v>
      </c>
      <c r="F815" t="s">
        <v>14</v>
      </c>
      <c r="G815">
        <v>1</v>
      </c>
      <c r="H815">
        <v>500</v>
      </c>
      <c r="I815">
        <v>500</v>
      </c>
    </row>
    <row r="816" spans="1:9" x14ac:dyDescent="0.35">
      <c r="A816">
        <v>815</v>
      </c>
      <c r="B816" s="1">
        <v>45165</v>
      </c>
      <c r="C816" t="s">
        <v>828</v>
      </c>
      <c r="D816" t="s">
        <v>13</v>
      </c>
      <c r="E816">
        <v>51</v>
      </c>
      <c r="F816" t="s">
        <v>14</v>
      </c>
      <c r="G816">
        <v>3</v>
      </c>
      <c r="H816">
        <v>25</v>
      </c>
      <c r="I816">
        <v>75</v>
      </c>
    </row>
    <row r="817" spans="1:9" x14ac:dyDescent="0.35">
      <c r="A817">
        <v>816</v>
      </c>
      <c r="B817" s="1">
        <v>45150</v>
      </c>
      <c r="C817" t="s">
        <v>829</v>
      </c>
      <c r="D817" t="s">
        <v>10</v>
      </c>
      <c r="E817">
        <v>47</v>
      </c>
      <c r="F817" t="s">
        <v>11</v>
      </c>
      <c r="G817">
        <v>2</v>
      </c>
      <c r="H817">
        <v>500</v>
      </c>
      <c r="I817">
        <v>1000</v>
      </c>
    </row>
    <row r="818" spans="1:9" x14ac:dyDescent="0.35">
      <c r="A818">
        <v>817</v>
      </c>
      <c r="B818" s="1">
        <v>45230</v>
      </c>
      <c r="C818" t="s">
        <v>830</v>
      </c>
      <c r="D818" t="s">
        <v>10</v>
      </c>
      <c r="E818">
        <v>30</v>
      </c>
      <c r="F818" t="s">
        <v>11</v>
      </c>
      <c r="G818">
        <v>4</v>
      </c>
      <c r="H818">
        <v>50</v>
      </c>
      <c r="I818">
        <v>200</v>
      </c>
    </row>
    <row r="819" spans="1:9" x14ac:dyDescent="0.35">
      <c r="A819">
        <v>818</v>
      </c>
      <c r="B819" s="1">
        <v>45064</v>
      </c>
      <c r="C819" t="s">
        <v>831</v>
      </c>
      <c r="D819" t="s">
        <v>10</v>
      </c>
      <c r="E819">
        <v>30</v>
      </c>
      <c r="F819" t="s">
        <v>16</v>
      </c>
      <c r="G819">
        <v>1</v>
      </c>
      <c r="H819">
        <v>500</v>
      </c>
      <c r="I819">
        <v>500</v>
      </c>
    </row>
    <row r="820" spans="1:9" x14ac:dyDescent="0.35">
      <c r="A820">
        <v>819</v>
      </c>
      <c r="B820" s="1">
        <v>45092</v>
      </c>
      <c r="C820" t="s">
        <v>832</v>
      </c>
      <c r="D820" t="s">
        <v>13</v>
      </c>
      <c r="E820">
        <v>35</v>
      </c>
      <c r="F820" t="s">
        <v>11</v>
      </c>
      <c r="G820">
        <v>2</v>
      </c>
      <c r="H820">
        <v>50</v>
      </c>
      <c r="I820">
        <v>100</v>
      </c>
    </row>
    <row r="821" spans="1:9" x14ac:dyDescent="0.35">
      <c r="A821">
        <v>820</v>
      </c>
      <c r="B821" s="1">
        <v>45052</v>
      </c>
      <c r="C821" t="s">
        <v>833</v>
      </c>
      <c r="D821" t="s">
        <v>10</v>
      </c>
      <c r="E821">
        <v>49</v>
      </c>
      <c r="F821" t="s">
        <v>16</v>
      </c>
      <c r="G821">
        <v>4</v>
      </c>
      <c r="H821">
        <v>50</v>
      </c>
      <c r="I821">
        <v>200</v>
      </c>
    </row>
    <row r="822" spans="1:9" x14ac:dyDescent="0.35">
      <c r="A822">
        <v>821</v>
      </c>
      <c r="B822" s="1">
        <v>44971</v>
      </c>
      <c r="C822" t="s">
        <v>834</v>
      </c>
      <c r="D822" t="s">
        <v>10</v>
      </c>
      <c r="E822">
        <v>49</v>
      </c>
      <c r="F822" t="s">
        <v>16</v>
      </c>
      <c r="G822">
        <v>1</v>
      </c>
      <c r="H822">
        <v>300</v>
      </c>
      <c r="I822">
        <v>300</v>
      </c>
    </row>
    <row r="823" spans="1:9" x14ac:dyDescent="0.35">
      <c r="A823">
        <v>822</v>
      </c>
      <c r="B823" s="1">
        <v>45069</v>
      </c>
      <c r="C823" t="s">
        <v>835</v>
      </c>
      <c r="D823" t="s">
        <v>13</v>
      </c>
      <c r="E823">
        <v>52</v>
      </c>
      <c r="F823" t="s">
        <v>11</v>
      </c>
      <c r="G823">
        <v>3</v>
      </c>
      <c r="H823">
        <v>50</v>
      </c>
      <c r="I823">
        <v>150</v>
      </c>
    </row>
    <row r="824" spans="1:9" x14ac:dyDescent="0.35">
      <c r="A824">
        <v>823</v>
      </c>
      <c r="B824" s="1">
        <v>45157</v>
      </c>
      <c r="C824" t="s">
        <v>836</v>
      </c>
      <c r="D824" t="s">
        <v>13</v>
      </c>
      <c r="E824">
        <v>56</v>
      </c>
      <c r="F824" t="s">
        <v>16</v>
      </c>
      <c r="G824">
        <v>2</v>
      </c>
      <c r="H824">
        <v>50</v>
      </c>
      <c r="I824">
        <v>100</v>
      </c>
    </row>
    <row r="825" spans="1:9" x14ac:dyDescent="0.35">
      <c r="A825">
        <v>824</v>
      </c>
      <c r="B825" s="1">
        <v>45051</v>
      </c>
      <c r="C825" t="s">
        <v>837</v>
      </c>
      <c r="D825" t="s">
        <v>10</v>
      </c>
      <c r="E825">
        <v>63</v>
      </c>
      <c r="F825" t="s">
        <v>14</v>
      </c>
      <c r="G825">
        <v>4</v>
      </c>
      <c r="H825">
        <v>30</v>
      </c>
      <c r="I825">
        <v>120</v>
      </c>
    </row>
    <row r="826" spans="1:9" x14ac:dyDescent="0.35">
      <c r="A826">
        <v>825</v>
      </c>
      <c r="B826" s="1">
        <v>45164</v>
      </c>
      <c r="C826" t="s">
        <v>838</v>
      </c>
      <c r="D826" t="s">
        <v>13</v>
      </c>
      <c r="E826">
        <v>46</v>
      </c>
      <c r="F826" t="s">
        <v>11</v>
      </c>
      <c r="G826">
        <v>1</v>
      </c>
      <c r="H826">
        <v>25</v>
      </c>
      <c r="I826">
        <v>25</v>
      </c>
    </row>
    <row r="827" spans="1:9" x14ac:dyDescent="0.35">
      <c r="A827">
        <v>826</v>
      </c>
      <c r="B827" s="1">
        <v>45218</v>
      </c>
      <c r="C827" t="s">
        <v>839</v>
      </c>
      <c r="D827" t="s">
        <v>13</v>
      </c>
      <c r="E827">
        <v>46</v>
      </c>
      <c r="F827" t="s">
        <v>14</v>
      </c>
      <c r="G827">
        <v>1</v>
      </c>
      <c r="H827">
        <v>300</v>
      </c>
      <c r="I827">
        <v>300</v>
      </c>
    </row>
    <row r="828" spans="1:9" x14ac:dyDescent="0.35">
      <c r="A828">
        <v>827</v>
      </c>
      <c r="B828" s="1">
        <v>45239</v>
      </c>
      <c r="C828" t="s">
        <v>840</v>
      </c>
      <c r="D828" t="s">
        <v>10</v>
      </c>
      <c r="E828">
        <v>61</v>
      </c>
      <c r="F828" t="s">
        <v>11</v>
      </c>
      <c r="G828">
        <v>3</v>
      </c>
      <c r="H828">
        <v>300</v>
      </c>
      <c r="I828">
        <v>900</v>
      </c>
    </row>
    <row r="829" spans="1:9" x14ac:dyDescent="0.35">
      <c r="A829">
        <v>828</v>
      </c>
      <c r="B829" s="1">
        <v>45269</v>
      </c>
      <c r="C829" t="s">
        <v>841</v>
      </c>
      <c r="D829" t="s">
        <v>13</v>
      </c>
      <c r="E829">
        <v>33</v>
      </c>
      <c r="F829" t="s">
        <v>16</v>
      </c>
      <c r="G829">
        <v>4</v>
      </c>
      <c r="H829">
        <v>300</v>
      </c>
      <c r="I829">
        <v>1200</v>
      </c>
    </row>
    <row r="830" spans="1:9" x14ac:dyDescent="0.35">
      <c r="A830">
        <v>829</v>
      </c>
      <c r="B830" s="1">
        <v>45121</v>
      </c>
      <c r="C830" t="s">
        <v>842</v>
      </c>
      <c r="D830" t="s">
        <v>10</v>
      </c>
      <c r="E830">
        <v>61</v>
      </c>
      <c r="F830" t="s">
        <v>11</v>
      </c>
      <c r="G830">
        <v>3</v>
      </c>
      <c r="H830">
        <v>30</v>
      </c>
      <c r="I830">
        <v>90</v>
      </c>
    </row>
    <row r="831" spans="1:9" x14ac:dyDescent="0.35">
      <c r="A831">
        <v>830</v>
      </c>
      <c r="B831" s="1">
        <v>45099</v>
      </c>
      <c r="C831" t="s">
        <v>843</v>
      </c>
      <c r="D831" t="s">
        <v>13</v>
      </c>
      <c r="E831">
        <v>64</v>
      </c>
      <c r="F831" t="s">
        <v>14</v>
      </c>
      <c r="G831">
        <v>3</v>
      </c>
      <c r="H831">
        <v>50</v>
      </c>
      <c r="I831">
        <v>150</v>
      </c>
    </row>
    <row r="832" spans="1:9" x14ac:dyDescent="0.35">
      <c r="A832">
        <v>831</v>
      </c>
      <c r="B832" s="1">
        <v>44941</v>
      </c>
      <c r="C832" t="s">
        <v>844</v>
      </c>
      <c r="D832" t="s">
        <v>10</v>
      </c>
      <c r="E832">
        <v>27</v>
      </c>
      <c r="F832" t="s">
        <v>16</v>
      </c>
      <c r="G832">
        <v>4</v>
      </c>
      <c r="H832">
        <v>25</v>
      </c>
      <c r="I832">
        <v>100</v>
      </c>
    </row>
    <row r="833" spans="1:9" x14ac:dyDescent="0.35">
      <c r="A833">
        <v>832</v>
      </c>
      <c r="B833" s="1">
        <v>45180</v>
      </c>
      <c r="C833" t="s">
        <v>845</v>
      </c>
      <c r="D833" t="s">
        <v>10</v>
      </c>
      <c r="E833">
        <v>47</v>
      </c>
      <c r="F833" t="s">
        <v>11</v>
      </c>
      <c r="G833">
        <v>4</v>
      </c>
      <c r="H833">
        <v>500</v>
      </c>
      <c r="I833">
        <v>2000</v>
      </c>
    </row>
    <row r="834" spans="1:9" x14ac:dyDescent="0.35">
      <c r="A834">
        <v>833</v>
      </c>
      <c r="B834" s="1">
        <v>45093</v>
      </c>
      <c r="C834" t="s">
        <v>846</v>
      </c>
      <c r="D834" t="s">
        <v>10</v>
      </c>
      <c r="E834">
        <v>42</v>
      </c>
      <c r="F834" t="s">
        <v>11</v>
      </c>
      <c r="G834">
        <v>4</v>
      </c>
      <c r="H834">
        <v>50</v>
      </c>
      <c r="I834">
        <v>200</v>
      </c>
    </row>
    <row r="835" spans="1:9" x14ac:dyDescent="0.35">
      <c r="A835">
        <v>834</v>
      </c>
      <c r="B835" s="1">
        <v>45020</v>
      </c>
      <c r="C835" t="s">
        <v>847</v>
      </c>
      <c r="D835" t="s">
        <v>13</v>
      </c>
      <c r="E835">
        <v>56</v>
      </c>
      <c r="F835" t="s">
        <v>11</v>
      </c>
      <c r="G835">
        <v>2</v>
      </c>
      <c r="H835">
        <v>30</v>
      </c>
      <c r="I835">
        <v>60</v>
      </c>
    </row>
    <row r="836" spans="1:9" x14ac:dyDescent="0.35">
      <c r="A836">
        <v>835</v>
      </c>
      <c r="B836" s="1">
        <v>45176</v>
      </c>
      <c r="C836" t="s">
        <v>848</v>
      </c>
      <c r="D836" t="s">
        <v>10</v>
      </c>
      <c r="E836">
        <v>37</v>
      </c>
      <c r="F836" t="s">
        <v>14</v>
      </c>
      <c r="G836">
        <v>4</v>
      </c>
      <c r="H836">
        <v>50</v>
      </c>
      <c r="I836">
        <v>200</v>
      </c>
    </row>
    <row r="837" spans="1:9" x14ac:dyDescent="0.35">
      <c r="A837">
        <v>836</v>
      </c>
      <c r="B837" s="1">
        <v>45035</v>
      </c>
      <c r="C837" t="s">
        <v>849</v>
      </c>
      <c r="D837" t="s">
        <v>13</v>
      </c>
      <c r="E837">
        <v>22</v>
      </c>
      <c r="F837" t="s">
        <v>14</v>
      </c>
      <c r="G837">
        <v>1</v>
      </c>
      <c r="H837">
        <v>50</v>
      </c>
      <c r="I837">
        <v>50</v>
      </c>
    </row>
    <row r="838" spans="1:9" x14ac:dyDescent="0.35">
      <c r="A838">
        <v>837</v>
      </c>
      <c r="B838" s="1">
        <v>45108</v>
      </c>
      <c r="C838" t="s">
        <v>850</v>
      </c>
      <c r="D838" t="s">
        <v>10</v>
      </c>
      <c r="E838">
        <v>18</v>
      </c>
      <c r="F838" t="s">
        <v>11</v>
      </c>
      <c r="G838">
        <v>3</v>
      </c>
      <c r="H838">
        <v>30</v>
      </c>
      <c r="I838">
        <v>90</v>
      </c>
    </row>
    <row r="839" spans="1:9" x14ac:dyDescent="0.35">
      <c r="A839">
        <v>838</v>
      </c>
      <c r="B839" s="1">
        <v>45059</v>
      </c>
      <c r="C839" t="s">
        <v>851</v>
      </c>
      <c r="D839" t="s">
        <v>10</v>
      </c>
      <c r="E839">
        <v>47</v>
      </c>
      <c r="F839" t="s">
        <v>16</v>
      </c>
      <c r="G839">
        <v>2</v>
      </c>
      <c r="H839">
        <v>300</v>
      </c>
      <c r="I839">
        <v>600</v>
      </c>
    </row>
    <row r="840" spans="1:9" x14ac:dyDescent="0.35">
      <c r="A840">
        <v>839</v>
      </c>
      <c r="B840" s="1">
        <v>45101</v>
      </c>
      <c r="C840" t="s">
        <v>852</v>
      </c>
      <c r="D840" t="s">
        <v>13</v>
      </c>
      <c r="E840">
        <v>20</v>
      </c>
      <c r="F840" t="s">
        <v>16</v>
      </c>
      <c r="G840">
        <v>4</v>
      </c>
      <c r="H840">
        <v>300</v>
      </c>
      <c r="I840">
        <v>1200</v>
      </c>
    </row>
    <row r="841" spans="1:9" x14ac:dyDescent="0.35">
      <c r="A841">
        <v>840</v>
      </c>
      <c r="B841" s="1">
        <v>45070</v>
      </c>
      <c r="C841" t="s">
        <v>853</v>
      </c>
      <c r="D841" t="s">
        <v>10</v>
      </c>
      <c r="E841">
        <v>62</v>
      </c>
      <c r="F841" t="s">
        <v>14</v>
      </c>
      <c r="G841">
        <v>2</v>
      </c>
      <c r="H841">
        <v>25</v>
      </c>
      <c r="I841">
        <v>50</v>
      </c>
    </row>
    <row r="842" spans="1:9" x14ac:dyDescent="0.35">
      <c r="A842">
        <v>841</v>
      </c>
      <c r="B842" s="1">
        <v>45232</v>
      </c>
      <c r="C842" t="s">
        <v>854</v>
      </c>
      <c r="D842" t="s">
        <v>10</v>
      </c>
      <c r="E842">
        <v>31</v>
      </c>
      <c r="F842" t="s">
        <v>16</v>
      </c>
      <c r="G842">
        <v>4</v>
      </c>
      <c r="H842">
        <v>25</v>
      </c>
      <c r="I842">
        <v>100</v>
      </c>
    </row>
    <row r="843" spans="1:9" x14ac:dyDescent="0.35">
      <c r="A843">
        <v>842</v>
      </c>
      <c r="B843" s="1">
        <v>45286</v>
      </c>
      <c r="C843" t="s">
        <v>855</v>
      </c>
      <c r="D843" t="s">
        <v>13</v>
      </c>
      <c r="E843">
        <v>47</v>
      </c>
      <c r="F843" t="s">
        <v>14</v>
      </c>
      <c r="G843">
        <v>2</v>
      </c>
      <c r="H843">
        <v>300</v>
      </c>
      <c r="I843">
        <v>600</v>
      </c>
    </row>
    <row r="844" spans="1:9" x14ac:dyDescent="0.35">
      <c r="A844">
        <v>843</v>
      </c>
      <c r="B844" s="1">
        <v>45068</v>
      </c>
      <c r="C844" t="s">
        <v>856</v>
      </c>
      <c r="D844" t="s">
        <v>10</v>
      </c>
      <c r="E844">
        <v>21</v>
      </c>
      <c r="F844" t="s">
        <v>11</v>
      </c>
      <c r="G844">
        <v>3</v>
      </c>
      <c r="H844">
        <v>500</v>
      </c>
      <c r="I844">
        <v>1500</v>
      </c>
    </row>
    <row r="845" spans="1:9" x14ac:dyDescent="0.35">
      <c r="A845">
        <v>844</v>
      </c>
      <c r="B845" s="1">
        <v>45211</v>
      </c>
      <c r="C845" t="s">
        <v>857</v>
      </c>
      <c r="D845" t="s">
        <v>10</v>
      </c>
      <c r="E845">
        <v>35</v>
      </c>
      <c r="F845" t="s">
        <v>14</v>
      </c>
      <c r="G845">
        <v>3</v>
      </c>
      <c r="H845">
        <v>50</v>
      </c>
      <c r="I845">
        <v>150</v>
      </c>
    </row>
    <row r="846" spans="1:9" x14ac:dyDescent="0.35">
      <c r="A846">
        <v>845</v>
      </c>
      <c r="B846" s="1">
        <v>44932</v>
      </c>
      <c r="C846" t="s">
        <v>858</v>
      </c>
      <c r="D846" t="s">
        <v>10</v>
      </c>
      <c r="E846">
        <v>54</v>
      </c>
      <c r="F846" t="s">
        <v>14</v>
      </c>
      <c r="G846">
        <v>1</v>
      </c>
      <c r="H846">
        <v>500</v>
      </c>
      <c r="I846">
        <v>500</v>
      </c>
    </row>
    <row r="847" spans="1:9" x14ac:dyDescent="0.35">
      <c r="A847">
        <v>846</v>
      </c>
      <c r="B847" s="1">
        <v>45191</v>
      </c>
      <c r="C847" t="s">
        <v>859</v>
      </c>
      <c r="D847" t="s">
        <v>10</v>
      </c>
      <c r="E847">
        <v>42</v>
      </c>
      <c r="F847" t="s">
        <v>11</v>
      </c>
      <c r="G847">
        <v>1</v>
      </c>
      <c r="H847">
        <v>50</v>
      </c>
      <c r="I847">
        <v>50</v>
      </c>
    </row>
    <row r="848" spans="1:9" x14ac:dyDescent="0.35">
      <c r="A848">
        <v>847</v>
      </c>
      <c r="B848" s="1">
        <v>45024</v>
      </c>
      <c r="C848" t="s">
        <v>860</v>
      </c>
      <c r="D848" t="s">
        <v>13</v>
      </c>
      <c r="E848">
        <v>18</v>
      </c>
      <c r="F848" t="s">
        <v>16</v>
      </c>
      <c r="G848">
        <v>4</v>
      </c>
      <c r="H848">
        <v>300</v>
      </c>
      <c r="I848">
        <v>1200</v>
      </c>
    </row>
    <row r="849" spans="1:9" x14ac:dyDescent="0.35">
      <c r="A849">
        <v>848</v>
      </c>
      <c r="B849" s="1">
        <v>44970</v>
      </c>
      <c r="C849" t="s">
        <v>861</v>
      </c>
      <c r="D849" t="s">
        <v>13</v>
      </c>
      <c r="E849">
        <v>63</v>
      </c>
      <c r="F849" t="s">
        <v>14</v>
      </c>
      <c r="G849">
        <v>3</v>
      </c>
      <c r="H849">
        <v>25</v>
      </c>
      <c r="I849">
        <v>75</v>
      </c>
    </row>
    <row r="850" spans="1:9" x14ac:dyDescent="0.35">
      <c r="A850">
        <v>849</v>
      </c>
      <c r="B850" s="1">
        <v>45050</v>
      </c>
      <c r="C850" t="s">
        <v>862</v>
      </c>
      <c r="D850" t="s">
        <v>10</v>
      </c>
      <c r="E850">
        <v>32</v>
      </c>
      <c r="F850" t="s">
        <v>14</v>
      </c>
      <c r="G850">
        <v>2</v>
      </c>
      <c r="H850">
        <v>25</v>
      </c>
      <c r="I850">
        <v>50</v>
      </c>
    </row>
    <row r="851" spans="1:9" x14ac:dyDescent="0.35">
      <c r="A851">
        <v>850</v>
      </c>
      <c r="B851" s="1">
        <v>45135</v>
      </c>
      <c r="C851" t="s">
        <v>863</v>
      </c>
      <c r="D851" t="s">
        <v>13</v>
      </c>
      <c r="E851">
        <v>26</v>
      </c>
      <c r="F851" t="s">
        <v>11</v>
      </c>
      <c r="G851">
        <v>2</v>
      </c>
      <c r="H851">
        <v>500</v>
      </c>
      <c r="I851">
        <v>1000</v>
      </c>
    </row>
    <row r="852" spans="1:9" x14ac:dyDescent="0.35">
      <c r="A852">
        <v>851</v>
      </c>
      <c r="B852" s="1">
        <v>45177</v>
      </c>
      <c r="C852" t="s">
        <v>864</v>
      </c>
      <c r="D852" t="s">
        <v>10</v>
      </c>
      <c r="E852">
        <v>32</v>
      </c>
      <c r="F852" t="s">
        <v>16</v>
      </c>
      <c r="G852">
        <v>2</v>
      </c>
      <c r="H852">
        <v>25</v>
      </c>
      <c r="I852">
        <v>50</v>
      </c>
    </row>
    <row r="853" spans="1:9" x14ac:dyDescent="0.35">
      <c r="A853">
        <v>852</v>
      </c>
      <c r="B853" s="1">
        <v>45211</v>
      </c>
      <c r="C853" t="s">
        <v>865</v>
      </c>
      <c r="D853" t="s">
        <v>13</v>
      </c>
      <c r="E853">
        <v>41</v>
      </c>
      <c r="F853" t="s">
        <v>14</v>
      </c>
      <c r="G853">
        <v>1</v>
      </c>
      <c r="H853">
        <v>300</v>
      </c>
      <c r="I853">
        <v>300</v>
      </c>
    </row>
    <row r="854" spans="1:9" x14ac:dyDescent="0.35">
      <c r="A854">
        <v>853</v>
      </c>
      <c r="B854" s="1">
        <v>45050</v>
      </c>
      <c r="C854" t="s">
        <v>866</v>
      </c>
      <c r="D854" t="s">
        <v>10</v>
      </c>
      <c r="E854">
        <v>21</v>
      </c>
      <c r="F854" t="s">
        <v>11</v>
      </c>
      <c r="G854">
        <v>2</v>
      </c>
      <c r="H854">
        <v>500</v>
      </c>
      <c r="I854">
        <v>1000</v>
      </c>
    </row>
    <row r="855" spans="1:9" x14ac:dyDescent="0.35">
      <c r="A855">
        <v>854</v>
      </c>
      <c r="B855" s="1">
        <v>45280</v>
      </c>
      <c r="C855" t="s">
        <v>867</v>
      </c>
      <c r="D855" t="s">
        <v>10</v>
      </c>
      <c r="E855">
        <v>29</v>
      </c>
      <c r="F855" t="s">
        <v>14</v>
      </c>
      <c r="G855">
        <v>1</v>
      </c>
      <c r="H855">
        <v>50</v>
      </c>
      <c r="I855">
        <v>50</v>
      </c>
    </row>
    <row r="856" spans="1:9" x14ac:dyDescent="0.35">
      <c r="A856">
        <v>855</v>
      </c>
      <c r="B856" s="1">
        <v>45170</v>
      </c>
      <c r="C856" t="s">
        <v>868</v>
      </c>
      <c r="D856" t="s">
        <v>10</v>
      </c>
      <c r="E856">
        <v>54</v>
      </c>
      <c r="F856" t="s">
        <v>11</v>
      </c>
      <c r="G856">
        <v>1</v>
      </c>
      <c r="H856">
        <v>25</v>
      </c>
      <c r="I856">
        <v>25</v>
      </c>
    </row>
    <row r="857" spans="1:9" x14ac:dyDescent="0.35">
      <c r="A857">
        <v>856</v>
      </c>
      <c r="B857" s="1">
        <v>45257</v>
      </c>
      <c r="C857" t="s">
        <v>869</v>
      </c>
      <c r="D857" t="s">
        <v>10</v>
      </c>
      <c r="E857">
        <v>54</v>
      </c>
      <c r="F857" t="s">
        <v>16</v>
      </c>
      <c r="G857">
        <v>4</v>
      </c>
      <c r="H857">
        <v>30</v>
      </c>
      <c r="I857">
        <v>120</v>
      </c>
    </row>
    <row r="858" spans="1:9" x14ac:dyDescent="0.35">
      <c r="A858">
        <v>857</v>
      </c>
      <c r="B858" s="1">
        <v>45291</v>
      </c>
      <c r="C858" t="s">
        <v>870</v>
      </c>
      <c r="D858" t="s">
        <v>10</v>
      </c>
      <c r="E858">
        <v>60</v>
      </c>
      <c r="F858" t="s">
        <v>16</v>
      </c>
      <c r="G858">
        <v>2</v>
      </c>
      <c r="H858">
        <v>25</v>
      </c>
      <c r="I858">
        <v>50</v>
      </c>
    </row>
    <row r="859" spans="1:9" x14ac:dyDescent="0.35">
      <c r="A859">
        <v>858</v>
      </c>
      <c r="B859" s="1">
        <v>45178</v>
      </c>
      <c r="C859" t="s">
        <v>871</v>
      </c>
      <c r="D859" t="s">
        <v>10</v>
      </c>
      <c r="E859">
        <v>23</v>
      </c>
      <c r="F859" t="s">
        <v>16</v>
      </c>
      <c r="G859">
        <v>2</v>
      </c>
      <c r="H859">
        <v>50</v>
      </c>
      <c r="I859">
        <v>100</v>
      </c>
    </row>
    <row r="860" spans="1:9" x14ac:dyDescent="0.35">
      <c r="A860">
        <v>859</v>
      </c>
      <c r="B860" s="1">
        <v>45156</v>
      </c>
      <c r="C860" t="s">
        <v>872</v>
      </c>
      <c r="D860" t="s">
        <v>13</v>
      </c>
      <c r="E860">
        <v>56</v>
      </c>
      <c r="F860" t="s">
        <v>16</v>
      </c>
      <c r="G860">
        <v>3</v>
      </c>
      <c r="H860">
        <v>500</v>
      </c>
      <c r="I860">
        <v>1500</v>
      </c>
    </row>
    <row r="861" spans="1:9" x14ac:dyDescent="0.35">
      <c r="A861">
        <v>860</v>
      </c>
      <c r="B861" s="1">
        <v>44935</v>
      </c>
      <c r="C861" t="s">
        <v>873</v>
      </c>
      <c r="D861" t="s">
        <v>10</v>
      </c>
      <c r="E861">
        <v>63</v>
      </c>
      <c r="F861" t="s">
        <v>14</v>
      </c>
      <c r="G861">
        <v>4</v>
      </c>
      <c r="H861">
        <v>50</v>
      </c>
      <c r="I861">
        <v>200</v>
      </c>
    </row>
    <row r="862" spans="1:9" x14ac:dyDescent="0.35">
      <c r="A862">
        <v>861</v>
      </c>
      <c r="B862" s="1">
        <v>44974</v>
      </c>
      <c r="C862" t="s">
        <v>874</v>
      </c>
      <c r="D862" t="s">
        <v>13</v>
      </c>
      <c r="E862">
        <v>41</v>
      </c>
      <c r="F862" t="s">
        <v>14</v>
      </c>
      <c r="G862">
        <v>3</v>
      </c>
      <c r="H862">
        <v>30</v>
      </c>
      <c r="I862">
        <v>90</v>
      </c>
    </row>
    <row r="863" spans="1:9" x14ac:dyDescent="0.35">
      <c r="A863">
        <v>862</v>
      </c>
      <c r="B863" s="1">
        <v>45077</v>
      </c>
      <c r="C863" t="s">
        <v>875</v>
      </c>
      <c r="D863" t="s">
        <v>10</v>
      </c>
      <c r="E863">
        <v>28</v>
      </c>
      <c r="F863" t="s">
        <v>16</v>
      </c>
      <c r="G863">
        <v>4</v>
      </c>
      <c r="H863">
        <v>300</v>
      </c>
      <c r="I863">
        <v>1200</v>
      </c>
    </row>
    <row r="864" spans="1:9" x14ac:dyDescent="0.35">
      <c r="A864">
        <v>863</v>
      </c>
      <c r="B864" s="1">
        <v>45040</v>
      </c>
      <c r="C864" t="s">
        <v>876</v>
      </c>
      <c r="D864" t="s">
        <v>13</v>
      </c>
      <c r="E864">
        <v>30</v>
      </c>
      <c r="F864" t="s">
        <v>16</v>
      </c>
      <c r="G864">
        <v>2</v>
      </c>
      <c r="H864">
        <v>25</v>
      </c>
      <c r="I864">
        <v>50</v>
      </c>
    </row>
    <row r="865" spans="1:9" x14ac:dyDescent="0.35">
      <c r="A865">
        <v>864</v>
      </c>
      <c r="B865" s="1">
        <v>45134</v>
      </c>
      <c r="C865" t="s">
        <v>877</v>
      </c>
      <c r="D865" t="s">
        <v>13</v>
      </c>
      <c r="E865">
        <v>51</v>
      </c>
      <c r="F865" t="s">
        <v>16</v>
      </c>
      <c r="G865">
        <v>1</v>
      </c>
      <c r="H865">
        <v>500</v>
      </c>
      <c r="I865">
        <v>500</v>
      </c>
    </row>
    <row r="866" spans="1:9" x14ac:dyDescent="0.35">
      <c r="A866">
        <v>865</v>
      </c>
      <c r="B866" s="1">
        <v>45281</v>
      </c>
      <c r="C866" t="s">
        <v>878</v>
      </c>
      <c r="D866" t="s">
        <v>13</v>
      </c>
      <c r="E866">
        <v>42</v>
      </c>
      <c r="F866" t="s">
        <v>14</v>
      </c>
      <c r="G866">
        <v>1</v>
      </c>
      <c r="H866">
        <v>300</v>
      </c>
      <c r="I866">
        <v>300</v>
      </c>
    </row>
    <row r="867" spans="1:9" x14ac:dyDescent="0.35">
      <c r="A867">
        <v>866</v>
      </c>
      <c r="B867" s="1">
        <v>45051</v>
      </c>
      <c r="C867" t="s">
        <v>879</v>
      </c>
      <c r="D867" t="s">
        <v>10</v>
      </c>
      <c r="E867">
        <v>24</v>
      </c>
      <c r="F867" t="s">
        <v>16</v>
      </c>
      <c r="G867">
        <v>1</v>
      </c>
      <c r="H867">
        <v>50</v>
      </c>
      <c r="I867">
        <v>50</v>
      </c>
    </row>
    <row r="868" spans="1:9" x14ac:dyDescent="0.35">
      <c r="A868">
        <v>867</v>
      </c>
      <c r="B868" s="1">
        <v>45083</v>
      </c>
      <c r="C868" t="s">
        <v>880</v>
      </c>
      <c r="D868" t="s">
        <v>10</v>
      </c>
      <c r="E868">
        <v>21</v>
      </c>
      <c r="F868" t="s">
        <v>16</v>
      </c>
      <c r="G868">
        <v>1</v>
      </c>
      <c r="H868">
        <v>500</v>
      </c>
      <c r="I868">
        <v>500</v>
      </c>
    </row>
    <row r="869" spans="1:9" x14ac:dyDescent="0.35">
      <c r="A869">
        <v>868</v>
      </c>
      <c r="B869" s="1">
        <v>45266</v>
      </c>
      <c r="C869" t="s">
        <v>881</v>
      </c>
      <c r="D869" t="s">
        <v>13</v>
      </c>
      <c r="E869">
        <v>25</v>
      </c>
      <c r="F869" t="s">
        <v>16</v>
      </c>
      <c r="G869">
        <v>1</v>
      </c>
      <c r="H869">
        <v>300</v>
      </c>
      <c r="I869">
        <v>300</v>
      </c>
    </row>
    <row r="870" spans="1:9" x14ac:dyDescent="0.35">
      <c r="A870">
        <v>869</v>
      </c>
      <c r="B870" s="1">
        <v>45224</v>
      </c>
      <c r="C870" t="s">
        <v>882</v>
      </c>
      <c r="D870" t="s">
        <v>10</v>
      </c>
      <c r="E870">
        <v>37</v>
      </c>
      <c r="F870" t="s">
        <v>11</v>
      </c>
      <c r="G870">
        <v>3</v>
      </c>
      <c r="H870">
        <v>500</v>
      </c>
      <c r="I870">
        <v>1500</v>
      </c>
    </row>
    <row r="871" spans="1:9" x14ac:dyDescent="0.35">
      <c r="A871">
        <v>870</v>
      </c>
      <c r="B871" s="1">
        <v>45115</v>
      </c>
      <c r="C871" t="s">
        <v>883</v>
      </c>
      <c r="D871" t="s">
        <v>13</v>
      </c>
      <c r="E871">
        <v>46</v>
      </c>
      <c r="F871" t="s">
        <v>16</v>
      </c>
      <c r="G871">
        <v>4</v>
      </c>
      <c r="H871">
        <v>30</v>
      </c>
      <c r="I871">
        <v>120</v>
      </c>
    </row>
    <row r="872" spans="1:9" x14ac:dyDescent="0.35">
      <c r="A872">
        <v>871</v>
      </c>
      <c r="B872" s="1">
        <v>45169</v>
      </c>
      <c r="C872" t="s">
        <v>884</v>
      </c>
      <c r="D872" t="s">
        <v>10</v>
      </c>
      <c r="E872">
        <v>62</v>
      </c>
      <c r="F872" t="s">
        <v>11</v>
      </c>
      <c r="G872">
        <v>2</v>
      </c>
      <c r="H872">
        <v>30</v>
      </c>
      <c r="I872">
        <v>60</v>
      </c>
    </row>
    <row r="873" spans="1:9" x14ac:dyDescent="0.35">
      <c r="A873">
        <v>872</v>
      </c>
      <c r="B873" s="1">
        <v>45210</v>
      </c>
      <c r="C873" t="s">
        <v>885</v>
      </c>
      <c r="D873" t="s">
        <v>13</v>
      </c>
      <c r="E873">
        <v>63</v>
      </c>
      <c r="F873" t="s">
        <v>11</v>
      </c>
      <c r="G873">
        <v>3</v>
      </c>
      <c r="H873">
        <v>25</v>
      </c>
      <c r="I873">
        <v>75</v>
      </c>
    </row>
    <row r="874" spans="1:9" x14ac:dyDescent="0.35">
      <c r="A874">
        <v>873</v>
      </c>
      <c r="B874" s="1">
        <v>45198</v>
      </c>
      <c r="C874" t="s">
        <v>886</v>
      </c>
      <c r="D874" t="s">
        <v>13</v>
      </c>
      <c r="E874">
        <v>27</v>
      </c>
      <c r="F874" t="s">
        <v>16</v>
      </c>
      <c r="G874">
        <v>4</v>
      </c>
      <c r="H874">
        <v>25</v>
      </c>
      <c r="I874">
        <v>100</v>
      </c>
    </row>
    <row r="875" spans="1:9" x14ac:dyDescent="0.35">
      <c r="A875">
        <v>874</v>
      </c>
      <c r="B875" s="1">
        <v>45103</v>
      </c>
      <c r="C875" t="s">
        <v>887</v>
      </c>
      <c r="D875" t="s">
        <v>10</v>
      </c>
      <c r="E875">
        <v>60</v>
      </c>
      <c r="F875" t="s">
        <v>11</v>
      </c>
      <c r="G875">
        <v>1</v>
      </c>
      <c r="H875">
        <v>30</v>
      </c>
      <c r="I875">
        <v>30</v>
      </c>
    </row>
    <row r="876" spans="1:9" x14ac:dyDescent="0.35">
      <c r="A876">
        <v>875</v>
      </c>
      <c r="B876" s="1">
        <v>45144</v>
      </c>
      <c r="C876" t="s">
        <v>888</v>
      </c>
      <c r="D876" t="s">
        <v>13</v>
      </c>
      <c r="E876">
        <v>51</v>
      </c>
      <c r="F876" t="s">
        <v>16</v>
      </c>
      <c r="G876">
        <v>4</v>
      </c>
      <c r="H876">
        <v>500</v>
      </c>
      <c r="I876">
        <v>2000</v>
      </c>
    </row>
    <row r="877" spans="1:9" x14ac:dyDescent="0.35">
      <c r="A877">
        <v>876</v>
      </c>
      <c r="B877" s="1">
        <v>45208</v>
      </c>
      <c r="C877" t="s">
        <v>889</v>
      </c>
      <c r="D877" t="s">
        <v>10</v>
      </c>
      <c r="E877">
        <v>43</v>
      </c>
      <c r="F877" t="s">
        <v>14</v>
      </c>
      <c r="G877">
        <v>4</v>
      </c>
      <c r="H877">
        <v>30</v>
      </c>
      <c r="I877">
        <v>120</v>
      </c>
    </row>
    <row r="878" spans="1:9" x14ac:dyDescent="0.35">
      <c r="A878">
        <v>877</v>
      </c>
      <c r="B878" s="1">
        <v>45096</v>
      </c>
      <c r="C878" t="s">
        <v>890</v>
      </c>
      <c r="D878" t="s">
        <v>13</v>
      </c>
      <c r="E878">
        <v>58</v>
      </c>
      <c r="F878" t="s">
        <v>14</v>
      </c>
      <c r="G878">
        <v>1</v>
      </c>
      <c r="H878">
        <v>25</v>
      </c>
      <c r="I878">
        <v>25</v>
      </c>
    </row>
    <row r="879" spans="1:9" x14ac:dyDescent="0.35">
      <c r="A879">
        <v>878</v>
      </c>
      <c r="B879" s="1">
        <v>45107</v>
      </c>
      <c r="C879" t="s">
        <v>891</v>
      </c>
      <c r="D879" t="s">
        <v>13</v>
      </c>
      <c r="E879">
        <v>20</v>
      </c>
      <c r="F879" t="s">
        <v>14</v>
      </c>
      <c r="G879">
        <v>1</v>
      </c>
      <c r="H879">
        <v>30</v>
      </c>
      <c r="I879">
        <v>30</v>
      </c>
    </row>
    <row r="880" spans="1:9" x14ac:dyDescent="0.35">
      <c r="A880">
        <v>879</v>
      </c>
      <c r="B880" s="1">
        <v>45286</v>
      </c>
      <c r="C880" t="s">
        <v>892</v>
      </c>
      <c r="D880" t="s">
        <v>10</v>
      </c>
      <c r="E880">
        <v>23</v>
      </c>
      <c r="F880" t="s">
        <v>14</v>
      </c>
      <c r="G880">
        <v>1</v>
      </c>
      <c r="H880">
        <v>30</v>
      </c>
      <c r="I880">
        <v>30</v>
      </c>
    </row>
    <row r="881" spans="1:9" x14ac:dyDescent="0.35">
      <c r="A881">
        <v>880</v>
      </c>
      <c r="B881" s="1">
        <v>45159</v>
      </c>
      <c r="C881" t="s">
        <v>893</v>
      </c>
      <c r="D881" t="s">
        <v>10</v>
      </c>
      <c r="E881">
        <v>22</v>
      </c>
      <c r="F881" t="s">
        <v>11</v>
      </c>
      <c r="G881">
        <v>2</v>
      </c>
      <c r="H881">
        <v>500</v>
      </c>
      <c r="I881">
        <v>1000</v>
      </c>
    </row>
    <row r="882" spans="1:9" x14ac:dyDescent="0.35">
      <c r="A882">
        <v>881</v>
      </c>
      <c r="B882" s="1">
        <v>45065</v>
      </c>
      <c r="C882" t="s">
        <v>894</v>
      </c>
      <c r="D882" t="s">
        <v>10</v>
      </c>
      <c r="E882">
        <v>22</v>
      </c>
      <c r="F882" t="s">
        <v>16</v>
      </c>
      <c r="G882">
        <v>1</v>
      </c>
      <c r="H882">
        <v>300</v>
      </c>
      <c r="I882">
        <v>300</v>
      </c>
    </row>
    <row r="883" spans="1:9" x14ac:dyDescent="0.35">
      <c r="A883">
        <v>882</v>
      </c>
      <c r="B883" s="1">
        <v>45083</v>
      </c>
      <c r="C883" t="s">
        <v>895</v>
      </c>
      <c r="D883" t="s">
        <v>13</v>
      </c>
      <c r="E883">
        <v>64</v>
      </c>
      <c r="F883" t="s">
        <v>16</v>
      </c>
      <c r="G883">
        <v>2</v>
      </c>
      <c r="H883">
        <v>25</v>
      </c>
      <c r="I883">
        <v>50</v>
      </c>
    </row>
    <row r="884" spans="1:9" x14ac:dyDescent="0.35">
      <c r="A884">
        <v>883</v>
      </c>
      <c r="B884" s="1">
        <v>45055</v>
      </c>
      <c r="C884" t="s">
        <v>896</v>
      </c>
      <c r="D884" t="s">
        <v>10</v>
      </c>
      <c r="E884">
        <v>40</v>
      </c>
      <c r="F884" t="s">
        <v>16</v>
      </c>
      <c r="G884">
        <v>1</v>
      </c>
      <c r="H884">
        <v>500</v>
      </c>
      <c r="I884">
        <v>500</v>
      </c>
    </row>
    <row r="885" spans="1:9" x14ac:dyDescent="0.35">
      <c r="A885">
        <v>884</v>
      </c>
      <c r="B885" s="1">
        <v>45045</v>
      </c>
      <c r="C885" t="s">
        <v>897</v>
      </c>
      <c r="D885" t="s">
        <v>13</v>
      </c>
      <c r="E885">
        <v>26</v>
      </c>
      <c r="F885" t="s">
        <v>14</v>
      </c>
      <c r="G885">
        <v>2</v>
      </c>
      <c r="H885">
        <v>30</v>
      </c>
      <c r="I885">
        <v>60</v>
      </c>
    </row>
    <row r="886" spans="1:9" x14ac:dyDescent="0.35">
      <c r="A886">
        <v>885</v>
      </c>
      <c r="B886" s="1">
        <v>44988</v>
      </c>
      <c r="C886" t="s">
        <v>898</v>
      </c>
      <c r="D886" t="s">
        <v>13</v>
      </c>
      <c r="E886">
        <v>52</v>
      </c>
      <c r="F886" t="s">
        <v>14</v>
      </c>
      <c r="G886">
        <v>4</v>
      </c>
      <c r="H886">
        <v>30</v>
      </c>
      <c r="I886">
        <v>120</v>
      </c>
    </row>
    <row r="887" spans="1:9" x14ac:dyDescent="0.35">
      <c r="A887">
        <v>886</v>
      </c>
      <c r="B887" s="1">
        <v>45025</v>
      </c>
      <c r="C887" t="s">
        <v>899</v>
      </c>
      <c r="D887" t="s">
        <v>10</v>
      </c>
      <c r="E887">
        <v>37</v>
      </c>
      <c r="F887" t="s">
        <v>16</v>
      </c>
      <c r="G887">
        <v>3</v>
      </c>
      <c r="H887">
        <v>300</v>
      </c>
      <c r="I887">
        <v>900</v>
      </c>
    </row>
    <row r="888" spans="1:9" x14ac:dyDescent="0.35">
      <c r="A888">
        <v>887</v>
      </c>
      <c r="B888" s="1">
        <v>45088</v>
      </c>
      <c r="C888" t="s">
        <v>900</v>
      </c>
      <c r="D888" t="s">
        <v>10</v>
      </c>
      <c r="E888">
        <v>59</v>
      </c>
      <c r="F888" t="s">
        <v>14</v>
      </c>
      <c r="G888">
        <v>4</v>
      </c>
      <c r="H888">
        <v>25</v>
      </c>
      <c r="I888">
        <v>100</v>
      </c>
    </row>
    <row r="889" spans="1:9" x14ac:dyDescent="0.35">
      <c r="A889">
        <v>888</v>
      </c>
      <c r="B889" s="1">
        <v>44988</v>
      </c>
      <c r="C889" t="s">
        <v>901</v>
      </c>
      <c r="D889" t="s">
        <v>13</v>
      </c>
      <c r="E889">
        <v>52</v>
      </c>
      <c r="F889" t="s">
        <v>16</v>
      </c>
      <c r="G889">
        <v>4</v>
      </c>
      <c r="H889">
        <v>25</v>
      </c>
      <c r="I889">
        <v>100</v>
      </c>
    </row>
    <row r="890" spans="1:9" x14ac:dyDescent="0.35">
      <c r="A890">
        <v>889</v>
      </c>
      <c r="B890" s="1">
        <v>45201</v>
      </c>
      <c r="C890" t="s">
        <v>902</v>
      </c>
      <c r="D890" t="s">
        <v>13</v>
      </c>
      <c r="E890">
        <v>35</v>
      </c>
      <c r="F890" t="s">
        <v>16</v>
      </c>
      <c r="G890">
        <v>1</v>
      </c>
      <c r="H890">
        <v>50</v>
      </c>
      <c r="I890">
        <v>50</v>
      </c>
    </row>
    <row r="891" spans="1:9" x14ac:dyDescent="0.35">
      <c r="A891">
        <v>890</v>
      </c>
      <c r="B891" s="1">
        <v>45280</v>
      </c>
      <c r="C891" t="s">
        <v>903</v>
      </c>
      <c r="D891" t="s">
        <v>10</v>
      </c>
      <c r="E891">
        <v>34</v>
      </c>
      <c r="F891" t="s">
        <v>16</v>
      </c>
      <c r="G891">
        <v>2</v>
      </c>
      <c r="H891">
        <v>25</v>
      </c>
      <c r="I891">
        <v>50</v>
      </c>
    </row>
    <row r="892" spans="1:9" x14ac:dyDescent="0.35">
      <c r="A892">
        <v>891</v>
      </c>
      <c r="B892" s="1">
        <v>45021</v>
      </c>
      <c r="C892" t="s">
        <v>904</v>
      </c>
      <c r="D892" t="s">
        <v>10</v>
      </c>
      <c r="E892">
        <v>41</v>
      </c>
      <c r="F892" t="s">
        <v>16</v>
      </c>
      <c r="G892">
        <v>3</v>
      </c>
      <c r="H892">
        <v>300</v>
      </c>
      <c r="I892">
        <v>900</v>
      </c>
    </row>
    <row r="893" spans="1:9" x14ac:dyDescent="0.35">
      <c r="A893">
        <v>892</v>
      </c>
      <c r="B893" s="1">
        <v>45025</v>
      </c>
      <c r="C893" t="s">
        <v>905</v>
      </c>
      <c r="D893" t="s">
        <v>10</v>
      </c>
      <c r="E893">
        <v>20</v>
      </c>
      <c r="F893" t="s">
        <v>16</v>
      </c>
      <c r="G893">
        <v>1</v>
      </c>
      <c r="H893">
        <v>50</v>
      </c>
      <c r="I893">
        <v>50</v>
      </c>
    </row>
    <row r="894" spans="1:9" x14ac:dyDescent="0.35">
      <c r="A894">
        <v>893</v>
      </c>
      <c r="B894" s="1">
        <v>45037</v>
      </c>
      <c r="C894" t="s">
        <v>906</v>
      </c>
      <c r="D894" t="s">
        <v>10</v>
      </c>
      <c r="E894">
        <v>49</v>
      </c>
      <c r="F894" t="s">
        <v>16</v>
      </c>
      <c r="G894">
        <v>1</v>
      </c>
      <c r="H894">
        <v>50</v>
      </c>
      <c r="I894">
        <v>50</v>
      </c>
    </row>
    <row r="895" spans="1:9" x14ac:dyDescent="0.35">
      <c r="A895">
        <v>894</v>
      </c>
      <c r="B895" s="1">
        <v>45174</v>
      </c>
      <c r="C895" t="s">
        <v>907</v>
      </c>
      <c r="D895" t="s">
        <v>10</v>
      </c>
      <c r="E895">
        <v>52</v>
      </c>
      <c r="F895" t="s">
        <v>16</v>
      </c>
      <c r="G895">
        <v>1</v>
      </c>
      <c r="H895">
        <v>30</v>
      </c>
      <c r="I895">
        <v>30</v>
      </c>
    </row>
    <row r="896" spans="1:9" x14ac:dyDescent="0.35">
      <c r="A896">
        <v>895</v>
      </c>
      <c r="B896" s="1">
        <v>45068</v>
      </c>
      <c r="C896" t="s">
        <v>908</v>
      </c>
      <c r="D896" t="s">
        <v>13</v>
      </c>
      <c r="E896">
        <v>55</v>
      </c>
      <c r="F896" t="s">
        <v>14</v>
      </c>
      <c r="G896">
        <v>4</v>
      </c>
      <c r="H896">
        <v>30</v>
      </c>
      <c r="I896">
        <v>120</v>
      </c>
    </row>
    <row r="897" spans="1:9" x14ac:dyDescent="0.35">
      <c r="A897">
        <v>896</v>
      </c>
      <c r="B897" s="1">
        <v>45228</v>
      </c>
      <c r="C897" t="s">
        <v>909</v>
      </c>
      <c r="D897" t="s">
        <v>13</v>
      </c>
      <c r="E897">
        <v>30</v>
      </c>
      <c r="F897" t="s">
        <v>16</v>
      </c>
      <c r="G897">
        <v>2</v>
      </c>
      <c r="H897">
        <v>25</v>
      </c>
      <c r="I897">
        <v>50</v>
      </c>
    </row>
    <row r="898" spans="1:9" x14ac:dyDescent="0.35">
      <c r="A898">
        <v>897</v>
      </c>
      <c r="B898" s="1">
        <v>45195</v>
      </c>
      <c r="C898" t="s">
        <v>910</v>
      </c>
      <c r="D898" t="s">
        <v>13</v>
      </c>
      <c r="E898">
        <v>64</v>
      </c>
      <c r="F898" t="s">
        <v>16</v>
      </c>
      <c r="G898">
        <v>2</v>
      </c>
      <c r="H898">
        <v>50</v>
      </c>
      <c r="I898">
        <v>100</v>
      </c>
    </row>
    <row r="899" spans="1:9" x14ac:dyDescent="0.35">
      <c r="A899">
        <v>898</v>
      </c>
      <c r="B899" s="1">
        <v>45232</v>
      </c>
      <c r="C899" t="s">
        <v>911</v>
      </c>
      <c r="D899" t="s">
        <v>13</v>
      </c>
      <c r="E899">
        <v>42</v>
      </c>
      <c r="F899" t="s">
        <v>14</v>
      </c>
      <c r="G899">
        <v>3</v>
      </c>
      <c r="H899">
        <v>30</v>
      </c>
      <c r="I899">
        <v>90</v>
      </c>
    </row>
    <row r="900" spans="1:9" x14ac:dyDescent="0.35">
      <c r="A900">
        <v>899</v>
      </c>
      <c r="B900" s="1">
        <v>45071</v>
      </c>
      <c r="C900" t="s">
        <v>912</v>
      </c>
      <c r="D900" t="s">
        <v>10</v>
      </c>
      <c r="E900">
        <v>26</v>
      </c>
      <c r="F900" t="s">
        <v>14</v>
      </c>
      <c r="G900">
        <v>2</v>
      </c>
      <c r="H900">
        <v>300</v>
      </c>
      <c r="I900">
        <v>600</v>
      </c>
    </row>
    <row r="901" spans="1:9" x14ac:dyDescent="0.35">
      <c r="A901">
        <v>900</v>
      </c>
      <c r="B901" s="1">
        <v>44978</v>
      </c>
      <c r="C901" t="s">
        <v>913</v>
      </c>
      <c r="D901" t="s">
        <v>10</v>
      </c>
      <c r="E901">
        <v>21</v>
      </c>
      <c r="F901" t="s">
        <v>14</v>
      </c>
      <c r="G901">
        <v>2</v>
      </c>
      <c r="H901">
        <v>30</v>
      </c>
      <c r="I901">
        <v>60</v>
      </c>
    </row>
    <row r="902" spans="1:9" x14ac:dyDescent="0.35">
      <c r="A902">
        <v>901</v>
      </c>
      <c r="B902" s="1">
        <v>45026</v>
      </c>
      <c r="C902" t="s">
        <v>914</v>
      </c>
      <c r="D902" t="s">
        <v>10</v>
      </c>
      <c r="E902">
        <v>31</v>
      </c>
      <c r="F902" t="s">
        <v>16</v>
      </c>
      <c r="G902">
        <v>1</v>
      </c>
      <c r="H902">
        <v>30</v>
      </c>
      <c r="I902">
        <v>30</v>
      </c>
    </row>
    <row r="903" spans="1:9" x14ac:dyDescent="0.35">
      <c r="A903">
        <v>902</v>
      </c>
      <c r="B903" s="1">
        <v>45078</v>
      </c>
      <c r="C903" t="s">
        <v>915</v>
      </c>
      <c r="D903" t="s">
        <v>13</v>
      </c>
      <c r="E903">
        <v>54</v>
      </c>
      <c r="F903" t="s">
        <v>11</v>
      </c>
      <c r="G903">
        <v>1</v>
      </c>
      <c r="H903">
        <v>50</v>
      </c>
      <c r="I903">
        <v>50</v>
      </c>
    </row>
    <row r="904" spans="1:9" x14ac:dyDescent="0.35">
      <c r="A904">
        <v>903</v>
      </c>
      <c r="B904" s="1">
        <v>45043</v>
      </c>
      <c r="C904" t="s">
        <v>916</v>
      </c>
      <c r="D904" t="s">
        <v>13</v>
      </c>
      <c r="E904">
        <v>51</v>
      </c>
      <c r="F904" t="s">
        <v>11</v>
      </c>
      <c r="G904">
        <v>4</v>
      </c>
      <c r="H904">
        <v>50</v>
      </c>
      <c r="I904">
        <v>200</v>
      </c>
    </row>
    <row r="905" spans="1:9" x14ac:dyDescent="0.35">
      <c r="A905">
        <v>904</v>
      </c>
      <c r="B905" s="1">
        <v>45111</v>
      </c>
      <c r="C905" t="s">
        <v>917</v>
      </c>
      <c r="D905" t="s">
        <v>10</v>
      </c>
      <c r="E905">
        <v>28</v>
      </c>
      <c r="F905" t="s">
        <v>14</v>
      </c>
      <c r="G905">
        <v>1</v>
      </c>
      <c r="H905">
        <v>500</v>
      </c>
      <c r="I905">
        <v>500</v>
      </c>
    </row>
    <row r="906" spans="1:9" x14ac:dyDescent="0.35">
      <c r="A906">
        <v>905</v>
      </c>
      <c r="B906" s="1">
        <v>45018</v>
      </c>
      <c r="C906" t="s">
        <v>918</v>
      </c>
      <c r="D906" t="s">
        <v>10</v>
      </c>
      <c r="E906">
        <v>58</v>
      </c>
      <c r="F906" t="s">
        <v>11</v>
      </c>
      <c r="G906">
        <v>1</v>
      </c>
      <c r="H906">
        <v>300</v>
      </c>
      <c r="I906">
        <v>300</v>
      </c>
    </row>
    <row r="907" spans="1:9" x14ac:dyDescent="0.35">
      <c r="A907">
        <v>906</v>
      </c>
      <c r="B907" s="1">
        <v>45081</v>
      </c>
      <c r="C907" t="s">
        <v>919</v>
      </c>
      <c r="D907" t="s">
        <v>13</v>
      </c>
      <c r="E907">
        <v>20</v>
      </c>
      <c r="F907" t="s">
        <v>14</v>
      </c>
      <c r="G907">
        <v>1</v>
      </c>
      <c r="H907">
        <v>50</v>
      </c>
      <c r="I907">
        <v>50</v>
      </c>
    </row>
    <row r="908" spans="1:9" x14ac:dyDescent="0.35">
      <c r="A908">
        <v>907</v>
      </c>
      <c r="B908" s="1">
        <v>44934</v>
      </c>
      <c r="C908" t="s">
        <v>920</v>
      </c>
      <c r="D908" t="s">
        <v>13</v>
      </c>
      <c r="E908">
        <v>45</v>
      </c>
      <c r="F908" t="s">
        <v>16</v>
      </c>
      <c r="G908">
        <v>1</v>
      </c>
      <c r="H908">
        <v>25</v>
      </c>
      <c r="I908">
        <v>25</v>
      </c>
    </row>
    <row r="909" spans="1:9" x14ac:dyDescent="0.35">
      <c r="A909">
        <v>908</v>
      </c>
      <c r="B909" s="1">
        <v>45289</v>
      </c>
      <c r="C909" t="s">
        <v>921</v>
      </c>
      <c r="D909" t="s">
        <v>10</v>
      </c>
      <c r="E909">
        <v>46</v>
      </c>
      <c r="F909" t="s">
        <v>11</v>
      </c>
      <c r="G909">
        <v>4</v>
      </c>
      <c r="H909">
        <v>300</v>
      </c>
      <c r="I909">
        <v>1200</v>
      </c>
    </row>
    <row r="910" spans="1:9" x14ac:dyDescent="0.35">
      <c r="A910">
        <v>909</v>
      </c>
      <c r="B910" s="1">
        <v>45200</v>
      </c>
      <c r="C910" t="s">
        <v>922</v>
      </c>
      <c r="D910" t="s">
        <v>10</v>
      </c>
      <c r="E910">
        <v>26</v>
      </c>
      <c r="F910" t="s">
        <v>16</v>
      </c>
      <c r="G910">
        <v>1</v>
      </c>
      <c r="H910">
        <v>300</v>
      </c>
      <c r="I910">
        <v>300</v>
      </c>
    </row>
    <row r="911" spans="1:9" x14ac:dyDescent="0.35">
      <c r="A911">
        <v>910</v>
      </c>
      <c r="B911" s="1">
        <v>44991</v>
      </c>
      <c r="C911" t="s">
        <v>923</v>
      </c>
      <c r="D911" t="s">
        <v>13</v>
      </c>
      <c r="E911">
        <v>20</v>
      </c>
      <c r="F911" t="s">
        <v>11</v>
      </c>
      <c r="G911">
        <v>3</v>
      </c>
      <c r="H911">
        <v>50</v>
      </c>
      <c r="I911">
        <v>150</v>
      </c>
    </row>
    <row r="912" spans="1:9" x14ac:dyDescent="0.35">
      <c r="A912">
        <v>911</v>
      </c>
      <c r="B912" s="1">
        <v>45067</v>
      </c>
      <c r="C912" t="s">
        <v>924</v>
      </c>
      <c r="D912" t="s">
        <v>10</v>
      </c>
      <c r="E912">
        <v>42</v>
      </c>
      <c r="F912" t="s">
        <v>16</v>
      </c>
      <c r="G912">
        <v>3</v>
      </c>
      <c r="H912">
        <v>300</v>
      </c>
      <c r="I912">
        <v>900</v>
      </c>
    </row>
    <row r="913" spans="1:9" x14ac:dyDescent="0.35">
      <c r="A913">
        <v>912</v>
      </c>
      <c r="B913" s="1">
        <v>44950</v>
      </c>
      <c r="C913" t="s">
        <v>925</v>
      </c>
      <c r="D913" t="s">
        <v>10</v>
      </c>
      <c r="E913">
        <v>51</v>
      </c>
      <c r="F913" t="s">
        <v>11</v>
      </c>
      <c r="G913">
        <v>3</v>
      </c>
      <c r="H913">
        <v>50</v>
      </c>
      <c r="I913">
        <v>150</v>
      </c>
    </row>
    <row r="914" spans="1:9" x14ac:dyDescent="0.35">
      <c r="A914">
        <v>913</v>
      </c>
      <c r="B914" s="1">
        <v>44954</v>
      </c>
      <c r="C914" t="s">
        <v>926</v>
      </c>
      <c r="D914" t="s">
        <v>10</v>
      </c>
      <c r="E914">
        <v>29</v>
      </c>
      <c r="F914" t="s">
        <v>16</v>
      </c>
      <c r="G914">
        <v>3</v>
      </c>
      <c r="H914">
        <v>30</v>
      </c>
      <c r="I914">
        <v>90</v>
      </c>
    </row>
    <row r="915" spans="1:9" x14ac:dyDescent="0.35">
      <c r="A915">
        <v>914</v>
      </c>
      <c r="B915" s="1">
        <v>45210</v>
      </c>
      <c r="C915" t="s">
        <v>927</v>
      </c>
      <c r="D915" t="s">
        <v>13</v>
      </c>
      <c r="E915">
        <v>59</v>
      </c>
      <c r="F915" t="s">
        <v>16</v>
      </c>
      <c r="G915">
        <v>1</v>
      </c>
      <c r="H915">
        <v>500</v>
      </c>
      <c r="I915">
        <v>500</v>
      </c>
    </row>
    <row r="916" spans="1:9" x14ac:dyDescent="0.35">
      <c r="A916">
        <v>915</v>
      </c>
      <c r="B916" s="1">
        <v>45076</v>
      </c>
      <c r="C916" t="s">
        <v>928</v>
      </c>
      <c r="D916" t="s">
        <v>13</v>
      </c>
      <c r="E916">
        <v>26</v>
      </c>
      <c r="F916" t="s">
        <v>11</v>
      </c>
      <c r="G916">
        <v>3</v>
      </c>
      <c r="H916">
        <v>30</v>
      </c>
      <c r="I916">
        <v>90</v>
      </c>
    </row>
    <row r="917" spans="1:9" x14ac:dyDescent="0.35">
      <c r="A917">
        <v>916</v>
      </c>
      <c r="B917" s="1">
        <v>45284</v>
      </c>
      <c r="C917" t="s">
        <v>929</v>
      </c>
      <c r="D917" t="s">
        <v>13</v>
      </c>
      <c r="E917">
        <v>32</v>
      </c>
      <c r="F917" t="s">
        <v>16</v>
      </c>
      <c r="G917">
        <v>1</v>
      </c>
      <c r="H917">
        <v>50</v>
      </c>
      <c r="I917">
        <v>50</v>
      </c>
    </row>
    <row r="918" spans="1:9" x14ac:dyDescent="0.35">
      <c r="A918">
        <v>917</v>
      </c>
      <c r="B918" s="1">
        <v>44991</v>
      </c>
      <c r="C918" t="s">
        <v>930</v>
      </c>
      <c r="D918" t="s">
        <v>13</v>
      </c>
      <c r="E918">
        <v>57</v>
      </c>
      <c r="F918" t="s">
        <v>16</v>
      </c>
      <c r="G918">
        <v>4</v>
      </c>
      <c r="H918">
        <v>50</v>
      </c>
      <c r="I918">
        <v>200</v>
      </c>
    </row>
    <row r="919" spans="1:9" x14ac:dyDescent="0.35">
      <c r="A919">
        <v>918</v>
      </c>
      <c r="B919" s="1">
        <v>45253</v>
      </c>
      <c r="C919" t="s">
        <v>931</v>
      </c>
      <c r="D919" t="s">
        <v>13</v>
      </c>
      <c r="E919">
        <v>42</v>
      </c>
      <c r="F919" t="s">
        <v>16</v>
      </c>
      <c r="G919">
        <v>3</v>
      </c>
      <c r="H919">
        <v>30</v>
      </c>
      <c r="I919">
        <v>90</v>
      </c>
    </row>
    <row r="920" spans="1:9" x14ac:dyDescent="0.35">
      <c r="A920">
        <v>919</v>
      </c>
      <c r="B920" s="1">
        <v>45178</v>
      </c>
      <c r="C920" t="s">
        <v>932</v>
      </c>
      <c r="D920" t="s">
        <v>13</v>
      </c>
      <c r="E920">
        <v>22</v>
      </c>
      <c r="F920" t="s">
        <v>11</v>
      </c>
      <c r="G920">
        <v>2</v>
      </c>
      <c r="H920">
        <v>25</v>
      </c>
      <c r="I920">
        <v>50</v>
      </c>
    </row>
    <row r="921" spans="1:9" x14ac:dyDescent="0.35">
      <c r="A921">
        <v>920</v>
      </c>
      <c r="B921" s="1">
        <v>44979</v>
      </c>
      <c r="C921" t="s">
        <v>933</v>
      </c>
      <c r="D921" t="s">
        <v>13</v>
      </c>
      <c r="E921">
        <v>28</v>
      </c>
      <c r="F921" t="s">
        <v>11</v>
      </c>
      <c r="G921">
        <v>3</v>
      </c>
      <c r="H921">
        <v>25</v>
      </c>
      <c r="I921">
        <v>75</v>
      </c>
    </row>
    <row r="922" spans="1:9" x14ac:dyDescent="0.35">
      <c r="A922">
        <v>921</v>
      </c>
      <c r="B922" s="1">
        <v>44933</v>
      </c>
      <c r="C922" t="s">
        <v>934</v>
      </c>
      <c r="D922" t="s">
        <v>10</v>
      </c>
      <c r="E922">
        <v>51</v>
      </c>
      <c r="F922" t="s">
        <v>16</v>
      </c>
      <c r="G922">
        <v>3</v>
      </c>
      <c r="H922">
        <v>25</v>
      </c>
      <c r="I922">
        <v>75</v>
      </c>
    </row>
    <row r="923" spans="1:9" x14ac:dyDescent="0.35">
      <c r="A923">
        <v>922</v>
      </c>
      <c r="B923" s="1">
        <v>45220</v>
      </c>
      <c r="C923" t="s">
        <v>935</v>
      </c>
      <c r="D923" t="s">
        <v>10</v>
      </c>
      <c r="E923">
        <v>41</v>
      </c>
      <c r="F923" t="s">
        <v>16</v>
      </c>
      <c r="G923">
        <v>1</v>
      </c>
      <c r="H923">
        <v>50</v>
      </c>
      <c r="I923">
        <v>50</v>
      </c>
    </row>
    <row r="924" spans="1:9" x14ac:dyDescent="0.35">
      <c r="A924">
        <v>923</v>
      </c>
      <c r="B924" s="1">
        <v>45072</v>
      </c>
      <c r="C924" t="s">
        <v>936</v>
      </c>
      <c r="D924" t="s">
        <v>10</v>
      </c>
      <c r="E924">
        <v>32</v>
      </c>
      <c r="F924" t="s">
        <v>11</v>
      </c>
      <c r="G924">
        <v>3</v>
      </c>
      <c r="H924">
        <v>300</v>
      </c>
      <c r="I924">
        <v>900</v>
      </c>
    </row>
    <row r="925" spans="1:9" x14ac:dyDescent="0.35">
      <c r="A925">
        <v>924</v>
      </c>
      <c r="B925" s="1">
        <v>45167</v>
      </c>
      <c r="C925" t="s">
        <v>937</v>
      </c>
      <c r="D925" t="s">
        <v>10</v>
      </c>
      <c r="E925">
        <v>55</v>
      </c>
      <c r="F925" t="s">
        <v>11</v>
      </c>
      <c r="G925">
        <v>2</v>
      </c>
      <c r="H925">
        <v>50</v>
      </c>
      <c r="I925">
        <v>100</v>
      </c>
    </row>
    <row r="926" spans="1:9" x14ac:dyDescent="0.35">
      <c r="A926">
        <v>925</v>
      </c>
      <c r="B926" s="1">
        <v>45172</v>
      </c>
      <c r="C926" t="s">
        <v>938</v>
      </c>
      <c r="D926" t="s">
        <v>10</v>
      </c>
      <c r="E926">
        <v>25</v>
      </c>
      <c r="F926" t="s">
        <v>16</v>
      </c>
      <c r="G926">
        <v>1</v>
      </c>
      <c r="H926">
        <v>300</v>
      </c>
      <c r="I926">
        <v>300</v>
      </c>
    </row>
    <row r="927" spans="1:9" x14ac:dyDescent="0.35">
      <c r="A927">
        <v>926</v>
      </c>
      <c r="B927" s="1">
        <v>45152</v>
      </c>
      <c r="C927" t="s">
        <v>939</v>
      </c>
      <c r="D927" t="s">
        <v>10</v>
      </c>
      <c r="E927">
        <v>22</v>
      </c>
      <c r="F927" t="s">
        <v>16</v>
      </c>
      <c r="G927">
        <v>1</v>
      </c>
      <c r="H927">
        <v>30</v>
      </c>
      <c r="I927">
        <v>30</v>
      </c>
    </row>
    <row r="928" spans="1:9" x14ac:dyDescent="0.35">
      <c r="A928">
        <v>927</v>
      </c>
      <c r="B928" s="1">
        <v>45101</v>
      </c>
      <c r="C928" t="s">
        <v>940</v>
      </c>
      <c r="D928" t="s">
        <v>10</v>
      </c>
      <c r="E928">
        <v>43</v>
      </c>
      <c r="F928" t="s">
        <v>16</v>
      </c>
      <c r="G928">
        <v>4</v>
      </c>
      <c r="H928">
        <v>500</v>
      </c>
      <c r="I928">
        <v>2000</v>
      </c>
    </row>
    <row r="929" spans="1:9" x14ac:dyDescent="0.35">
      <c r="A929">
        <v>928</v>
      </c>
      <c r="B929" s="1">
        <v>45021</v>
      </c>
      <c r="C929" t="s">
        <v>941</v>
      </c>
      <c r="D929" t="s">
        <v>13</v>
      </c>
      <c r="E929">
        <v>35</v>
      </c>
      <c r="F929" t="s">
        <v>14</v>
      </c>
      <c r="G929">
        <v>4</v>
      </c>
      <c r="H929">
        <v>300</v>
      </c>
      <c r="I929">
        <v>1200</v>
      </c>
    </row>
    <row r="930" spans="1:9" x14ac:dyDescent="0.35">
      <c r="A930">
        <v>929</v>
      </c>
      <c r="B930" s="1">
        <v>44953</v>
      </c>
      <c r="C930" t="s">
        <v>942</v>
      </c>
      <c r="D930" t="s">
        <v>13</v>
      </c>
      <c r="E930">
        <v>23</v>
      </c>
      <c r="F930" t="s">
        <v>11</v>
      </c>
      <c r="G930">
        <v>3</v>
      </c>
      <c r="H930">
        <v>25</v>
      </c>
      <c r="I930">
        <v>75</v>
      </c>
    </row>
    <row r="931" spans="1:9" x14ac:dyDescent="0.35">
      <c r="A931">
        <v>930</v>
      </c>
      <c r="B931" s="1">
        <v>45056</v>
      </c>
      <c r="C931" t="s">
        <v>943</v>
      </c>
      <c r="D931" t="s">
        <v>10</v>
      </c>
      <c r="E931">
        <v>54</v>
      </c>
      <c r="F931" t="s">
        <v>14</v>
      </c>
      <c r="G931">
        <v>4</v>
      </c>
      <c r="H931">
        <v>50</v>
      </c>
      <c r="I931">
        <v>200</v>
      </c>
    </row>
    <row r="932" spans="1:9" x14ac:dyDescent="0.35">
      <c r="A932">
        <v>931</v>
      </c>
      <c r="B932" s="1">
        <v>45171</v>
      </c>
      <c r="C932" t="s">
        <v>944</v>
      </c>
      <c r="D932" t="s">
        <v>10</v>
      </c>
      <c r="E932">
        <v>30</v>
      </c>
      <c r="F932" t="s">
        <v>11</v>
      </c>
      <c r="G932">
        <v>4</v>
      </c>
      <c r="H932">
        <v>30</v>
      </c>
      <c r="I932">
        <v>120</v>
      </c>
    </row>
    <row r="933" spans="1:9" x14ac:dyDescent="0.35">
      <c r="A933">
        <v>932</v>
      </c>
      <c r="B933" s="1">
        <v>44985</v>
      </c>
      <c r="C933" t="s">
        <v>945</v>
      </c>
      <c r="D933" t="s">
        <v>13</v>
      </c>
      <c r="E933">
        <v>45</v>
      </c>
      <c r="F933" t="s">
        <v>11</v>
      </c>
      <c r="G933">
        <v>4</v>
      </c>
      <c r="H933">
        <v>25</v>
      </c>
      <c r="I933">
        <v>100</v>
      </c>
    </row>
    <row r="934" spans="1:9" x14ac:dyDescent="0.35">
      <c r="A934">
        <v>933</v>
      </c>
      <c r="B934" s="1">
        <v>44960</v>
      </c>
      <c r="C934" t="s">
        <v>946</v>
      </c>
      <c r="D934" t="s">
        <v>10</v>
      </c>
      <c r="E934">
        <v>22</v>
      </c>
      <c r="F934" t="s">
        <v>11</v>
      </c>
      <c r="G934">
        <v>1</v>
      </c>
      <c r="H934">
        <v>30</v>
      </c>
      <c r="I934">
        <v>30</v>
      </c>
    </row>
    <row r="935" spans="1:9" x14ac:dyDescent="0.35">
      <c r="A935">
        <v>934</v>
      </c>
      <c r="B935" s="1">
        <v>45132</v>
      </c>
      <c r="C935" t="s">
        <v>947</v>
      </c>
      <c r="D935" t="s">
        <v>10</v>
      </c>
      <c r="E935">
        <v>30</v>
      </c>
      <c r="F935" t="s">
        <v>11</v>
      </c>
      <c r="G935">
        <v>1</v>
      </c>
      <c r="H935">
        <v>500</v>
      </c>
      <c r="I935">
        <v>500</v>
      </c>
    </row>
    <row r="936" spans="1:9" x14ac:dyDescent="0.35">
      <c r="A936">
        <v>935</v>
      </c>
      <c r="B936" s="1">
        <v>45178</v>
      </c>
      <c r="C936" t="s">
        <v>948</v>
      </c>
      <c r="D936" t="s">
        <v>13</v>
      </c>
      <c r="E936">
        <v>34</v>
      </c>
      <c r="F936" t="s">
        <v>11</v>
      </c>
      <c r="G936">
        <v>1</v>
      </c>
      <c r="H936">
        <v>50</v>
      </c>
      <c r="I936">
        <v>50</v>
      </c>
    </row>
    <row r="937" spans="1:9" x14ac:dyDescent="0.35">
      <c r="A937">
        <v>936</v>
      </c>
      <c r="B937" s="1">
        <v>44964</v>
      </c>
      <c r="C937" t="s">
        <v>949</v>
      </c>
      <c r="D937" t="s">
        <v>10</v>
      </c>
      <c r="E937">
        <v>57</v>
      </c>
      <c r="F937" t="s">
        <v>11</v>
      </c>
      <c r="G937">
        <v>4</v>
      </c>
      <c r="H937">
        <v>50</v>
      </c>
      <c r="I937">
        <v>200</v>
      </c>
    </row>
    <row r="938" spans="1:9" x14ac:dyDescent="0.35">
      <c r="A938">
        <v>937</v>
      </c>
      <c r="B938" s="1">
        <v>45222</v>
      </c>
      <c r="C938" t="s">
        <v>950</v>
      </c>
      <c r="D938" t="s">
        <v>13</v>
      </c>
      <c r="E938">
        <v>62</v>
      </c>
      <c r="F938" t="s">
        <v>11</v>
      </c>
      <c r="G938">
        <v>1</v>
      </c>
      <c r="H938">
        <v>500</v>
      </c>
      <c r="I938">
        <v>500</v>
      </c>
    </row>
    <row r="939" spans="1:9" x14ac:dyDescent="0.35">
      <c r="A939">
        <v>938</v>
      </c>
      <c r="B939" s="1">
        <v>45249</v>
      </c>
      <c r="C939" t="s">
        <v>951</v>
      </c>
      <c r="D939" t="s">
        <v>10</v>
      </c>
      <c r="E939">
        <v>49</v>
      </c>
      <c r="F939" t="s">
        <v>14</v>
      </c>
      <c r="G939">
        <v>4</v>
      </c>
      <c r="H939">
        <v>50</v>
      </c>
      <c r="I939">
        <v>200</v>
      </c>
    </row>
    <row r="940" spans="1:9" x14ac:dyDescent="0.35">
      <c r="A940">
        <v>939</v>
      </c>
      <c r="B940" s="1">
        <v>45278</v>
      </c>
      <c r="C940" t="s">
        <v>952</v>
      </c>
      <c r="D940" t="s">
        <v>13</v>
      </c>
      <c r="E940">
        <v>46</v>
      </c>
      <c r="F940" t="s">
        <v>16</v>
      </c>
      <c r="G940">
        <v>1</v>
      </c>
      <c r="H940">
        <v>300</v>
      </c>
      <c r="I940">
        <v>300</v>
      </c>
    </row>
    <row r="941" spans="1:9" x14ac:dyDescent="0.35">
      <c r="A941">
        <v>940</v>
      </c>
      <c r="B941" s="1">
        <v>44954</v>
      </c>
      <c r="C941" t="s">
        <v>953</v>
      </c>
      <c r="D941" t="s">
        <v>13</v>
      </c>
      <c r="E941">
        <v>20</v>
      </c>
      <c r="F941" t="s">
        <v>16</v>
      </c>
      <c r="G941">
        <v>1</v>
      </c>
      <c r="H941">
        <v>30</v>
      </c>
      <c r="I941">
        <v>30</v>
      </c>
    </row>
    <row r="942" spans="1:9" x14ac:dyDescent="0.35">
      <c r="A942">
        <v>941</v>
      </c>
      <c r="B942" s="1">
        <v>45004</v>
      </c>
      <c r="C942" t="s">
        <v>954</v>
      </c>
      <c r="D942" t="s">
        <v>13</v>
      </c>
      <c r="E942">
        <v>57</v>
      </c>
      <c r="F942" t="s">
        <v>14</v>
      </c>
      <c r="G942">
        <v>2</v>
      </c>
      <c r="H942">
        <v>25</v>
      </c>
      <c r="I942">
        <v>50</v>
      </c>
    </row>
    <row r="943" spans="1:9" x14ac:dyDescent="0.35">
      <c r="A943">
        <v>942</v>
      </c>
      <c r="B943" s="1">
        <v>45003</v>
      </c>
      <c r="C943" t="s">
        <v>955</v>
      </c>
      <c r="D943" t="s">
        <v>10</v>
      </c>
      <c r="E943">
        <v>51</v>
      </c>
      <c r="F943" t="s">
        <v>14</v>
      </c>
      <c r="G943">
        <v>3</v>
      </c>
      <c r="H943">
        <v>500</v>
      </c>
      <c r="I943">
        <v>1500</v>
      </c>
    </row>
    <row r="944" spans="1:9" x14ac:dyDescent="0.35">
      <c r="A944">
        <v>943</v>
      </c>
      <c r="B944" s="1">
        <v>45215</v>
      </c>
      <c r="C944" t="s">
        <v>956</v>
      </c>
      <c r="D944" t="s">
        <v>13</v>
      </c>
      <c r="E944">
        <v>57</v>
      </c>
      <c r="F944" t="s">
        <v>14</v>
      </c>
      <c r="G944">
        <v>4</v>
      </c>
      <c r="H944">
        <v>300</v>
      </c>
      <c r="I944">
        <v>1200</v>
      </c>
    </row>
    <row r="945" spans="1:9" x14ac:dyDescent="0.35">
      <c r="A945">
        <v>944</v>
      </c>
      <c r="B945" s="1">
        <v>45082</v>
      </c>
      <c r="C945" t="s">
        <v>957</v>
      </c>
      <c r="D945" t="s">
        <v>10</v>
      </c>
      <c r="E945">
        <v>44</v>
      </c>
      <c r="F945" t="s">
        <v>14</v>
      </c>
      <c r="G945">
        <v>2</v>
      </c>
      <c r="H945">
        <v>25</v>
      </c>
      <c r="I945">
        <v>50</v>
      </c>
    </row>
    <row r="946" spans="1:9" x14ac:dyDescent="0.35">
      <c r="A946">
        <v>945</v>
      </c>
      <c r="B946" s="1">
        <v>44970</v>
      </c>
      <c r="C946" t="s">
        <v>958</v>
      </c>
      <c r="D946" t="s">
        <v>10</v>
      </c>
      <c r="E946">
        <v>30</v>
      </c>
      <c r="F946" t="s">
        <v>11</v>
      </c>
      <c r="G946">
        <v>1</v>
      </c>
      <c r="H946">
        <v>25</v>
      </c>
      <c r="I946">
        <v>25</v>
      </c>
    </row>
    <row r="947" spans="1:9" x14ac:dyDescent="0.35">
      <c r="A947">
        <v>946</v>
      </c>
      <c r="B947" s="1">
        <v>45054</v>
      </c>
      <c r="C947" t="s">
        <v>959</v>
      </c>
      <c r="D947" t="s">
        <v>10</v>
      </c>
      <c r="E947">
        <v>62</v>
      </c>
      <c r="F947" t="s">
        <v>16</v>
      </c>
      <c r="G947">
        <v>4</v>
      </c>
      <c r="H947">
        <v>500</v>
      </c>
      <c r="I947">
        <v>2000</v>
      </c>
    </row>
    <row r="948" spans="1:9" x14ac:dyDescent="0.35">
      <c r="A948">
        <v>947</v>
      </c>
      <c r="B948" s="1">
        <v>44987</v>
      </c>
      <c r="C948" t="s">
        <v>960</v>
      </c>
      <c r="D948" t="s">
        <v>10</v>
      </c>
      <c r="E948">
        <v>50</v>
      </c>
      <c r="F948" t="s">
        <v>11</v>
      </c>
      <c r="G948">
        <v>1</v>
      </c>
      <c r="H948">
        <v>300</v>
      </c>
      <c r="I948">
        <v>300</v>
      </c>
    </row>
    <row r="949" spans="1:9" x14ac:dyDescent="0.35">
      <c r="A949">
        <v>948</v>
      </c>
      <c r="B949" s="1">
        <v>45212</v>
      </c>
      <c r="C949" t="s">
        <v>961</v>
      </c>
      <c r="D949" t="s">
        <v>13</v>
      </c>
      <c r="E949">
        <v>23</v>
      </c>
      <c r="F949" t="s">
        <v>16</v>
      </c>
      <c r="G949">
        <v>3</v>
      </c>
      <c r="H949">
        <v>25</v>
      </c>
      <c r="I949">
        <v>75</v>
      </c>
    </row>
    <row r="950" spans="1:9" x14ac:dyDescent="0.35">
      <c r="A950">
        <v>949</v>
      </c>
      <c r="B950" s="1">
        <v>45140</v>
      </c>
      <c r="C950" t="s">
        <v>962</v>
      </c>
      <c r="D950" t="s">
        <v>13</v>
      </c>
      <c r="E950">
        <v>41</v>
      </c>
      <c r="F950" t="s">
        <v>16</v>
      </c>
      <c r="G950">
        <v>2</v>
      </c>
      <c r="H950">
        <v>25</v>
      </c>
      <c r="I950">
        <v>50</v>
      </c>
    </row>
    <row r="951" spans="1:9" x14ac:dyDescent="0.35">
      <c r="A951">
        <v>950</v>
      </c>
      <c r="B951" s="1">
        <v>45237</v>
      </c>
      <c r="C951" t="s">
        <v>963</v>
      </c>
      <c r="D951" t="s">
        <v>10</v>
      </c>
      <c r="E951">
        <v>36</v>
      </c>
      <c r="F951" t="s">
        <v>14</v>
      </c>
      <c r="G951">
        <v>3</v>
      </c>
      <c r="H951">
        <v>300</v>
      </c>
      <c r="I951">
        <v>900</v>
      </c>
    </row>
    <row r="952" spans="1:9" x14ac:dyDescent="0.35">
      <c r="A952">
        <v>951</v>
      </c>
      <c r="B952" s="1">
        <v>45232</v>
      </c>
      <c r="C952" t="s">
        <v>964</v>
      </c>
      <c r="D952" t="s">
        <v>10</v>
      </c>
      <c r="E952">
        <v>33</v>
      </c>
      <c r="F952" t="s">
        <v>11</v>
      </c>
      <c r="G952">
        <v>2</v>
      </c>
      <c r="H952">
        <v>50</v>
      </c>
      <c r="I952">
        <v>100</v>
      </c>
    </row>
    <row r="953" spans="1:9" x14ac:dyDescent="0.35">
      <c r="A953">
        <v>952</v>
      </c>
      <c r="B953" s="1">
        <v>45243</v>
      </c>
      <c r="C953" t="s">
        <v>965</v>
      </c>
      <c r="D953" t="s">
        <v>13</v>
      </c>
      <c r="E953">
        <v>57</v>
      </c>
      <c r="F953" t="s">
        <v>14</v>
      </c>
      <c r="G953">
        <v>1</v>
      </c>
      <c r="H953">
        <v>25</v>
      </c>
      <c r="I953">
        <v>25</v>
      </c>
    </row>
    <row r="954" spans="1:9" x14ac:dyDescent="0.35">
      <c r="A954">
        <v>953</v>
      </c>
      <c r="B954" s="1">
        <v>45042</v>
      </c>
      <c r="C954" t="s">
        <v>966</v>
      </c>
      <c r="D954" t="s">
        <v>10</v>
      </c>
      <c r="E954">
        <v>45</v>
      </c>
      <c r="F954" t="s">
        <v>11</v>
      </c>
      <c r="G954">
        <v>3</v>
      </c>
      <c r="H954">
        <v>30</v>
      </c>
      <c r="I954">
        <v>90</v>
      </c>
    </row>
    <row r="955" spans="1:9" x14ac:dyDescent="0.35">
      <c r="A955">
        <v>954</v>
      </c>
      <c r="B955" s="1">
        <v>45194</v>
      </c>
      <c r="C955" t="s">
        <v>967</v>
      </c>
      <c r="D955" t="s">
        <v>13</v>
      </c>
      <c r="E955">
        <v>50</v>
      </c>
      <c r="F955" t="s">
        <v>16</v>
      </c>
      <c r="G955">
        <v>3</v>
      </c>
      <c r="H955">
        <v>300</v>
      </c>
      <c r="I955">
        <v>900</v>
      </c>
    </row>
    <row r="956" spans="1:9" x14ac:dyDescent="0.35">
      <c r="A956">
        <v>955</v>
      </c>
      <c r="B956" s="1">
        <v>45121</v>
      </c>
      <c r="C956" t="s">
        <v>968</v>
      </c>
      <c r="D956" t="s">
        <v>10</v>
      </c>
      <c r="E956">
        <v>58</v>
      </c>
      <c r="F956" t="s">
        <v>14</v>
      </c>
      <c r="G956">
        <v>1</v>
      </c>
      <c r="H956">
        <v>25</v>
      </c>
      <c r="I956">
        <v>25</v>
      </c>
    </row>
    <row r="957" spans="1:9" x14ac:dyDescent="0.35">
      <c r="A957">
        <v>956</v>
      </c>
      <c r="B957" s="1">
        <v>45157</v>
      </c>
      <c r="C957" t="s">
        <v>969</v>
      </c>
      <c r="D957" t="s">
        <v>10</v>
      </c>
      <c r="E957">
        <v>30</v>
      </c>
      <c r="F957" t="s">
        <v>14</v>
      </c>
      <c r="G957">
        <v>3</v>
      </c>
      <c r="H957">
        <v>500</v>
      </c>
      <c r="I957">
        <v>1500</v>
      </c>
    </row>
    <row r="958" spans="1:9" x14ac:dyDescent="0.35">
      <c r="A958">
        <v>957</v>
      </c>
      <c r="B958" s="1">
        <v>45153</v>
      </c>
      <c r="C958" t="s">
        <v>970</v>
      </c>
      <c r="D958" t="s">
        <v>13</v>
      </c>
      <c r="E958">
        <v>60</v>
      </c>
      <c r="F958" t="s">
        <v>16</v>
      </c>
      <c r="G958">
        <v>4</v>
      </c>
      <c r="H958">
        <v>30</v>
      </c>
      <c r="I958">
        <v>120</v>
      </c>
    </row>
    <row r="959" spans="1:9" x14ac:dyDescent="0.35">
      <c r="A959">
        <v>958</v>
      </c>
      <c r="B959" s="1">
        <v>45079</v>
      </c>
      <c r="C959" t="s">
        <v>971</v>
      </c>
      <c r="D959" t="s">
        <v>10</v>
      </c>
      <c r="E959">
        <v>62</v>
      </c>
      <c r="F959" t="s">
        <v>16</v>
      </c>
      <c r="G959">
        <v>2</v>
      </c>
      <c r="H959">
        <v>25</v>
      </c>
      <c r="I959">
        <v>50</v>
      </c>
    </row>
    <row r="960" spans="1:9" x14ac:dyDescent="0.35">
      <c r="A960">
        <v>959</v>
      </c>
      <c r="B960" s="1">
        <v>45228</v>
      </c>
      <c r="C960" t="s">
        <v>972</v>
      </c>
      <c r="D960" t="s">
        <v>13</v>
      </c>
      <c r="E960">
        <v>42</v>
      </c>
      <c r="F960" t="s">
        <v>16</v>
      </c>
      <c r="G960">
        <v>2</v>
      </c>
      <c r="H960">
        <v>30</v>
      </c>
      <c r="I960">
        <v>60</v>
      </c>
    </row>
    <row r="961" spans="1:9" x14ac:dyDescent="0.35">
      <c r="A961">
        <v>960</v>
      </c>
      <c r="B961" s="1">
        <v>45146</v>
      </c>
      <c r="C961" t="s">
        <v>973</v>
      </c>
      <c r="D961" t="s">
        <v>10</v>
      </c>
      <c r="E961">
        <v>59</v>
      </c>
      <c r="F961" t="s">
        <v>14</v>
      </c>
      <c r="G961">
        <v>2</v>
      </c>
      <c r="H961">
        <v>30</v>
      </c>
      <c r="I961">
        <v>60</v>
      </c>
    </row>
    <row r="962" spans="1:9" x14ac:dyDescent="0.35">
      <c r="A962">
        <v>961</v>
      </c>
      <c r="B962" s="1">
        <v>45083</v>
      </c>
      <c r="C962" t="s">
        <v>974</v>
      </c>
      <c r="D962" t="s">
        <v>10</v>
      </c>
      <c r="E962">
        <v>53</v>
      </c>
      <c r="F962" t="s">
        <v>11</v>
      </c>
      <c r="G962">
        <v>4</v>
      </c>
      <c r="H962">
        <v>50</v>
      </c>
      <c r="I962">
        <v>200</v>
      </c>
    </row>
    <row r="963" spans="1:9" x14ac:dyDescent="0.35">
      <c r="A963">
        <v>962</v>
      </c>
      <c r="B963" s="1">
        <v>45218</v>
      </c>
      <c r="C963" t="s">
        <v>975</v>
      </c>
      <c r="D963" t="s">
        <v>10</v>
      </c>
      <c r="E963">
        <v>44</v>
      </c>
      <c r="F963" t="s">
        <v>14</v>
      </c>
      <c r="G963">
        <v>2</v>
      </c>
      <c r="H963">
        <v>30</v>
      </c>
      <c r="I963">
        <v>60</v>
      </c>
    </row>
    <row r="964" spans="1:9" x14ac:dyDescent="0.35">
      <c r="A964">
        <v>963</v>
      </c>
      <c r="B964" s="1">
        <v>45244</v>
      </c>
      <c r="C964" t="s">
        <v>976</v>
      </c>
      <c r="D964" t="s">
        <v>13</v>
      </c>
      <c r="E964">
        <v>55</v>
      </c>
      <c r="F964" t="s">
        <v>11</v>
      </c>
      <c r="G964">
        <v>1</v>
      </c>
      <c r="H964">
        <v>50</v>
      </c>
      <c r="I964">
        <v>50</v>
      </c>
    </row>
    <row r="965" spans="1:9" x14ac:dyDescent="0.35">
      <c r="A965">
        <v>964</v>
      </c>
      <c r="B965" s="1">
        <v>44957</v>
      </c>
      <c r="C965" t="s">
        <v>977</v>
      </c>
      <c r="D965" t="s">
        <v>10</v>
      </c>
      <c r="E965">
        <v>24</v>
      </c>
      <c r="F965" t="s">
        <v>14</v>
      </c>
      <c r="G965">
        <v>3</v>
      </c>
      <c r="H965">
        <v>300</v>
      </c>
      <c r="I965">
        <v>900</v>
      </c>
    </row>
    <row r="966" spans="1:9" x14ac:dyDescent="0.35">
      <c r="A966">
        <v>965</v>
      </c>
      <c r="B966" s="1">
        <v>45239</v>
      </c>
      <c r="C966" t="s">
        <v>978</v>
      </c>
      <c r="D966" t="s">
        <v>10</v>
      </c>
      <c r="E966">
        <v>22</v>
      </c>
      <c r="F966" t="s">
        <v>14</v>
      </c>
      <c r="G966">
        <v>4</v>
      </c>
      <c r="H966">
        <v>50</v>
      </c>
      <c r="I966">
        <v>200</v>
      </c>
    </row>
    <row r="967" spans="1:9" x14ac:dyDescent="0.35">
      <c r="A967">
        <v>966</v>
      </c>
      <c r="B967" s="1">
        <v>44977</v>
      </c>
      <c r="C967" t="s">
        <v>979</v>
      </c>
      <c r="D967" t="s">
        <v>10</v>
      </c>
      <c r="E967">
        <v>60</v>
      </c>
      <c r="F967" t="s">
        <v>16</v>
      </c>
      <c r="G967">
        <v>2</v>
      </c>
      <c r="H967">
        <v>500</v>
      </c>
      <c r="I967">
        <v>1000</v>
      </c>
    </row>
    <row r="968" spans="1:9" x14ac:dyDescent="0.35">
      <c r="A968">
        <v>967</v>
      </c>
      <c r="B968" s="1">
        <v>45033</v>
      </c>
      <c r="C968" t="s">
        <v>980</v>
      </c>
      <c r="D968" t="s">
        <v>10</v>
      </c>
      <c r="E968">
        <v>62</v>
      </c>
      <c r="F968" t="s">
        <v>11</v>
      </c>
      <c r="G968">
        <v>1</v>
      </c>
      <c r="H968">
        <v>25</v>
      </c>
      <c r="I968">
        <v>25</v>
      </c>
    </row>
    <row r="969" spans="1:9" x14ac:dyDescent="0.35">
      <c r="A969">
        <v>968</v>
      </c>
      <c r="B969" s="1">
        <v>45247</v>
      </c>
      <c r="C969" t="s">
        <v>981</v>
      </c>
      <c r="D969" t="s">
        <v>13</v>
      </c>
      <c r="E969">
        <v>48</v>
      </c>
      <c r="F969" t="s">
        <v>14</v>
      </c>
      <c r="G969">
        <v>3</v>
      </c>
      <c r="H969">
        <v>300</v>
      </c>
      <c r="I969">
        <v>900</v>
      </c>
    </row>
    <row r="970" spans="1:9" x14ac:dyDescent="0.35">
      <c r="A970">
        <v>969</v>
      </c>
      <c r="B970" s="1">
        <v>45035</v>
      </c>
      <c r="C970" t="s">
        <v>982</v>
      </c>
      <c r="D970" t="s">
        <v>13</v>
      </c>
      <c r="E970">
        <v>40</v>
      </c>
      <c r="F970" t="s">
        <v>14</v>
      </c>
      <c r="G970">
        <v>3</v>
      </c>
      <c r="H970">
        <v>300</v>
      </c>
      <c r="I970">
        <v>900</v>
      </c>
    </row>
    <row r="971" spans="1:9" x14ac:dyDescent="0.35">
      <c r="A971">
        <v>970</v>
      </c>
      <c r="B971" s="1">
        <v>45062</v>
      </c>
      <c r="C971" t="s">
        <v>983</v>
      </c>
      <c r="D971" t="s">
        <v>10</v>
      </c>
      <c r="E971">
        <v>59</v>
      </c>
      <c r="F971" t="s">
        <v>16</v>
      </c>
      <c r="G971">
        <v>4</v>
      </c>
      <c r="H971">
        <v>500</v>
      </c>
      <c r="I971">
        <v>2000</v>
      </c>
    </row>
    <row r="972" spans="1:9" x14ac:dyDescent="0.35">
      <c r="A972">
        <v>971</v>
      </c>
      <c r="B972" s="1">
        <v>45265</v>
      </c>
      <c r="C972" t="s">
        <v>984</v>
      </c>
      <c r="D972" t="s">
        <v>13</v>
      </c>
      <c r="E972">
        <v>27</v>
      </c>
      <c r="F972" t="s">
        <v>16</v>
      </c>
      <c r="G972">
        <v>4</v>
      </c>
      <c r="H972">
        <v>50</v>
      </c>
      <c r="I972">
        <v>200</v>
      </c>
    </row>
    <row r="973" spans="1:9" x14ac:dyDescent="0.35">
      <c r="A973">
        <v>972</v>
      </c>
      <c r="B973" s="1">
        <v>44968</v>
      </c>
      <c r="C973" t="s">
        <v>985</v>
      </c>
      <c r="D973" t="s">
        <v>10</v>
      </c>
      <c r="E973">
        <v>49</v>
      </c>
      <c r="F973" t="s">
        <v>11</v>
      </c>
      <c r="G973">
        <v>4</v>
      </c>
      <c r="H973">
        <v>25</v>
      </c>
      <c r="I973">
        <v>100</v>
      </c>
    </row>
    <row r="974" spans="1:9" x14ac:dyDescent="0.35">
      <c r="A974">
        <v>973</v>
      </c>
      <c r="B974" s="1">
        <v>45007</v>
      </c>
      <c r="C974" t="s">
        <v>986</v>
      </c>
      <c r="D974" t="s">
        <v>10</v>
      </c>
      <c r="E974">
        <v>60</v>
      </c>
      <c r="F974" t="s">
        <v>14</v>
      </c>
      <c r="G974">
        <v>1</v>
      </c>
      <c r="H974">
        <v>50</v>
      </c>
      <c r="I974">
        <v>50</v>
      </c>
    </row>
    <row r="975" spans="1:9" x14ac:dyDescent="0.35">
      <c r="A975">
        <v>974</v>
      </c>
      <c r="B975" s="1">
        <v>45049</v>
      </c>
      <c r="C975" t="s">
        <v>987</v>
      </c>
      <c r="D975" t="s">
        <v>10</v>
      </c>
      <c r="E975">
        <v>47</v>
      </c>
      <c r="F975" t="s">
        <v>11</v>
      </c>
      <c r="G975">
        <v>1</v>
      </c>
      <c r="H975">
        <v>30</v>
      </c>
      <c r="I975">
        <v>30</v>
      </c>
    </row>
    <row r="976" spans="1:9" x14ac:dyDescent="0.35">
      <c r="A976">
        <v>975</v>
      </c>
      <c r="B976" s="1">
        <v>45015</v>
      </c>
      <c r="C976" t="s">
        <v>988</v>
      </c>
      <c r="D976" t="s">
        <v>13</v>
      </c>
      <c r="E976">
        <v>56</v>
      </c>
      <c r="F976" t="s">
        <v>14</v>
      </c>
      <c r="G976">
        <v>4</v>
      </c>
      <c r="H976">
        <v>50</v>
      </c>
      <c r="I976">
        <v>200</v>
      </c>
    </row>
    <row r="977" spans="1:9" x14ac:dyDescent="0.35">
      <c r="A977">
        <v>976</v>
      </c>
      <c r="B977" s="1">
        <v>45209</v>
      </c>
      <c r="C977" t="s">
        <v>989</v>
      </c>
      <c r="D977" t="s">
        <v>13</v>
      </c>
      <c r="E977">
        <v>48</v>
      </c>
      <c r="F977" t="s">
        <v>11</v>
      </c>
      <c r="G977">
        <v>2</v>
      </c>
      <c r="H977">
        <v>300</v>
      </c>
      <c r="I977">
        <v>600</v>
      </c>
    </row>
    <row r="978" spans="1:9" x14ac:dyDescent="0.35">
      <c r="A978">
        <v>977</v>
      </c>
      <c r="B978" s="1">
        <v>44965</v>
      </c>
      <c r="C978" t="s">
        <v>990</v>
      </c>
      <c r="D978" t="s">
        <v>13</v>
      </c>
      <c r="E978">
        <v>35</v>
      </c>
      <c r="F978" t="s">
        <v>16</v>
      </c>
      <c r="G978">
        <v>3</v>
      </c>
      <c r="H978">
        <v>25</v>
      </c>
      <c r="I978">
        <v>75</v>
      </c>
    </row>
    <row r="979" spans="1:9" x14ac:dyDescent="0.35">
      <c r="A979">
        <v>978</v>
      </c>
      <c r="B979" s="1">
        <v>45007</v>
      </c>
      <c r="C979" t="s">
        <v>991</v>
      </c>
      <c r="D979" t="s">
        <v>13</v>
      </c>
      <c r="E979">
        <v>53</v>
      </c>
      <c r="F979" t="s">
        <v>14</v>
      </c>
      <c r="G979">
        <v>3</v>
      </c>
      <c r="H979">
        <v>50</v>
      </c>
      <c r="I979">
        <v>150</v>
      </c>
    </row>
    <row r="980" spans="1:9" x14ac:dyDescent="0.35">
      <c r="A980">
        <v>979</v>
      </c>
      <c r="B980" s="1">
        <v>44928</v>
      </c>
      <c r="C980" t="s">
        <v>992</v>
      </c>
      <c r="D980" t="s">
        <v>13</v>
      </c>
      <c r="E980">
        <v>19</v>
      </c>
      <c r="F980" t="s">
        <v>11</v>
      </c>
      <c r="G980">
        <v>1</v>
      </c>
      <c r="H980">
        <v>25</v>
      </c>
      <c r="I980">
        <v>25</v>
      </c>
    </row>
    <row r="981" spans="1:9" x14ac:dyDescent="0.35">
      <c r="A981">
        <v>980</v>
      </c>
      <c r="B981" s="1">
        <v>45136</v>
      </c>
      <c r="C981" t="s">
        <v>993</v>
      </c>
      <c r="D981" t="s">
        <v>13</v>
      </c>
      <c r="E981">
        <v>31</v>
      </c>
      <c r="F981" t="s">
        <v>16</v>
      </c>
      <c r="G981">
        <v>3</v>
      </c>
      <c r="H981">
        <v>25</v>
      </c>
      <c r="I981">
        <v>75</v>
      </c>
    </row>
    <row r="982" spans="1:9" x14ac:dyDescent="0.35">
      <c r="A982">
        <v>981</v>
      </c>
      <c r="B982" s="1">
        <v>45157</v>
      </c>
      <c r="C982" t="s">
        <v>994</v>
      </c>
      <c r="D982" t="s">
        <v>13</v>
      </c>
      <c r="E982">
        <v>30</v>
      </c>
      <c r="F982" t="s">
        <v>16</v>
      </c>
      <c r="G982">
        <v>2</v>
      </c>
      <c r="H982">
        <v>30</v>
      </c>
      <c r="I982">
        <v>60</v>
      </c>
    </row>
    <row r="983" spans="1:9" x14ac:dyDescent="0.35">
      <c r="A983">
        <v>982</v>
      </c>
      <c r="B983" s="1">
        <v>45279</v>
      </c>
      <c r="C983" t="s">
        <v>995</v>
      </c>
      <c r="D983" t="s">
        <v>13</v>
      </c>
      <c r="E983">
        <v>46</v>
      </c>
      <c r="F983" t="s">
        <v>11</v>
      </c>
      <c r="G983">
        <v>3</v>
      </c>
      <c r="H983">
        <v>30</v>
      </c>
      <c r="I983">
        <v>90</v>
      </c>
    </row>
    <row r="984" spans="1:9" x14ac:dyDescent="0.35">
      <c r="A984">
        <v>983</v>
      </c>
      <c r="B984" s="1">
        <v>45231</v>
      </c>
      <c r="C984" t="s">
        <v>996</v>
      </c>
      <c r="D984" t="s">
        <v>13</v>
      </c>
      <c r="E984">
        <v>29</v>
      </c>
      <c r="F984" t="s">
        <v>14</v>
      </c>
      <c r="G984">
        <v>1</v>
      </c>
      <c r="H984">
        <v>300</v>
      </c>
      <c r="I984">
        <v>300</v>
      </c>
    </row>
    <row r="985" spans="1:9" x14ac:dyDescent="0.35">
      <c r="A985">
        <v>984</v>
      </c>
      <c r="B985" s="1">
        <v>45167</v>
      </c>
      <c r="C985" t="s">
        <v>997</v>
      </c>
      <c r="D985" t="s">
        <v>10</v>
      </c>
      <c r="E985">
        <v>56</v>
      </c>
      <c r="F985" t="s">
        <v>14</v>
      </c>
      <c r="G985">
        <v>1</v>
      </c>
      <c r="H985">
        <v>500</v>
      </c>
      <c r="I985">
        <v>500</v>
      </c>
    </row>
    <row r="986" spans="1:9" x14ac:dyDescent="0.35">
      <c r="A986">
        <v>985</v>
      </c>
      <c r="B986" s="1">
        <v>45076</v>
      </c>
      <c r="C986" t="s">
        <v>998</v>
      </c>
      <c r="D986" t="s">
        <v>13</v>
      </c>
      <c r="E986">
        <v>19</v>
      </c>
      <c r="F986" t="s">
        <v>16</v>
      </c>
      <c r="G986">
        <v>2</v>
      </c>
      <c r="H986">
        <v>25</v>
      </c>
      <c r="I986">
        <v>50</v>
      </c>
    </row>
    <row r="987" spans="1:9" x14ac:dyDescent="0.35">
      <c r="A987">
        <v>986</v>
      </c>
      <c r="B987" s="1">
        <v>44943</v>
      </c>
      <c r="C987" t="s">
        <v>999</v>
      </c>
      <c r="D987" t="s">
        <v>13</v>
      </c>
      <c r="E987">
        <v>49</v>
      </c>
      <c r="F987" t="s">
        <v>14</v>
      </c>
      <c r="G987">
        <v>2</v>
      </c>
      <c r="H987">
        <v>500</v>
      </c>
      <c r="I987">
        <v>1000</v>
      </c>
    </row>
    <row r="988" spans="1:9" x14ac:dyDescent="0.35">
      <c r="A988">
        <v>987</v>
      </c>
      <c r="B988" s="1">
        <v>45045</v>
      </c>
      <c r="C988" t="s">
        <v>1000</v>
      </c>
      <c r="D988" t="s">
        <v>13</v>
      </c>
      <c r="E988">
        <v>30</v>
      </c>
      <c r="F988" t="s">
        <v>14</v>
      </c>
      <c r="G988">
        <v>3</v>
      </c>
      <c r="H988">
        <v>300</v>
      </c>
      <c r="I988">
        <v>900</v>
      </c>
    </row>
    <row r="989" spans="1:9" x14ac:dyDescent="0.35">
      <c r="A989">
        <v>988</v>
      </c>
      <c r="B989" s="1">
        <v>45074</v>
      </c>
      <c r="C989" t="s">
        <v>1001</v>
      </c>
      <c r="D989" t="s">
        <v>13</v>
      </c>
      <c r="E989">
        <v>63</v>
      </c>
      <c r="F989" t="s">
        <v>14</v>
      </c>
      <c r="G989">
        <v>3</v>
      </c>
      <c r="H989">
        <v>25</v>
      </c>
      <c r="I989">
        <v>75</v>
      </c>
    </row>
    <row r="990" spans="1:9" x14ac:dyDescent="0.35">
      <c r="A990">
        <v>989</v>
      </c>
      <c r="B990" s="1">
        <v>45288</v>
      </c>
      <c r="C990" t="s">
        <v>1002</v>
      </c>
      <c r="D990" t="s">
        <v>13</v>
      </c>
      <c r="E990">
        <v>44</v>
      </c>
      <c r="F990" t="s">
        <v>16</v>
      </c>
      <c r="G990">
        <v>1</v>
      </c>
      <c r="H990">
        <v>25</v>
      </c>
      <c r="I990">
        <v>25</v>
      </c>
    </row>
    <row r="991" spans="1:9" x14ac:dyDescent="0.35">
      <c r="A991">
        <v>990</v>
      </c>
      <c r="B991" s="1">
        <v>45071</v>
      </c>
      <c r="C991" t="s">
        <v>1003</v>
      </c>
      <c r="D991" t="s">
        <v>13</v>
      </c>
      <c r="E991">
        <v>58</v>
      </c>
      <c r="F991" t="s">
        <v>11</v>
      </c>
      <c r="G991">
        <v>2</v>
      </c>
      <c r="H991">
        <v>500</v>
      </c>
      <c r="I991">
        <v>1000</v>
      </c>
    </row>
    <row r="992" spans="1:9" x14ac:dyDescent="0.35">
      <c r="A992">
        <v>991</v>
      </c>
      <c r="B992" s="1">
        <v>45286</v>
      </c>
      <c r="C992" t="s">
        <v>1004</v>
      </c>
      <c r="D992" t="s">
        <v>13</v>
      </c>
      <c r="E992">
        <v>34</v>
      </c>
      <c r="F992" t="s">
        <v>14</v>
      </c>
      <c r="G992">
        <v>2</v>
      </c>
      <c r="H992">
        <v>50</v>
      </c>
      <c r="I992">
        <v>100</v>
      </c>
    </row>
    <row r="993" spans="1:9" x14ac:dyDescent="0.35">
      <c r="A993">
        <v>992</v>
      </c>
      <c r="B993" s="1">
        <v>45159</v>
      </c>
      <c r="C993" t="s">
        <v>1005</v>
      </c>
      <c r="D993" t="s">
        <v>13</v>
      </c>
      <c r="E993">
        <v>57</v>
      </c>
      <c r="F993" t="s">
        <v>16</v>
      </c>
      <c r="G993">
        <v>2</v>
      </c>
      <c r="H993">
        <v>30</v>
      </c>
      <c r="I993">
        <v>60</v>
      </c>
    </row>
    <row r="994" spans="1:9" x14ac:dyDescent="0.35">
      <c r="A994">
        <v>993</v>
      </c>
      <c r="B994" s="1">
        <v>44963</v>
      </c>
      <c r="C994" t="s">
        <v>1006</v>
      </c>
      <c r="D994" t="s">
        <v>13</v>
      </c>
      <c r="E994">
        <v>48</v>
      </c>
      <c r="F994" t="s">
        <v>16</v>
      </c>
      <c r="G994">
        <v>3</v>
      </c>
      <c r="H994">
        <v>50</v>
      </c>
      <c r="I994">
        <v>150</v>
      </c>
    </row>
    <row r="995" spans="1:9" x14ac:dyDescent="0.35">
      <c r="A995">
        <v>994</v>
      </c>
      <c r="B995" s="1">
        <v>45278</v>
      </c>
      <c r="C995" t="s">
        <v>1007</v>
      </c>
      <c r="D995" t="s">
        <v>13</v>
      </c>
      <c r="E995">
        <v>51</v>
      </c>
      <c r="F995" t="s">
        <v>11</v>
      </c>
      <c r="G995">
        <v>2</v>
      </c>
      <c r="H995">
        <v>500</v>
      </c>
      <c r="I995">
        <v>1000</v>
      </c>
    </row>
    <row r="996" spans="1:9" x14ac:dyDescent="0.35">
      <c r="A996">
        <v>995</v>
      </c>
      <c r="B996" s="1">
        <v>45046</v>
      </c>
      <c r="C996" t="s">
        <v>1008</v>
      </c>
      <c r="D996" t="s">
        <v>13</v>
      </c>
      <c r="E996">
        <v>41</v>
      </c>
      <c r="F996" t="s">
        <v>14</v>
      </c>
      <c r="G996">
        <v>1</v>
      </c>
      <c r="H996">
        <v>30</v>
      </c>
      <c r="I996">
        <v>30</v>
      </c>
    </row>
    <row r="997" spans="1:9" x14ac:dyDescent="0.35">
      <c r="A997">
        <v>996</v>
      </c>
      <c r="B997" s="1">
        <v>45062</v>
      </c>
      <c r="C997" t="s">
        <v>1009</v>
      </c>
      <c r="D997" t="s">
        <v>10</v>
      </c>
      <c r="E997">
        <v>62</v>
      </c>
      <c r="F997" t="s">
        <v>14</v>
      </c>
      <c r="G997">
        <v>1</v>
      </c>
      <c r="H997">
        <v>50</v>
      </c>
      <c r="I997">
        <v>50</v>
      </c>
    </row>
    <row r="998" spans="1:9" x14ac:dyDescent="0.35">
      <c r="A998">
        <v>997</v>
      </c>
      <c r="B998" s="1">
        <v>45247</v>
      </c>
      <c r="C998" t="s">
        <v>1010</v>
      </c>
      <c r="D998" t="s">
        <v>10</v>
      </c>
      <c r="E998">
        <v>52</v>
      </c>
      <c r="F998" t="s">
        <v>11</v>
      </c>
      <c r="G998">
        <v>3</v>
      </c>
      <c r="H998">
        <v>30</v>
      </c>
      <c r="I998">
        <v>90</v>
      </c>
    </row>
    <row r="999" spans="1:9" x14ac:dyDescent="0.35">
      <c r="A999">
        <v>998</v>
      </c>
      <c r="B999" s="1">
        <v>45228</v>
      </c>
      <c r="C999" t="s">
        <v>1011</v>
      </c>
      <c r="D999" t="s">
        <v>13</v>
      </c>
      <c r="E999">
        <v>23</v>
      </c>
      <c r="F999" t="s">
        <v>11</v>
      </c>
      <c r="G999">
        <v>4</v>
      </c>
      <c r="H999">
        <v>25</v>
      </c>
      <c r="I999">
        <v>100</v>
      </c>
    </row>
    <row r="1000" spans="1:9" x14ac:dyDescent="0.35">
      <c r="A1000">
        <v>999</v>
      </c>
      <c r="B1000" s="1">
        <v>45265</v>
      </c>
      <c r="C1000" t="s">
        <v>1012</v>
      </c>
      <c r="D1000" t="s">
        <v>13</v>
      </c>
      <c r="E1000">
        <v>36</v>
      </c>
      <c r="F1000" t="s">
        <v>16</v>
      </c>
      <c r="G1000">
        <v>3</v>
      </c>
      <c r="H1000">
        <v>50</v>
      </c>
      <c r="I1000">
        <v>150</v>
      </c>
    </row>
    <row r="1001" spans="1:9" x14ac:dyDescent="0.35">
      <c r="A1001">
        <v>1000</v>
      </c>
      <c r="B1001" s="1">
        <v>45028</v>
      </c>
      <c r="C1001" t="s">
        <v>1013</v>
      </c>
      <c r="D1001" t="s">
        <v>10</v>
      </c>
      <c r="E1001">
        <v>47</v>
      </c>
      <c r="F1001" t="s">
        <v>16</v>
      </c>
      <c r="G1001">
        <v>4</v>
      </c>
      <c r="H1001">
        <v>30</v>
      </c>
      <c r="I1001">
        <v>120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C08CAF-F17B-41CC-B728-7D86A7C9FED5}">
  <dimension ref="A1:J1001"/>
  <sheetViews>
    <sheetView topLeftCell="A293" zoomScale="29" workbookViewId="0">
      <selection activeCell="E1" sqref="A1:J1001"/>
    </sheetView>
  </sheetViews>
  <sheetFormatPr defaultRowHeight="14.5" x14ac:dyDescent="0.35"/>
  <cols>
    <col min="1" max="1" width="14.90625" customWidth="1"/>
    <col min="2" max="2" width="10.08984375" bestFit="1" customWidth="1"/>
    <col min="3" max="3" width="13.26953125" customWidth="1"/>
    <col min="4" max="4" width="9.26953125" bestFit="1" customWidth="1"/>
    <col min="5" max="5" width="6.1796875" bestFit="1" customWidth="1"/>
    <col min="6" max="6" width="12.26953125" bestFit="1" customWidth="1"/>
    <col min="7" max="7" width="17.36328125" customWidth="1"/>
    <col min="8" max="8" width="10.1796875" customWidth="1"/>
    <col min="9" max="9" width="14.1796875" customWidth="1"/>
    <col min="10" max="10" width="14.36328125" customWidth="1"/>
  </cols>
  <sheetData>
    <row r="1" spans="1:10" x14ac:dyDescent="0.35">
      <c r="A1" t="s">
        <v>0</v>
      </c>
      <c r="B1" t="s">
        <v>1</v>
      </c>
      <c r="C1" t="s">
        <v>2</v>
      </c>
      <c r="D1" t="s">
        <v>3</v>
      </c>
      <c r="E1" t="s">
        <v>4</v>
      </c>
      <c r="F1" t="s">
        <v>1014</v>
      </c>
      <c r="G1" t="s">
        <v>5</v>
      </c>
      <c r="H1" t="s">
        <v>6</v>
      </c>
      <c r="I1" t="s">
        <v>7</v>
      </c>
      <c r="J1" t="s">
        <v>8</v>
      </c>
    </row>
    <row r="2" spans="1:10" x14ac:dyDescent="0.35">
      <c r="A2">
        <v>1</v>
      </c>
      <c r="B2" s="1">
        <v>45254</v>
      </c>
      <c r="C2" t="s">
        <v>9</v>
      </c>
      <c r="D2" t="s">
        <v>10</v>
      </c>
      <c r="E2">
        <v>34</v>
      </c>
      <c r="F2" t="str">
        <f>IF(Table1[[#This Row],[Age]]&lt;=25,"Young",IF(Table1[[#This Row],[Age]]&gt;55,"Old",IF(Table1[[#This Row],[Age]]&gt;25,"Middle","Na")))</f>
        <v>Middle</v>
      </c>
      <c r="G2" t="s">
        <v>11</v>
      </c>
      <c r="H2">
        <v>3</v>
      </c>
      <c r="I2">
        <v>50</v>
      </c>
      <c r="J2">
        <v>150</v>
      </c>
    </row>
    <row r="3" spans="1:10" x14ac:dyDescent="0.35">
      <c r="A3">
        <v>2</v>
      </c>
      <c r="B3" s="1">
        <v>44984</v>
      </c>
      <c r="C3" t="s">
        <v>12</v>
      </c>
      <c r="D3" t="s">
        <v>13</v>
      </c>
      <c r="E3">
        <v>26</v>
      </c>
      <c r="F3" t="str">
        <f>IF(Table1[[#This Row],[Age]]&lt;=25,"Young",IF(Table1[[#This Row],[Age]]&gt;55,"Old",IF(Table1[[#This Row],[Age]]&gt;25,"Middle","Na")))</f>
        <v>Middle</v>
      </c>
      <c r="G3" t="s">
        <v>14</v>
      </c>
      <c r="H3">
        <v>2</v>
      </c>
      <c r="I3">
        <v>500</v>
      </c>
      <c r="J3">
        <v>1000</v>
      </c>
    </row>
    <row r="4" spans="1:10" x14ac:dyDescent="0.35">
      <c r="A4">
        <v>3</v>
      </c>
      <c r="B4" s="1">
        <v>44939</v>
      </c>
      <c r="C4" t="s">
        <v>15</v>
      </c>
      <c r="D4" t="s">
        <v>10</v>
      </c>
      <c r="E4">
        <v>50</v>
      </c>
      <c r="F4" t="str">
        <f>IF(Table1[[#This Row],[Age]]&lt;=25,"Young",IF(Table1[[#This Row],[Age]]&gt;55,"Old",IF(Table1[[#This Row],[Age]]&gt;25,"Middle","Na")))</f>
        <v>Middle</v>
      </c>
      <c r="G4" t="s">
        <v>16</v>
      </c>
      <c r="H4">
        <v>1</v>
      </c>
      <c r="I4">
        <v>30</v>
      </c>
      <c r="J4">
        <v>30</v>
      </c>
    </row>
    <row r="5" spans="1:10" x14ac:dyDescent="0.35">
      <c r="A5">
        <v>4</v>
      </c>
      <c r="B5" s="1">
        <v>45067</v>
      </c>
      <c r="C5" t="s">
        <v>17</v>
      </c>
      <c r="D5" t="s">
        <v>10</v>
      </c>
      <c r="E5">
        <v>37</v>
      </c>
      <c r="F5" t="str">
        <f>IF(Table1[[#This Row],[Age]]&lt;=25,"Young",IF(Table1[[#This Row],[Age]]&gt;55,"Old",IF(Table1[[#This Row],[Age]]&gt;25,"Middle","Na")))</f>
        <v>Middle</v>
      </c>
      <c r="G5" t="s">
        <v>14</v>
      </c>
      <c r="H5">
        <v>1</v>
      </c>
      <c r="I5">
        <v>500</v>
      </c>
      <c r="J5">
        <v>500</v>
      </c>
    </row>
    <row r="6" spans="1:10" x14ac:dyDescent="0.35">
      <c r="A6">
        <v>5</v>
      </c>
      <c r="B6" s="1">
        <v>45052</v>
      </c>
      <c r="C6" t="s">
        <v>18</v>
      </c>
      <c r="D6" t="s">
        <v>10</v>
      </c>
      <c r="E6">
        <v>30</v>
      </c>
      <c r="F6" t="str">
        <f>IF(Table1[[#This Row],[Age]]&lt;=25,"Young",IF(Table1[[#This Row],[Age]]&gt;55,"Old",IF(Table1[[#This Row],[Age]]&gt;25,"Middle","Na")))</f>
        <v>Middle</v>
      </c>
      <c r="G6" t="s">
        <v>11</v>
      </c>
      <c r="H6">
        <v>2</v>
      </c>
      <c r="I6">
        <v>50</v>
      </c>
      <c r="J6">
        <v>100</v>
      </c>
    </row>
    <row r="7" spans="1:10" x14ac:dyDescent="0.35">
      <c r="A7">
        <v>6</v>
      </c>
      <c r="B7" s="1">
        <v>45041</v>
      </c>
      <c r="C7" t="s">
        <v>19</v>
      </c>
      <c r="D7" t="s">
        <v>13</v>
      </c>
      <c r="E7">
        <v>45</v>
      </c>
      <c r="F7" t="str">
        <f>IF(Table1[[#This Row],[Age]]&lt;=25,"Young",IF(Table1[[#This Row],[Age]]&gt;55,"Old",IF(Table1[[#This Row],[Age]]&gt;25,"Middle","Na")))</f>
        <v>Middle</v>
      </c>
      <c r="G7" t="s">
        <v>11</v>
      </c>
      <c r="H7">
        <v>1</v>
      </c>
      <c r="I7">
        <v>30</v>
      </c>
      <c r="J7">
        <v>30</v>
      </c>
    </row>
    <row r="8" spans="1:10" x14ac:dyDescent="0.35">
      <c r="A8">
        <v>7</v>
      </c>
      <c r="B8" s="1">
        <v>44998</v>
      </c>
      <c r="C8" t="s">
        <v>20</v>
      </c>
      <c r="D8" t="s">
        <v>10</v>
      </c>
      <c r="E8">
        <v>46</v>
      </c>
      <c r="F8" t="str">
        <f>IF(Table1[[#This Row],[Age]]&lt;=25,"Young",IF(Table1[[#This Row],[Age]]&gt;55,"Old",IF(Table1[[#This Row],[Age]]&gt;25,"Middle","Na")))</f>
        <v>Middle</v>
      </c>
      <c r="G8" t="s">
        <v>14</v>
      </c>
      <c r="H8">
        <v>2</v>
      </c>
      <c r="I8">
        <v>25</v>
      </c>
      <c r="J8">
        <v>50</v>
      </c>
    </row>
    <row r="9" spans="1:10" x14ac:dyDescent="0.35">
      <c r="A9">
        <v>8</v>
      </c>
      <c r="B9" s="1">
        <v>44979</v>
      </c>
      <c r="C9" t="s">
        <v>21</v>
      </c>
      <c r="D9" t="s">
        <v>10</v>
      </c>
      <c r="E9">
        <v>30</v>
      </c>
      <c r="F9" t="str">
        <f>IF(Table1[[#This Row],[Age]]&lt;=25,"Young",IF(Table1[[#This Row],[Age]]&gt;55,"Old",IF(Table1[[#This Row],[Age]]&gt;25,"Middle","Na")))</f>
        <v>Middle</v>
      </c>
      <c r="G9" t="s">
        <v>16</v>
      </c>
      <c r="H9">
        <v>4</v>
      </c>
      <c r="I9">
        <v>25</v>
      </c>
      <c r="J9">
        <v>100</v>
      </c>
    </row>
    <row r="10" spans="1:10" x14ac:dyDescent="0.35">
      <c r="A10">
        <v>9</v>
      </c>
      <c r="B10" s="1">
        <v>45273</v>
      </c>
      <c r="C10" t="s">
        <v>22</v>
      </c>
      <c r="D10" t="s">
        <v>10</v>
      </c>
      <c r="E10">
        <v>63</v>
      </c>
      <c r="F10" t="str">
        <f>IF(Table1[[#This Row],[Age]]&lt;=25,"Young",IF(Table1[[#This Row],[Age]]&gt;55,"Old",IF(Table1[[#This Row],[Age]]&gt;25,"Middle","Na")))</f>
        <v>Old</v>
      </c>
      <c r="G10" t="s">
        <v>16</v>
      </c>
      <c r="H10">
        <v>2</v>
      </c>
      <c r="I10">
        <v>300</v>
      </c>
      <c r="J10">
        <v>600</v>
      </c>
    </row>
    <row r="11" spans="1:10" x14ac:dyDescent="0.35">
      <c r="A11">
        <v>10</v>
      </c>
      <c r="B11" s="1">
        <v>45206</v>
      </c>
      <c r="C11" t="s">
        <v>23</v>
      </c>
      <c r="D11" t="s">
        <v>13</v>
      </c>
      <c r="E11">
        <v>52</v>
      </c>
      <c r="F11" t="str">
        <f>IF(Table1[[#This Row],[Age]]&lt;=25,"Young",IF(Table1[[#This Row],[Age]]&gt;55,"Old",IF(Table1[[#This Row],[Age]]&gt;25,"Middle","Na")))</f>
        <v>Middle</v>
      </c>
      <c r="G11" t="s">
        <v>14</v>
      </c>
      <c r="H11">
        <v>4</v>
      </c>
      <c r="I11">
        <v>50</v>
      </c>
      <c r="J11">
        <v>200</v>
      </c>
    </row>
    <row r="12" spans="1:10" x14ac:dyDescent="0.35">
      <c r="A12">
        <v>11</v>
      </c>
      <c r="B12" s="1">
        <v>44971</v>
      </c>
      <c r="C12" t="s">
        <v>24</v>
      </c>
      <c r="D12" t="s">
        <v>10</v>
      </c>
      <c r="E12">
        <v>23</v>
      </c>
      <c r="F12" t="str">
        <f>IF(Table1[[#This Row],[Age]]&lt;=25,"Young",IF(Table1[[#This Row],[Age]]&gt;55,"Old",IF(Table1[[#This Row],[Age]]&gt;25,"Middle","Na")))</f>
        <v>Young</v>
      </c>
      <c r="G12" t="s">
        <v>14</v>
      </c>
      <c r="H12">
        <v>2</v>
      </c>
      <c r="I12">
        <v>50</v>
      </c>
      <c r="J12">
        <v>100</v>
      </c>
    </row>
    <row r="13" spans="1:10" x14ac:dyDescent="0.35">
      <c r="A13">
        <v>12</v>
      </c>
      <c r="B13" s="1">
        <v>45229</v>
      </c>
      <c r="C13" t="s">
        <v>25</v>
      </c>
      <c r="D13" t="s">
        <v>10</v>
      </c>
      <c r="E13">
        <v>35</v>
      </c>
      <c r="F13" t="str">
        <f>IF(Table1[[#This Row],[Age]]&lt;=25,"Young",IF(Table1[[#This Row],[Age]]&gt;55,"Old",IF(Table1[[#This Row],[Age]]&gt;25,"Middle","Na")))</f>
        <v>Middle</v>
      </c>
      <c r="G13" t="s">
        <v>11</v>
      </c>
      <c r="H13">
        <v>3</v>
      </c>
      <c r="I13">
        <v>25</v>
      </c>
      <c r="J13">
        <v>75</v>
      </c>
    </row>
    <row r="14" spans="1:10" x14ac:dyDescent="0.35">
      <c r="A14">
        <v>13</v>
      </c>
      <c r="B14" s="1">
        <v>45143</v>
      </c>
      <c r="C14" t="s">
        <v>26</v>
      </c>
      <c r="D14" t="s">
        <v>10</v>
      </c>
      <c r="E14">
        <v>22</v>
      </c>
      <c r="F14" t="str">
        <f>IF(Table1[[#This Row],[Age]]&lt;=25,"Young",IF(Table1[[#This Row],[Age]]&gt;55,"Old",IF(Table1[[#This Row],[Age]]&gt;25,"Middle","Na")))</f>
        <v>Young</v>
      </c>
      <c r="G14" t="s">
        <v>16</v>
      </c>
      <c r="H14">
        <v>3</v>
      </c>
      <c r="I14">
        <v>500</v>
      </c>
      <c r="J14">
        <v>1500</v>
      </c>
    </row>
    <row r="15" spans="1:10" x14ac:dyDescent="0.35">
      <c r="A15">
        <v>14</v>
      </c>
      <c r="B15" s="1">
        <v>44943</v>
      </c>
      <c r="C15" t="s">
        <v>27</v>
      </c>
      <c r="D15" t="s">
        <v>10</v>
      </c>
      <c r="E15">
        <v>64</v>
      </c>
      <c r="F15" t="str">
        <f>IF(Table1[[#This Row],[Age]]&lt;=25,"Young",IF(Table1[[#This Row],[Age]]&gt;55,"Old",IF(Table1[[#This Row],[Age]]&gt;25,"Middle","Na")))</f>
        <v>Old</v>
      </c>
      <c r="G15" t="s">
        <v>14</v>
      </c>
      <c r="H15">
        <v>4</v>
      </c>
      <c r="I15">
        <v>30</v>
      </c>
      <c r="J15">
        <v>120</v>
      </c>
    </row>
    <row r="16" spans="1:10" x14ac:dyDescent="0.35">
      <c r="A16">
        <v>15</v>
      </c>
      <c r="B16" s="1">
        <v>44942</v>
      </c>
      <c r="C16" t="s">
        <v>28</v>
      </c>
      <c r="D16" t="s">
        <v>13</v>
      </c>
      <c r="E16">
        <v>42</v>
      </c>
      <c r="F16" t="str">
        <f>IF(Table1[[#This Row],[Age]]&lt;=25,"Young",IF(Table1[[#This Row],[Age]]&gt;55,"Old",IF(Table1[[#This Row],[Age]]&gt;25,"Middle","Na")))</f>
        <v>Middle</v>
      </c>
      <c r="G16" t="s">
        <v>16</v>
      </c>
      <c r="H16">
        <v>4</v>
      </c>
      <c r="I16">
        <v>500</v>
      </c>
      <c r="J16">
        <v>2000</v>
      </c>
    </row>
    <row r="17" spans="1:10" x14ac:dyDescent="0.35">
      <c r="A17">
        <v>16</v>
      </c>
      <c r="B17" s="1">
        <v>44974</v>
      </c>
      <c r="C17" t="s">
        <v>29</v>
      </c>
      <c r="D17" t="s">
        <v>10</v>
      </c>
      <c r="E17">
        <v>19</v>
      </c>
      <c r="F17" t="str">
        <f>IF(Table1[[#This Row],[Age]]&lt;=25,"Young",IF(Table1[[#This Row],[Age]]&gt;55,"Old",IF(Table1[[#This Row],[Age]]&gt;25,"Middle","Na")))</f>
        <v>Young</v>
      </c>
      <c r="G17" t="s">
        <v>14</v>
      </c>
      <c r="H17">
        <v>3</v>
      </c>
      <c r="I17">
        <v>500</v>
      </c>
      <c r="J17">
        <v>1500</v>
      </c>
    </row>
    <row r="18" spans="1:10" x14ac:dyDescent="0.35">
      <c r="A18">
        <v>17</v>
      </c>
      <c r="B18" s="1">
        <v>45038</v>
      </c>
      <c r="C18" t="s">
        <v>30</v>
      </c>
      <c r="D18" t="s">
        <v>13</v>
      </c>
      <c r="E18">
        <v>27</v>
      </c>
      <c r="F18" t="str">
        <f>IF(Table1[[#This Row],[Age]]&lt;=25,"Young",IF(Table1[[#This Row],[Age]]&gt;55,"Old",IF(Table1[[#This Row],[Age]]&gt;25,"Middle","Na")))</f>
        <v>Middle</v>
      </c>
      <c r="G18" t="s">
        <v>14</v>
      </c>
      <c r="H18">
        <v>4</v>
      </c>
      <c r="I18">
        <v>25</v>
      </c>
      <c r="J18">
        <v>100</v>
      </c>
    </row>
    <row r="19" spans="1:10" x14ac:dyDescent="0.35">
      <c r="A19">
        <v>18</v>
      </c>
      <c r="B19" s="1">
        <v>45046</v>
      </c>
      <c r="C19" t="s">
        <v>31</v>
      </c>
      <c r="D19" t="s">
        <v>13</v>
      </c>
      <c r="E19">
        <v>47</v>
      </c>
      <c r="F19" t="str">
        <f>IF(Table1[[#This Row],[Age]]&lt;=25,"Young",IF(Table1[[#This Row],[Age]]&gt;55,"Old",IF(Table1[[#This Row],[Age]]&gt;25,"Middle","Na")))</f>
        <v>Middle</v>
      </c>
      <c r="G19" t="s">
        <v>16</v>
      </c>
      <c r="H19">
        <v>2</v>
      </c>
      <c r="I19">
        <v>25</v>
      </c>
      <c r="J19">
        <v>50</v>
      </c>
    </row>
    <row r="20" spans="1:10" x14ac:dyDescent="0.35">
      <c r="A20">
        <v>19</v>
      </c>
      <c r="B20" s="1">
        <v>45185</v>
      </c>
      <c r="C20" t="s">
        <v>32</v>
      </c>
      <c r="D20" t="s">
        <v>13</v>
      </c>
      <c r="E20">
        <v>62</v>
      </c>
      <c r="F20" t="str">
        <f>IF(Table1[[#This Row],[Age]]&lt;=25,"Young",IF(Table1[[#This Row],[Age]]&gt;55,"Old",IF(Table1[[#This Row],[Age]]&gt;25,"Middle","Na")))</f>
        <v>Old</v>
      </c>
      <c r="G20" t="s">
        <v>14</v>
      </c>
      <c r="H20">
        <v>2</v>
      </c>
      <c r="I20">
        <v>25</v>
      </c>
      <c r="J20">
        <v>50</v>
      </c>
    </row>
    <row r="21" spans="1:10" x14ac:dyDescent="0.35">
      <c r="A21">
        <v>20</v>
      </c>
      <c r="B21" s="1">
        <v>45235</v>
      </c>
      <c r="C21" t="s">
        <v>33</v>
      </c>
      <c r="D21" t="s">
        <v>10</v>
      </c>
      <c r="E21">
        <v>22</v>
      </c>
      <c r="F21" t="str">
        <f>IF(Table1[[#This Row],[Age]]&lt;=25,"Young",IF(Table1[[#This Row],[Age]]&gt;55,"Old",IF(Table1[[#This Row],[Age]]&gt;25,"Middle","Na")))</f>
        <v>Young</v>
      </c>
      <c r="G21" t="s">
        <v>14</v>
      </c>
      <c r="H21">
        <v>3</v>
      </c>
      <c r="I21">
        <v>300</v>
      </c>
      <c r="J21">
        <v>900</v>
      </c>
    </row>
    <row r="22" spans="1:10" x14ac:dyDescent="0.35">
      <c r="A22">
        <v>21</v>
      </c>
      <c r="B22" s="1">
        <v>44940</v>
      </c>
      <c r="C22" t="s">
        <v>34</v>
      </c>
      <c r="D22" t="s">
        <v>13</v>
      </c>
      <c r="E22">
        <v>50</v>
      </c>
      <c r="F22" t="str">
        <f>IF(Table1[[#This Row],[Age]]&lt;=25,"Young",IF(Table1[[#This Row],[Age]]&gt;55,"Old",IF(Table1[[#This Row],[Age]]&gt;25,"Middle","Na")))</f>
        <v>Middle</v>
      </c>
      <c r="G22" t="s">
        <v>11</v>
      </c>
      <c r="H22">
        <v>1</v>
      </c>
      <c r="I22">
        <v>500</v>
      </c>
      <c r="J22">
        <v>500</v>
      </c>
    </row>
    <row r="23" spans="1:10" x14ac:dyDescent="0.35">
      <c r="A23">
        <v>22</v>
      </c>
      <c r="B23" s="1">
        <v>45214</v>
      </c>
      <c r="C23" t="s">
        <v>35</v>
      </c>
      <c r="D23" t="s">
        <v>10</v>
      </c>
      <c r="E23">
        <v>18</v>
      </c>
      <c r="F23" t="str">
        <f>IF(Table1[[#This Row],[Age]]&lt;=25,"Young",IF(Table1[[#This Row],[Age]]&gt;55,"Old",IF(Table1[[#This Row],[Age]]&gt;25,"Middle","Na")))</f>
        <v>Young</v>
      </c>
      <c r="G23" t="s">
        <v>14</v>
      </c>
      <c r="H23">
        <v>2</v>
      </c>
      <c r="I23">
        <v>50</v>
      </c>
      <c r="J23">
        <v>100</v>
      </c>
    </row>
    <row r="24" spans="1:10" x14ac:dyDescent="0.35">
      <c r="A24">
        <v>23</v>
      </c>
      <c r="B24" s="1">
        <v>45028</v>
      </c>
      <c r="C24" t="s">
        <v>36</v>
      </c>
      <c r="D24" t="s">
        <v>13</v>
      </c>
      <c r="E24">
        <v>35</v>
      </c>
      <c r="F24" t="str">
        <f>IF(Table1[[#This Row],[Age]]&lt;=25,"Young",IF(Table1[[#This Row],[Age]]&gt;55,"Old",IF(Table1[[#This Row],[Age]]&gt;25,"Middle","Na")))</f>
        <v>Middle</v>
      </c>
      <c r="G24" t="s">
        <v>14</v>
      </c>
      <c r="H24">
        <v>4</v>
      </c>
      <c r="I24">
        <v>30</v>
      </c>
      <c r="J24">
        <v>120</v>
      </c>
    </row>
    <row r="25" spans="1:10" x14ac:dyDescent="0.35">
      <c r="A25">
        <v>24</v>
      </c>
      <c r="B25" s="1">
        <v>45259</v>
      </c>
      <c r="C25" t="s">
        <v>37</v>
      </c>
      <c r="D25" t="s">
        <v>13</v>
      </c>
      <c r="E25">
        <v>49</v>
      </c>
      <c r="F25" t="str">
        <f>IF(Table1[[#This Row],[Age]]&lt;=25,"Young",IF(Table1[[#This Row],[Age]]&gt;55,"Old",IF(Table1[[#This Row],[Age]]&gt;25,"Middle","Na")))</f>
        <v>Middle</v>
      </c>
      <c r="G25" t="s">
        <v>14</v>
      </c>
      <c r="H25">
        <v>1</v>
      </c>
      <c r="I25">
        <v>300</v>
      </c>
      <c r="J25">
        <v>300</v>
      </c>
    </row>
    <row r="26" spans="1:10" x14ac:dyDescent="0.35">
      <c r="A26">
        <v>25</v>
      </c>
      <c r="B26" s="1">
        <v>45286</v>
      </c>
      <c r="C26" t="s">
        <v>38</v>
      </c>
      <c r="D26" t="s">
        <v>13</v>
      </c>
      <c r="E26">
        <v>64</v>
      </c>
      <c r="F26" t="str">
        <f>IF(Table1[[#This Row],[Age]]&lt;=25,"Young",IF(Table1[[#This Row],[Age]]&gt;55,"Old",IF(Table1[[#This Row],[Age]]&gt;25,"Middle","Na")))</f>
        <v>Old</v>
      </c>
      <c r="G26" t="s">
        <v>11</v>
      </c>
      <c r="H26">
        <v>1</v>
      </c>
      <c r="I26">
        <v>50</v>
      </c>
      <c r="J26">
        <v>50</v>
      </c>
    </row>
    <row r="27" spans="1:10" x14ac:dyDescent="0.35">
      <c r="A27">
        <v>26</v>
      </c>
      <c r="B27" s="1">
        <v>45206</v>
      </c>
      <c r="C27" t="s">
        <v>39</v>
      </c>
      <c r="D27" t="s">
        <v>13</v>
      </c>
      <c r="E27">
        <v>28</v>
      </c>
      <c r="F27" t="str">
        <f>IF(Table1[[#This Row],[Age]]&lt;=25,"Young",IF(Table1[[#This Row],[Age]]&gt;55,"Old",IF(Table1[[#This Row],[Age]]&gt;25,"Middle","Na")))</f>
        <v>Middle</v>
      </c>
      <c r="G27" t="s">
        <v>16</v>
      </c>
      <c r="H27">
        <v>2</v>
      </c>
      <c r="I27">
        <v>500</v>
      </c>
      <c r="J27">
        <v>1000</v>
      </c>
    </row>
    <row r="28" spans="1:10" x14ac:dyDescent="0.35">
      <c r="A28">
        <v>27</v>
      </c>
      <c r="B28" s="1">
        <v>45141</v>
      </c>
      <c r="C28" t="s">
        <v>40</v>
      </c>
      <c r="D28" t="s">
        <v>13</v>
      </c>
      <c r="E28">
        <v>38</v>
      </c>
      <c r="F28" t="str">
        <f>IF(Table1[[#This Row],[Age]]&lt;=25,"Young",IF(Table1[[#This Row],[Age]]&gt;55,"Old",IF(Table1[[#This Row],[Age]]&gt;25,"Middle","Na")))</f>
        <v>Middle</v>
      </c>
      <c r="G28" t="s">
        <v>11</v>
      </c>
      <c r="H28">
        <v>2</v>
      </c>
      <c r="I28">
        <v>25</v>
      </c>
      <c r="J28">
        <v>50</v>
      </c>
    </row>
    <row r="29" spans="1:10" x14ac:dyDescent="0.35">
      <c r="A29">
        <v>28</v>
      </c>
      <c r="B29" s="1">
        <v>45039</v>
      </c>
      <c r="C29" t="s">
        <v>41</v>
      </c>
      <c r="D29" t="s">
        <v>13</v>
      </c>
      <c r="E29">
        <v>43</v>
      </c>
      <c r="F29" t="str">
        <f>IF(Table1[[#This Row],[Age]]&lt;=25,"Young",IF(Table1[[#This Row],[Age]]&gt;55,"Old",IF(Table1[[#This Row],[Age]]&gt;25,"Middle","Na")))</f>
        <v>Middle</v>
      </c>
      <c r="G29" t="s">
        <v>11</v>
      </c>
      <c r="H29">
        <v>1</v>
      </c>
      <c r="I29">
        <v>500</v>
      </c>
      <c r="J29">
        <v>500</v>
      </c>
    </row>
    <row r="30" spans="1:10" x14ac:dyDescent="0.35">
      <c r="A30">
        <v>29</v>
      </c>
      <c r="B30" s="1">
        <v>45156</v>
      </c>
      <c r="C30" t="s">
        <v>42</v>
      </c>
      <c r="D30" t="s">
        <v>13</v>
      </c>
      <c r="E30">
        <v>42</v>
      </c>
      <c r="F30" t="str">
        <f>IF(Table1[[#This Row],[Age]]&lt;=25,"Young",IF(Table1[[#This Row],[Age]]&gt;55,"Old",IF(Table1[[#This Row],[Age]]&gt;25,"Middle","Na")))</f>
        <v>Middle</v>
      </c>
      <c r="G30" t="s">
        <v>16</v>
      </c>
      <c r="H30">
        <v>1</v>
      </c>
      <c r="I30">
        <v>30</v>
      </c>
      <c r="J30">
        <v>30</v>
      </c>
    </row>
    <row r="31" spans="1:10" x14ac:dyDescent="0.35">
      <c r="A31">
        <v>30</v>
      </c>
      <c r="B31" s="1">
        <v>45228</v>
      </c>
      <c r="C31" t="s">
        <v>43</v>
      </c>
      <c r="D31" t="s">
        <v>13</v>
      </c>
      <c r="E31">
        <v>39</v>
      </c>
      <c r="F31" t="str">
        <f>IF(Table1[[#This Row],[Age]]&lt;=25,"Young",IF(Table1[[#This Row],[Age]]&gt;55,"Old",IF(Table1[[#This Row],[Age]]&gt;25,"Middle","Na")))</f>
        <v>Middle</v>
      </c>
      <c r="G31" t="s">
        <v>11</v>
      </c>
      <c r="H31">
        <v>3</v>
      </c>
      <c r="I31">
        <v>300</v>
      </c>
      <c r="J31">
        <v>900</v>
      </c>
    </row>
    <row r="32" spans="1:10" x14ac:dyDescent="0.35">
      <c r="A32">
        <v>31</v>
      </c>
      <c r="B32" s="1">
        <v>45069</v>
      </c>
      <c r="C32" t="s">
        <v>44</v>
      </c>
      <c r="D32" t="s">
        <v>10</v>
      </c>
      <c r="E32">
        <v>44</v>
      </c>
      <c r="F32" t="str">
        <f>IF(Table1[[#This Row],[Age]]&lt;=25,"Young",IF(Table1[[#This Row],[Age]]&gt;55,"Old",IF(Table1[[#This Row],[Age]]&gt;25,"Middle","Na")))</f>
        <v>Middle</v>
      </c>
      <c r="G32" t="s">
        <v>16</v>
      </c>
      <c r="H32">
        <v>4</v>
      </c>
      <c r="I32">
        <v>300</v>
      </c>
      <c r="J32">
        <v>1200</v>
      </c>
    </row>
    <row r="33" spans="1:10" x14ac:dyDescent="0.35">
      <c r="A33">
        <v>32</v>
      </c>
      <c r="B33" s="1">
        <v>44930</v>
      </c>
      <c r="C33" t="s">
        <v>45</v>
      </c>
      <c r="D33" t="s">
        <v>10</v>
      </c>
      <c r="E33">
        <v>30</v>
      </c>
      <c r="F33" t="str">
        <f>IF(Table1[[#This Row],[Age]]&lt;=25,"Young",IF(Table1[[#This Row],[Age]]&gt;55,"Old",IF(Table1[[#This Row],[Age]]&gt;25,"Middle","Na")))</f>
        <v>Middle</v>
      </c>
      <c r="G33" t="s">
        <v>11</v>
      </c>
      <c r="H33">
        <v>3</v>
      </c>
      <c r="I33">
        <v>30</v>
      </c>
      <c r="J33">
        <v>90</v>
      </c>
    </row>
    <row r="34" spans="1:10" x14ac:dyDescent="0.35">
      <c r="A34">
        <v>33</v>
      </c>
      <c r="B34" s="1">
        <v>45008</v>
      </c>
      <c r="C34" t="s">
        <v>46</v>
      </c>
      <c r="D34" t="s">
        <v>13</v>
      </c>
      <c r="E34">
        <v>50</v>
      </c>
      <c r="F34" t="str">
        <f>IF(Table1[[#This Row],[Age]]&lt;=25,"Young",IF(Table1[[#This Row],[Age]]&gt;55,"Old",IF(Table1[[#This Row],[Age]]&gt;25,"Middle","Na")))</f>
        <v>Middle</v>
      </c>
      <c r="G34" t="s">
        <v>16</v>
      </c>
      <c r="H34">
        <v>2</v>
      </c>
      <c r="I34">
        <v>50</v>
      </c>
      <c r="J34">
        <v>100</v>
      </c>
    </row>
    <row r="35" spans="1:10" x14ac:dyDescent="0.35">
      <c r="A35">
        <v>34</v>
      </c>
      <c r="B35" s="1">
        <v>45284</v>
      </c>
      <c r="C35" t="s">
        <v>47</v>
      </c>
      <c r="D35" t="s">
        <v>13</v>
      </c>
      <c r="E35">
        <v>51</v>
      </c>
      <c r="F35" t="str">
        <f>IF(Table1[[#This Row],[Age]]&lt;=25,"Young",IF(Table1[[#This Row],[Age]]&gt;55,"Old",IF(Table1[[#This Row],[Age]]&gt;25,"Middle","Na")))</f>
        <v>Middle</v>
      </c>
      <c r="G35" t="s">
        <v>14</v>
      </c>
      <c r="H35">
        <v>3</v>
      </c>
      <c r="I35">
        <v>50</v>
      </c>
      <c r="J35">
        <v>150</v>
      </c>
    </row>
    <row r="36" spans="1:10" x14ac:dyDescent="0.35">
      <c r="A36">
        <v>35</v>
      </c>
      <c r="B36" s="1">
        <v>45143</v>
      </c>
      <c r="C36" t="s">
        <v>48</v>
      </c>
      <c r="D36" t="s">
        <v>13</v>
      </c>
      <c r="E36">
        <v>58</v>
      </c>
      <c r="F36" t="str">
        <f>IF(Table1[[#This Row],[Age]]&lt;=25,"Young",IF(Table1[[#This Row],[Age]]&gt;55,"Old",IF(Table1[[#This Row],[Age]]&gt;25,"Middle","Na")))</f>
        <v>Old</v>
      </c>
      <c r="G36" t="s">
        <v>11</v>
      </c>
      <c r="H36">
        <v>3</v>
      </c>
      <c r="I36">
        <v>300</v>
      </c>
      <c r="J36">
        <v>900</v>
      </c>
    </row>
    <row r="37" spans="1:10" x14ac:dyDescent="0.35">
      <c r="A37">
        <v>36</v>
      </c>
      <c r="B37" s="1">
        <v>45101</v>
      </c>
      <c r="C37" t="s">
        <v>49</v>
      </c>
      <c r="D37" t="s">
        <v>10</v>
      </c>
      <c r="E37">
        <v>52</v>
      </c>
      <c r="F37" t="str">
        <f>IF(Table1[[#This Row],[Age]]&lt;=25,"Young",IF(Table1[[#This Row],[Age]]&gt;55,"Old",IF(Table1[[#This Row],[Age]]&gt;25,"Middle","Na")))</f>
        <v>Middle</v>
      </c>
      <c r="G37" t="s">
        <v>11</v>
      </c>
      <c r="H37">
        <v>3</v>
      </c>
      <c r="I37">
        <v>300</v>
      </c>
      <c r="J37">
        <v>900</v>
      </c>
    </row>
    <row r="38" spans="1:10" x14ac:dyDescent="0.35">
      <c r="A38">
        <v>37</v>
      </c>
      <c r="B38" s="1">
        <v>45069</v>
      </c>
      <c r="C38" t="s">
        <v>50</v>
      </c>
      <c r="D38" t="s">
        <v>13</v>
      </c>
      <c r="E38">
        <v>18</v>
      </c>
      <c r="F38" t="str">
        <f>IF(Table1[[#This Row],[Age]]&lt;=25,"Young",IF(Table1[[#This Row],[Age]]&gt;55,"Old",IF(Table1[[#This Row],[Age]]&gt;25,"Middle","Na")))</f>
        <v>Young</v>
      </c>
      <c r="G38" t="s">
        <v>11</v>
      </c>
      <c r="H38">
        <v>3</v>
      </c>
      <c r="I38">
        <v>25</v>
      </c>
      <c r="J38">
        <v>75</v>
      </c>
    </row>
    <row r="39" spans="1:10" x14ac:dyDescent="0.35">
      <c r="A39">
        <v>38</v>
      </c>
      <c r="B39" s="1">
        <v>45006</v>
      </c>
      <c r="C39" t="s">
        <v>51</v>
      </c>
      <c r="D39" t="s">
        <v>10</v>
      </c>
      <c r="E39">
        <v>38</v>
      </c>
      <c r="F39" t="str">
        <f>IF(Table1[[#This Row],[Age]]&lt;=25,"Young",IF(Table1[[#This Row],[Age]]&gt;55,"Old",IF(Table1[[#This Row],[Age]]&gt;25,"Middle","Na")))</f>
        <v>Middle</v>
      </c>
      <c r="G39" t="s">
        <v>11</v>
      </c>
      <c r="H39">
        <v>4</v>
      </c>
      <c r="I39">
        <v>50</v>
      </c>
      <c r="J39">
        <v>200</v>
      </c>
    </row>
    <row r="40" spans="1:10" x14ac:dyDescent="0.35">
      <c r="A40">
        <v>39</v>
      </c>
      <c r="B40" s="1">
        <v>45037</v>
      </c>
      <c r="C40" t="s">
        <v>52</v>
      </c>
      <c r="D40" t="s">
        <v>10</v>
      </c>
      <c r="E40">
        <v>23</v>
      </c>
      <c r="F40" t="str">
        <f>IF(Table1[[#This Row],[Age]]&lt;=25,"Young",IF(Table1[[#This Row],[Age]]&gt;55,"Old",IF(Table1[[#This Row],[Age]]&gt;25,"Middle","Na")))</f>
        <v>Young</v>
      </c>
      <c r="G40" t="s">
        <v>14</v>
      </c>
      <c r="H40">
        <v>4</v>
      </c>
      <c r="I40">
        <v>30</v>
      </c>
      <c r="J40">
        <v>120</v>
      </c>
    </row>
    <row r="41" spans="1:10" x14ac:dyDescent="0.35">
      <c r="A41">
        <v>40</v>
      </c>
      <c r="B41" s="1">
        <v>45099</v>
      </c>
      <c r="C41" t="s">
        <v>53</v>
      </c>
      <c r="D41" t="s">
        <v>10</v>
      </c>
      <c r="E41">
        <v>45</v>
      </c>
      <c r="F41" t="str">
        <f>IF(Table1[[#This Row],[Age]]&lt;=25,"Young",IF(Table1[[#This Row],[Age]]&gt;55,"Old",IF(Table1[[#This Row],[Age]]&gt;25,"Middle","Na")))</f>
        <v>Middle</v>
      </c>
      <c r="G41" t="s">
        <v>11</v>
      </c>
      <c r="H41">
        <v>1</v>
      </c>
      <c r="I41">
        <v>50</v>
      </c>
      <c r="J41">
        <v>50</v>
      </c>
    </row>
    <row r="42" spans="1:10" x14ac:dyDescent="0.35">
      <c r="A42">
        <v>41</v>
      </c>
      <c r="B42" s="1">
        <v>44979</v>
      </c>
      <c r="C42" t="s">
        <v>54</v>
      </c>
      <c r="D42" t="s">
        <v>10</v>
      </c>
      <c r="E42">
        <v>34</v>
      </c>
      <c r="F42" t="str">
        <f>IF(Table1[[#This Row],[Age]]&lt;=25,"Young",IF(Table1[[#This Row],[Age]]&gt;55,"Old",IF(Table1[[#This Row],[Age]]&gt;25,"Middle","Na")))</f>
        <v>Middle</v>
      </c>
      <c r="G42" t="s">
        <v>14</v>
      </c>
      <c r="H42">
        <v>2</v>
      </c>
      <c r="I42">
        <v>25</v>
      </c>
      <c r="J42">
        <v>50</v>
      </c>
    </row>
    <row r="43" spans="1:10" x14ac:dyDescent="0.35">
      <c r="A43">
        <v>42</v>
      </c>
      <c r="B43" s="1">
        <v>44974</v>
      </c>
      <c r="C43" t="s">
        <v>55</v>
      </c>
      <c r="D43" t="s">
        <v>10</v>
      </c>
      <c r="E43">
        <v>22</v>
      </c>
      <c r="F43" t="str">
        <f>IF(Table1[[#This Row],[Age]]&lt;=25,"Young",IF(Table1[[#This Row],[Age]]&gt;55,"Old",IF(Table1[[#This Row],[Age]]&gt;25,"Middle","Na")))</f>
        <v>Young</v>
      </c>
      <c r="G43" t="s">
        <v>14</v>
      </c>
      <c r="H43">
        <v>3</v>
      </c>
      <c r="I43">
        <v>300</v>
      </c>
      <c r="J43">
        <v>900</v>
      </c>
    </row>
    <row r="44" spans="1:10" x14ac:dyDescent="0.35">
      <c r="A44">
        <v>43</v>
      </c>
      <c r="B44" s="1">
        <v>45121</v>
      </c>
      <c r="C44" t="s">
        <v>56</v>
      </c>
      <c r="D44" t="s">
        <v>13</v>
      </c>
      <c r="E44">
        <v>48</v>
      </c>
      <c r="F44" t="str">
        <f>IF(Table1[[#This Row],[Age]]&lt;=25,"Young",IF(Table1[[#This Row],[Age]]&gt;55,"Old",IF(Table1[[#This Row],[Age]]&gt;25,"Middle","Na")))</f>
        <v>Middle</v>
      </c>
      <c r="G44" t="s">
        <v>14</v>
      </c>
      <c r="H44">
        <v>1</v>
      </c>
      <c r="I44">
        <v>300</v>
      </c>
      <c r="J44">
        <v>300</v>
      </c>
    </row>
    <row r="45" spans="1:10" x14ac:dyDescent="0.35">
      <c r="A45">
        <v>44</v>
      </c>
      <c r="B45" s="1">
        <v>44976</v>
      </c>
      <c r="C45" t="s">
        <v>57</v>
      </c>
      <c r="D45" t="s">
        <v>13</v>
      </c>
      <c r="E45">
        <v>22</v>
      </c>
      <c r="F45" t="str">
        <f>IF(Table1[[#This Row],[Age]]&lt;=25,"Young",IF(Table1[[#This Row],[Age]]&gt;55,"Old",IF(Table1[[#This Row],[Age]]&gt;25,"Middle","Na")))</f>
        <v>Young</v>
      </c>
      <c r="G45" t="s">
        <v>14</v>
      </c>
      <c r="H45">
        <v>1</v>
      </c>
      <c r="I45">
        <v>25</v>
      </c>
      <c r="J45">
        <v>25</v>
      </c>
    </row>
    <row r="46" spans="1:10" x14ac:dyDescent="0.35">
      <c r="A46">
        <v>45</v>
      </c>
      <c r="B46" s="1">
        <v>45110</v>
      </c>
      <c r="C46" t="s">
        <v>58</v>
      </c>
      <c r="D46" t="s">
        <v>13</v>
      </c>
      <c r="E46">
        <v>55</v>
      </c>
      <c r="F46" t="str">
        <f>IF(Table1[[#This Row],[Age]]&lt;=25,"Young",IF(Table1[[#This Row],[Age]]&gt;55,"Old",IF(Table1[[#This Row],[Age]]&gt;25,"Middle","Na")))</f>
        <v>Middle</v>
      </c>
      <c r="G46" t="s">
        <v>16</v>
      </c>
      <c r="H46">
        <v>1</v>
      </c>
      <c r="I46">
        <v>30</v>
      </c>
      <c r="J46">
        <v>30</v>
      </c>
    </row>
    <row r="47" spans="1:10" x14ac:dyDescent="0.35">
      <c r="A47">
        <v>46</v>
      </c>
      <c r="B47" s="1">
        <v>45103</v>
      </c>
      <c r="C47" t="s">
        <v>59</v>
      </c>
      <c r="D47" t="s">
        <v>13</v>
      </c>
      <c r="E47">
        <v>20</v>
      </c>
      <c r="F47" t="str">
        <f>IF(Table1[[#This Row],[Age]]&lt;=25,"Young",IF(Table1[[#This Row],[Age]]&gt;55,"Old",IF(Table1[[#This Row],[Age]]&gt;25,"Middle","Na")))</f>
        <v>Young</v>
      </c>
      <c r="G47" t="s">
        <v>16</v>
      </c>
      <c r="H47">
        <v>4</v>
      </c>
      <c r="I47">
        <v>300</v>
      </c>
      <c r="J47">
        <v>1200</v>
      </c>
    </row>
    <row r="48" spans="1:10" x14ac:dyDescent="0.35">
      <c r="A48">
        <v>47</v>
      </c>
      <c r="B48" s="1">
        <v>45236</v>
      </c>
      <c r="C48" t="s">
        <v>60</v>
      </c>
      <c r="D48" t="s">
        <v>13</v>
      </c>
      <c r="E48">
        <v>40</v>
      </c>
      <c r="F48" t="str">
        <f>IF(Table1[[#This Row],[Age]]&lt;=25,"Young",IF(Table1[[#This Row],[Age]]&gt;55,"Old",IF(Table1[[#This Row],[Age]]&gt;25,"Middle","Na")))</f>
        <v>Middle</v>
      </c>
      <c r="G48" t="s">
        <v>11</v>
      </c>
      <c r="H48">
        <v>3</v>
      </c>
      <c r="I48">
        <v>500</v>
      </c>
      <c r="J48">
        <v>1500</v>
      </c>
    </row>
    <row r="49" spans="1:10" x14ac:dyDescent="0.35">
      <c r="A49">
        <v>48</v>
      </c>
      <c r="B49" s="1">
        <v>45062</v>
      </c>
      <c r="C49" t="s">
        <v>61</v>
      </c>
      <c r="D49" t="s">
        <v>10</v>
      </c>
      <c r="E49">
        <v>54</v>
      </c>
      <c r="F49" t="str">
        <f>IF(Table1[[#This Row],[Age]]&lt;=25,"Young",IF(Table1[[#This Row],[Age]]&gt;55,"Old",IF(Table1[[#This Row],[Age]]&gt;25,"Middle","Na")))</f>
        <v>Middle</v>
      </c>
      <c r="G49" t="s">
        <v>16</v>
      </c>
      <c r="H49">
        <v>3</v>
      </c>
      <c r="I49">
        <v>300</v>
      </c>
      <c r="J49">
        <v>900</v>
      </c>
    </row>
    <row r="50" spans="1:10" x14ac:dyDescent="0.35">
      <c r="A50">
        <v>49</v>
      </c>
      <c r="B50" s="1">
        <v>44949</v>
      </c>
      <c r="C50" t="s">
        <v>62</v>
      </c>
      <c r="D50" t="s">
        <v>13</v>
      </c>
      <c r="E50">
        <v>54</v>
      </c>
      <c r="F50" t="str">
        <f>IF(Table1[[#This Row],[Age]]&lt;=25,"Young",IF(Table1[[#This Row],[Age]]&gt;55,"Old",IF(Table1[[#This Row],[Age]]&gt;25,"Middle","Na")))</f>
        <v>Middle</v>
      </c>
      <c r="G50" t="s">
        <v>16</v>
      </c>
      <c r="H50">
        <v>2</v>
      </c>
      <c r="I50">
        <v>500</v>
      </c>
      <c r="J50">
        <v>1000</v>
      </c>
    </row>
    <row r="51" spans="1:10" x14ac:dyDescent="0.35">
      <c r="A51">
        <v>50</v>
      </c>
      <c r="B51" s="1">
        <v>45162</v>
      </c>
      <c r="C51" t="s">
        <v>63</v>
      </c>
      <c r="D51" t="s">
        <v>13</v>
      </c>
      <c r="E51">
        <v>27</v>
      </c>
      <c r="F51" t="str">
        <f>IF(Table1[[#This Row],[Age]]&lt;=25,"Young",IF(Table1[[#This Row],[Age]]&gt;55,"Old",IF(Table1[[#This Row],[Age]]&gt;25,"Middle","Na")))</f>
        <v>Middle</v>
      </c>
      <c r="G51" t="s">
        <v>11</v>
      </c>
      <c r="H51">
        <v>3</v>
      </c>
      <c r="I51">
        <v>25</v>
      </c>
      <c r="J51">
        <v>75</v>
      </c>
    </row>
    <row r="52" spans="1:10" x14ac:dyDescent="0.35">
      <c r="A52">
        <v>51</v>
      </c>
      <c r="B52" s="1">
        <v>45201</v>
      </c>
      <c r="C52" t="s">
        <v>64</v>
      </c>
      <c r="D52" t="s">
        <v>10</v>
      </c>
      <c r="E52">
        <v>27</v>
      </c>
      <c r="F52" t="str">
        <f>IF(Table1[[#This Row],[Age]]&lt;=25,"Young",IF(Table1[[#This Row],[Age]]&gt;55,"Old",IF(Table1[[#This Row],[Age]]&gt;25,"Middle","Na")))</f>
        <v>Middle</v>
      </c>
      <c r="G52" t="s">
        <v>11</v>
      </c>
      <c r="H52">
        <v>3</v>
      </c>
      <c r="I52">
        <v>25</v>
      </c>
      <c r="J52">
        <v>75</v>
      </c>
    </row>
    <row r="53" spans="1:10" x14ac:dyDescent="0.35">
      <c r="A53">
        <v>52</v>
      </c>
      <c r="B53" s="1">
        <v>44990</v>
      </c>
      <c r="C53" t="s">
        <v>65</v>
      </c>
      <c r="D53" t="s">
        <v>13</v>
      </c>
      <c r="E53">
        <v>36</v>
      </c>
      <c r="F53" t="str">
        <f>IF(Table1[[#This Row],[Age]]&lt;=25,"Young",IF(Table1[[#This Row],[Age]]&gt;55,"Old",IF(Table1[[#This Row],[Age]]&gt;25,"Middle","Na")))</f>
        <v>Middle</v>
      </c>
      <c r="G53" t="s">
        <v>11</v>
      </c>
      <c r="H53">
        <v>1</v>
      </c>
      <c r="I53">
        <v>300</v>
      </c>
      <c r="J53">
        <v>300</v>
      </c>
    </row>
    <row r="54" spans="1:10" x14ac:dyDescent="0.35">
      <c r="A54">
        <v>53</v>
      </c>
      <c r="B54" s="1">
        <v>45120</v>
      </c>
      <c r="C54" t="s">
        <v>66</v>
      </c>
      <c r="D54" t="s">
        <v>10</v>
      </c>
      <c r="E54">
        <v>34</v>
      </c>
      <c r="F54" t="str">
        <f>IF(Table1[[#This Row],[Age]]&lt;=25,"Young",IF(Table1[[#This Row],[Age]]&gt;55,"Old",IF(Table1[[#This Row],[Age]]&gt;25,"Middle","Na")))</f>
        <v>Middle</v>
      </c>
      <c r="G54" t="s">
        <v>16</v>
      </c>
      <c r="H54">
        <v>2</v>
      </c>
      <c r="I54">
        <v>50</v>
      </c>
      <c r="J54">
        <v>100</v>
      </c>
    </row>
    <row r="55" spans="1:10" x14ac:dyDescent="0.35">
      <c r="A55">
        <v>54</v>
      </c>
      <c r="B55" s="1">
        <v>44967</v>
      </c>
      <c r="C55" t="s">
        <v>67</v>
      </c>
      <c r="D55" t="s">
        <v>13</v>
      </c>
      <c r="E55">
        <v>38</v>
      </c>
      <c r="F55" t="str">
        <f>IF(Table1[[#This Row],[Age]]&lt;=25,"Young",IF(Table1[[#This Row],[Age]]&gt;55,"Old",IF(Table1[[#This Row],[Age]]&gt;25,"Middle","Na")))</f>
        <v>Middle</v>
      </c>
      <c r="G55" t="s">
        <v>16</v>
      </c>
      <c r="H55">
        <v>3</v>
      </c>
      <c r="I55">
        <v>500</v>
      </c>
      <c r="J55">
        <v>1500</v>
      </c>
    </row>
    <row r="56" spans="1:10" x14ac:dyDescent="0.35">
      <c r="A56">
        <v>55</v>
      </c>
      <c r="B56" s="1">
        <v>45209</v>
      </c>
      <c r="C56" t="s">
        <v>68</v>
      </c>
      <c r="D56" t="s">
        <v>10</v>
      </c>
      <c r="E56">
        <v>31</v>
      </c>
      <c r="F56" t="str">
        <f>IF(Table1[[#This Row],[Age]]&lt;=25,"Young",IF(Table1[[#This Row],[Age]]&gt;55,"Old",IF(Table1[[#This Row],[Age]]&gt;25,"Middle","Na")))</f>
        <v>Middle</v>
      </c>
      <c r="G56" t="s">
        <v>11</v>
      </c>
      <c r="H56">
        <v>4</v>
      </c>
      <c r="I56">
        <v>30</v>
      </c>
      <c r="J56">
        <v>120</v>
      </c>
    </row>
    <row r="57" spans="1:10" x14ac:dyDescent="0.35">
      <c r="A57">
        <v>56</v>
      </c>
      <c r="B57" s="1">
        <v>45077</v>
      </c>
      <c r="C57" t="s">
        <v>69</v>
      </c>
      <c r="D57" t="s">
        <v>13</v>
      </c>
      <c r="E57">
        <v>26</v>
      </c>
      <c r="F57" t="str">
        <f>IF(Table1[[#This Row],[Age]]&lt;=25,"Young",IF(Table1[[#This Row],[Age]]&gt;55,"Old",IF(Table1[[#This Row],[Age]]&gt;25,"Middle","Na")))</f>
        <v>Middle</v>
      </c>
      <c r="G57" t="s">
        <v>14</v>
      </c>
      <c r="H57">
        <v>3</v>
      </c>
      <c r="I57">
        <v>300</v>
      </c>
      <c r="J57">
        <v>900</v>
      </c>
    </row>
    <row r="58" spans="1:10" x14ac:dyDescent="0.35">
      <c r="A58">
        <v>57</v>
      </c>
      <c r="B58" s="1">
        <v>45248</v>
      </c>
      <c r="C58" t="s">
        <v>70</v>
      </c>
      <c r="D58" t="s">
        <v>13</v>
      </c>
      <c r="E58">
        <v>63</v>
      </c>
      <c r="F58" t="str">
        <f>IF(Table1[[#This Row],[Age]]&lt;=25,"Young",IF(Table1[[#This Row],[Age]]&gt;55,"Old",IF(Table1[[#This Row],[Age]]&gt;25,"Middle","Na")))</f>
        <v>Old</v>
      </c>
      <c r="G58" t="s">
        <v>11</v>
      </c>
      <c r="H58">
        <v>1</v>
      </c>
      <c r="I58">
        <v>30</v>
      </c>
      <c r="J58">
        <v>30</v>
      </c>
    </row>
    <row r="59" spans="1:10" x14ac:dyDescent="0.35">
      <c r="A59">
        <v>58</v>
      </c>
      <c r="B59" s="1">
        <v>45243</v>
      </c>
      <c r="C59" t="s">
        <v>71</v>
      </c>
      <c r="D59" t="s">
        <v>10</v>
      </c>
      <c r="E59">
        <v>18</v>
      </c>
      <c r="F59" t="str">
        <f>IF(Table1[[#This Row],[Age]]&lt;=25,"Young",IF(Table1[[#This Row],[Age]]&gt;55,"Old",IF(Table1[[#This Row],[Age]]&gt;25,"Middle","Na")))</f>
        <v>Young</v>
      </c>
      <c r="G59" t="s">
        <v>14</v>
      </c>
      <c r="H59">
        <v>4</v>
      </c>
      <c r="I59">
        <v>300</v>
      </c>
      <c r="J59">
        <v>1200</v>
      </c>
    </row>
    <row r="60" spans="1:10" x14ac:dyDescent="0.35">
      <c r="A60">
        <v>59</v>
      </c>
      <c r="B60" s="1">
        <v>45112</v>
      </c>
      <c r="C60" t="s">
        <v>72</v>
      </c>
      <c r="D60" t="s">
        <v>10</v>
      </c>
      <c r="E60">
        <v>62</v>
      </c>
      <c r="F60" t="str">
        <f>IF(Table1[[#This Row],[Age]]&lt;=25,"Young",IF(Table1[[#This Row],[Age]]&gt;55,"Old",IF(Table1[[#This Row],[Age]]&gt;25,"Middle","Na")))</f>
        <v>Old</v>
      </c>
      <c r="G60" t="s">
        <v>14</v>
      </c>
      <c r="H60">
        <v>1</v>
      </c>
      <c r="I60">
        <v>50</v>
      </c>
      <c r="J60">
        <v>50</v>
      </c>
    </row>
    <row r="61" spans="1:10" x14ac:dyDescent="0.35">
      <c r="A61">
        <v>60</v>
      </c>
      <c r="B61" s="1">
        <v>45222</v>
      </c>
      <c r="C61" t="s">
        <v>73</v>
      </c>
      <c r="D61" t="s">
        <v>10</v>
      </c>
      <c r="E61">
        <v>30</v>
      </c>
      <c r="F61" t="str">
        <f>IF(Table1[[#This Row],[Age]]&lt;=25,"Young",IF(Table1[[#This Row],[Age]]&gt;55,"Old",IF(Table1[[#This Row],[Age]]&gt;25,"Middle","Na")))</f>
        <v>Middle</v>
      </c>
      <c r="G61" t="s">
        <v>11</v>
      </c>
      <c r="H61">
        <v>3</v>
      </c>
      <c r="I61">
        <v>50</v>
      </c>
      <c r="J61">
        <v>150</v>
      </c>
    </row>
    <row r="62" spans="1:10" x14ac:dyDescent="0.35">
      <c r="A62">
        <v>61</v>
      </c>
      <c r="B62" s="1">
        <v>45025</v>
      </c>
      <c r="C62" t="s">
        <v>74</v>
      </c>
      <c r="D62" t="s">
        <v>10</v>
      </c>
      <c r="E62">
        <v>21</v>
      </c>
      <c r="F62" t="str">
        <f>IF(Table1[[#This Row],[Age]]&lt;=25,"Young",IF(Table1[[#This Row],[Age]]&gt;55,"Old",IF(Table1[[#This Row],[Age]]&gt;25,"Middle","Na")))</f>
        <v>Young</v>
      </c>
      <c r="G62" t="s">
        <v>11</v>
      </c>
      <c r="H62">
        <v>4</v>
      </c>
      <c r="I62">
        <v>50</v>
      </c>
      <c r="J62">
        <v>200</v>
      </c>
    </row>
    <row r="63" spans="1:10" x14ac:dyDescent="0.35">
      <c r="A63">
        <v>62</v>
      </c>
      <c r="B63" s="1">
        <v>45287</v>
      </c>
      <c r="C63" t="s">
        <v>75</v>
      </c>
      <c r="D63" t="s">
        <v>10</v>
      </c>
      <c r="E63">
        <v>18</v>
      </c>
      <c r="F63" t="str">
        <f>IF(Table1[[#This Row],[Age]]&lt;=25,"Young",IF(Table1[[#This Row],[Age]]&gt;55,"Old",IF(Table1[[#This Row],[Age]]&gt;25,"Middle","Na")))</f>
        <v>Young</v>
      </c>
      <c r="G63" t="s">
        <v>11</v>
      </c>
      <c r="H63">
        <v>2</v>
      </c>
      <c r="I63">
        <v>50</v>
      </c>
      <c r="J63">
        <v>100</v>
      </c>
    </row>
    <row r="64" spans="1:10" x14ac:dyDescent="0.35">
      <c r="A64">
        <v>63</v>
      </c>
      <c r="B64" s="1">
        <v>44962</v>
      </c>
      <c r="C64" t="s">
        <v>76</v>
      </c>
      <c r="D64" t="s">
        <v>10</v>
      </c>
      <c r="E64">
        <v>57</v>
      </c>
      <c r="F64" t="str">
        <f>IF(Table1[[#This Row],[Age]]&lt;=25,"Young",IF(Table1[[#This Row],[Age]]&gt;55,"Old",IF(Table1[[#This Row],[Age]]&gt;25,"Middle","Na")))</f>
        <v>Old</v>
      </c>
      <c r="G64" t="s">
        <v>16</v>
      </c>
      <c r="H64">
        <v>2</v>
      </c>
      <c r="I64">
        <v>25</v>
      </c>
      <c r="J64">
        <v>50</v>
      </c>
    </row>
    <row r="65" spans="1:10" x14ac:dyDescent="0.35">
      <c r="A65">
        <v>64</v>
      </c>
      <c r="B65" s="1">
        <v>44950</v>
      </c>
      <c r="C65" t="s">
        <v>77</v>
      </c>
      <c r="D65" t="s">
        <v>10</v>
      </c>
      <c r="E65">
        <v>49</v>
      </c>
      <c r="F65" t="str">
        <f>IF(Table1[[#This Row],[Age]]&lt;=25,"Young",IF(Table1[[#This Row],[Age]]&gt;55,"Old",IF(Table1[[#This Row],[Age]]&gt;25,"Middle","Na")))</f>
        <v>Middle</v>
      </c>
      <c r="G65" t="s">
        <v>14</v>
      </c>
      <c r="H65">
        <v>4</v>
      </c>
      <c r="I65">
        <v>25</v>
      </c>
      <c r="J65">
        <v>100</v>
      </c>
    </row>
    <row r="66" spans="1:10" x14ac:dyDescent="0.35">
      <c r="A66">
        <v>65</v>
      </c>
      <c r="B66" s="1">
        <v>45265</v>
      </c>
      <c r="C66" t="s">
        <v>78</v>
      </c>
      <c r="D66" t="s">
        <v>10</v>
      </c>
      <c r="E66">
        <v>51</v>
      </c>
      <c r="F66" t="str">
        <f>IF(Table1[[#This Row],[Age]]&lt;=25,"Young",IF(Table1[[#This Row],[Age]]&gt;55,"Old",IF(Table1[[#This Row],[Age]]&gt;25,"Middle","Na")))</f>
        <v>Middle</v>
      </c>
      <c r="G66" t="s">
        <v>16</v>
      </c>
      <c r="H66">
        <v>4</v>
      </c>
      <c r="I66">
        <v>500</v>
      </c>
      <c r="J66">
        <v>2000</v>
      </c>
    </row>
    <row r="67" spans="1:10" x14ac:dyDescent="0.35">
      <c r="A67">
        <v>66</v>
      </c>
      <c r="B67" s="1">
        <v>45043</v>
      </c>
      <c r="C67" t="s">
        <v>79</v>
      </c>
      <c r="D67" t="s">
        <v>13</v>
      </c>
      <c r="E67">
        <v>45</v>
      </c>
      <c r="F67" t="str">
        <f>IF(Table1[[#This Row],[Age]]&lt;=25,"Young",IF(Table1[[#This Row],[Age]]&gt;55,"Old",IF(Table1[[#This Row],[Age]]&gt;25,"Middle","Na")))</f>
        <v>Middle</v>
      </c>
      <c r="G67" t="s">
        <v>16</v>
      </c>
      <c r="H67">
        <v>1</v>
      </c>
      <c r="I67">
        <v>30</v>
      </c>
      <c r="J67">
        <v>30</v>
      </c>
    </row>
    <row r="68" spans="1:10" x14ac:dyDescent="0.35">
      <c r="A68">
        <v>67</v>
      </c>
      <c r="B68" s="1">
        <v>45075</v>
      </c>
      <c r="C68" t="s">
        <v>80</v>
      </c>
      <c r="D68" t="s">
        <v>13</v>
      </c>
      <c r="E68">
        <v>48</v>
      </c>
      <c r="F68" t="str">
        <f>IF(Table1[[#This Row],[Age]]&lt;=25,"Young",IF(Table1[[#This Row],[Age]]&gt;55,"Old",IF(Table1[[#This Row],[Age]]&gt;25,"Middle","Na")))</f>
        <v>Middle</v>
      </c>
      <c r="G68" t="s">
        <v>11</v>
      </c>
      <c r="H68">
        <v>4</v>
      </c>
      <c r="I68">
        <v>300</v>
      </c>
      <c r="J68">
        <v>1200</v>
      </c>
    </row>
    <row r="69" spans="1:10" x14ac:dyDescent="0.35">
      <c r="A69">
        <v>68</v>
      </c>
      <c r="B69" s="1">
        <v>44967</v>
      </c>
      <c r="C69" t="s">
        <v>81</v>
      </c>
      <c r="D69" t="s">
        <v>10</v>
      </c>
      <c r="E69">
        <v>25</v>
      </c>
      <c r="F69" t="str">
        <f>IF(Table1[[#This Row],[Age]]&lt;=25,"Young",IF(Table1[[#This Row],[Age]]&gt;55,"Old",IF(Table1[[#This Row],[Age]]&gt;25,"Middle","Na")))</f>
        <v>Young</v>
      </c>
      <c r="G69" t="s">
        <v>16</v>
      </c>
      <c r="H69">
        <v>1</v>
      </c>
      <c r="I69">
        <v>300</v>
      </c>
      <c r="J69">
        <v>300</v>
      </c>
    </row>
    <row r="70" spans="1:10" x14ac:dyDescent="0.35">
      <c r="A70">
        <v>69</v>
      </c>
      <c r="B70" s="1">
        <v>45046</v>
      </c>
      <c r="C70" t="s">
        <v>82</v>
      </c>
      <c r="D70" t="s">
        <v>13</v>
      </c>
      <c r="E70">
        <v>56</v>
      </c>
      <c r="F70" t="str">
        <f>IF(Table1[[#This Row],[Age]]&lt;=25,"Young",IF(Table1[[#This Row],[Age]]&gt;55,"Old",IF(Table1[[#This Row],[Age]]&gt;25,"Middle","Na")))</f>
        <v>Old</v>
      </c>
      <c r="G70" t="s">
        <v>11</v>
      </c>
      <c r="H70">
        <v>3</v>
      </c>
      <c r="I70">
        <v>25</v>
      </c>
      <c r="J70">
        <v>75</v>
      </c>
    </row>
    <row r="71" spans="1:10" x14ac:dyDescent="0.35">
      <c r="A71">
        <v>70</v>
      </c>
      <c r="B71" s="1">
        <v>44978</v>
      </c>
      <c r="C71" t="s">
        <v>83</v>
      </c>
      <c r="D71" t="s">
        <v>13</v>
      </c>
      <c r="E71">
        <v>43</v>
      </c>
      <c r="F71" t="str">
        <f>IF(Table1[[#This Row],[Age]]&lt;=25,"Young",IF(Table1[[#This Row],[Age]]&gt;55,"Old",IF(Table1[[#This Row],[Age]]&gt;25,"Middle","Na")))</f>
        <v>Middle</v>
      </c>
      <c r="G71" t="s">
        <v>14</v>
      </c>
      <c r="H71">
        <v>1</v>
      </c>
      <c r="I71">
        <v>300</v>
      </c>
      <c r="J71">
        <v>300</v>
      </c>
    </row>
    <row r="72" spans="1:10" x14ac:dyDescent="0.35">
      <c r="A72">
        <v>71</v>
      </c>
      <c r="B72" s="1">
        <v>45121</v>
      </c>
      <c r="C72" t="s">
        <v>84</v>
      </c>
      <c r="D72" t="s">
        <v>13</v>
      </c>
      <c r="E72">
        <v>51</v>
      </c>
      <c r="F72" t="str">
        <f>IF(Table1[[#This Row],[Age]]&lt;=25,"Young",IF(Table1[[#This Row],[Age]]&gt;55,"Old",IF(Table1[[#This Row],[Age]]&gt;25,"Middle","Na")))</f>
        <v>Middle</v>
      </c>
      <c r="G72" t="s">
        <v>11</v>
      </c>
      <c r="H72">
        <v>4</v>
      </c>
      <c r="I72">
        <v>25</v>
      </c>
      <c r="J72">
        <v>100</v>
      </c>
    </row>
    <row r="73" spans="1:10" x14ac:dyDescent="0.35">
      <c r="A73">
        <v>72</v>
      </c>
      <c r="B73" s="1">
        <v>45069</v>
      </c>
      <c r="C73" t="s">
        <v>85</v>
      </c>
      <c r="D73" t="s">
        <v>13</v>
      </c>
      <c r="E73">
        <v>20</v>
      </c>
      <c r="F73" t="str">
        <f>IF(Table1[[#This Row],[Age]]&lt;=25,"Young",IF(Table1[[#This Row],[Age]]&gt;55,"Old",IF(Table1[[#This Row],[Age]]&gt;25,"Middle","Na")))</f>
        <v>Young</v>
      </c>
      <c r="G73" t="s">
        <v>16</v>
      </c>
      <c r="H73">
        <v>4</v>
      </c>
      <c r="I73">
        <v>500</v>
      </c>
      <c r="J73">
        <v>2000</v>
      </c>
    </row>
    <row r="74" spans="1:10" x14ac:dyDescent="0.35">
      <c r="A74">
        <v>73</v>
      </c>
      <c r="B74" s="1">
        <v>45159</v>
      </c>
      <c r="C74" t="s">
        <v>86</v>
      </c>
      <c r="D74" t="s">
        <v>10</v>
      </c>
      <c r="E74">
        <v>29</v>
      </c>
      <c r="F74" t="str">
        <f>IF(Table1[[#This Row],[Age]]&lt;=25,"Young",IF(Table1[[#This Row],[Age]]&gt;55,"Old",IF(Table1[[#This Row],[Age]]&gt;25,"Middle","Na")))</f>
        <v>Middle</v>
      </c>
      <c r="G74" t="s">
        <v>16</v>
      </c>
      <c r="H74">
        <v>3</v>
      </c>
      <c r="I74">
        <v>30</v>
      </c>
      <c r="J74">
        <v>90</v>
      </c>
    </row>
    <row r="75" spans="1:10" x14ac:dyDescent="0.35">
      <c r="A75">
        <v>74</v>
      </c>
      <c r="B75" s="1">
        <v>45252</v>
      </c>
      <c r="C75" t="s">
        <v>87</v>
      </c>
      <c r="D75" t="s">
        <v>13</v>
      </c>
      <c r="E75">
        <v>18</v>
      </c>
      <c r="F75" t="str">
        <f>IF(Table1[[#This Row],[Age]]&lt;=25,"Young",IF(Table1[[#This Row],[Age]]&gt;55,"Old",IF(Table1[[#This Row],[Age]]&gt;25,"Middle","Na")))</f>
        <v>Young</v>
      </c>
      <c r="G75" t="s">
        <v>11</v>
      </c>
      <c r="H75">
        <v>4</v>
      </c>
      <c r="I75">
        <v>500</v>
      </c>
      <c r="J75">
        <v>2000</v>
      </c>
    </row>
    <row r="76" spans="1:10" x14ac:dyDescent="0.35">
      <c r="A76">
        <v>75</v>
      </c>
      <c r="B76" s="1">
        <v>45113</v>
      </c>
      <c r="C76" t="s">
        <v>88</v>
      </c>
      <c r="D76" t="s">
        <v>10</v>
      </c>
      <c r="E76">
        <v>61</v>
      </c>
      <c r="F76" t="str">
        <f>IF(Table1[[#This Row],[Age]]&lt;=25,"Young",IF(Table1[[#This Row],[Age]]&gt;55,"Old",IF(Table1[[#This Row],[Age]]&gt;25,"Middle","Na")))</f>
        <v>Old</v>
      </c>
      <c r="G76" t="s">
        <v>11</v>
      </c>
      <c r="H76">
        <v>4</v>
      </c>
      <c r="I76">
        <v>50</v>
      </c>
      <c r="J76">
        <v>200</v>
      </c>
    </row>
    <row r="77" spans="1:10" x14ac:dyDescent="0.35">
      <c r="A77">
        <v>76</v>
      </c>
      <c r="B77" s="1">
        <v>45010</v>
      </c>
      <c r="C77" t="s">
        <v>89</v>
      </c>
      <c r="D77" t="s">
        <v>13</v>
      </c>
      <c r="E77">
        <v>22</v>
      </c>
      <c r="F77" t="str">
        <f>IF(Table1[[#This Row],[Age]]&lt;=25,"Young",IF(Table1[[#This Row],[Age]]&gt;55,"Old",IF(Table1[[#This Row],[Age]]&gt;25,"Middle","Na")))</f>
        <v>Young</v>
      </c>
      <c r="G77" t="s">
        <v>16</v>
      </c>
      <c r="H77">
        <v>2</v>
      </c>
      <c r="I77">
        <v>50</v>
      </c>
      <c r="J77">
        <v>100</v>
      </c>
    </row>
    <row r="78" spans="1:10" x14ac:dyDescent="0.35">
      <c r="A78">
        <v>77</v>
      </c>
      <c r="B78" s="1">
        <v>45116</v>
      </c>
      <c r="C78" t="s">
        <v>90</v>
      </c>
      <c r="D78" t="s">
        <v>13</v>
      </c>
      <c r="E78">
        <v>47</v>
      </c>
      <c r="F78" t="str">
        <f>IF(Table1[[#This Row],[Age]]&lt;=25,"Young",IF(Table1[[#This Row],[Age]]&gt;55,"Old",IF(Table1[[#This Row],[Age]]&gt;25,"Middle","Na")))</f>
        <v>Middle</v>
      </c>
      <c r="G78" t="s">
        <v>14</v>
      </c>
      <c r="H78">
        <v>2</v>
      </c>
      <c r="I78">
        <v>50</v>
      </c>
      <c r="J78">
        <v>100</v>
      </c>
    </row>
    <row r="79" spans="1:10" x14ac:dyDescent="0.35">
      <c r="A79">
        <v>78</v>
      </c>
      <c r="B79" s="1">
        <v>45108</v>
      </c>
      <c r="C79" t="s">
        <v>91</v>
      </c>
      <c r="D79" t="s">
        <v>13</v>
      </c>
      <c r="E79">
        <v>47</v>
      </c>
      <c r="F79" t="str">
        <f>IF(Table1[[#This Row],[Age]]&lt;=25,"Young",IF(Table1[[#This Row],[Age]]&gt;55,"Old",IF(Table1[[#This Row],[Age]]&gt;25,"Middle","Na")))</f>
        <v>Middle</v>
      </c>
      <c r="G79" t="s">
        <v>14</v>
      </c>
      <c r="H79">
        <v>3</v>
      </c>
      <c r="I79">
        <v>500</v>
      </c>
      <c r="J79">
        <v>1500</v>
      </c>
    </row>
    <row r="80" spans="1:10" x14ac:dyDescent="0.35">
      <c r="A80">
        <v>79</v>
      </c>
      <c r="B80" s="1">
        <v>45034</v>
      </c>
      <c r="C80" t="s">
        <v>92</v>
      </c>
      <c r="D80" t="s">
        <v>10</v>
      </c>
      <c r="E80">
        <v>34</v>
      </c>
      <c r="F80" t="str">
        <f>IF(Table1[[#This Row],[Age]]&lt;=25,"Young",IF(Table1[[#This Row],[Age]]&gt;55,"Old",IF(Table1[[#This Row],[Age]]&gt;25,"Middle","Na")))</f>
        <v>Middle</v>
      </c>
      <c r="G80" t="s">
        <v>11</v>
      </c>
      <c r="H80">
        <v>1</v>
      </c>
      <c r="I80">
        <v>300</v>
      </c>
      <c r="J80">
        <v>300</v>
      </c>
    </row>
    <row r="81" spans="1:10" x14ac:dyDescent="0.35">
      <c r="A81">
        <v>80</v>
      </c>
      <c r="B81" s="1">
        <v>45270</v>
      </c>
      <c r="C81" t="s">
        <v>93</v>
      </c>
      <c r="D81" t="s">
        <v>13</v>
      </c>
      <c r="E81">
        <v>64</v>
      </c>
      <c r="F81" t="str">
        <f>IF(Table1[[#This Row],[Age]]&lt;=25,"Young",IF(Table1[[#This Row],[Age]]&gt;55,"Old",IF(Table1[[#This Row],[Age]]&gt;25,"Middle","Na")))</f>
        <v>Old</v>
      </c>
      <c r="G81" t="s">
        <v>14</v>
      </c>
      <c r="H81">
        <v>2</v>
      </c>
      <c r="I81">
        <v>30</v>
      </c>
      <c r="J81">
        <v>60</v>
      </c>
    </row>
    <row r="82" spans="1:10" x14ac:dyDescent="0.35">
      <c r="A82">
        <v>81</v>
      </c>
      <c r="B82" s="1">
        <v>45063</v>
      </c>
      <c r="C82" t="s">
        <v>94</v>
      </c>
      <c r="D82" t="s">
        <v>10</v>
      </c>
      <c r="E82">
        <v>40</v>
      </c>
      <c r="F82" t="str">
        <f>IF(Table1[[#This Row],[Age]]&lt;=25,"Young",IF(Table1[[#This Row],[Age]]&gt;55,"Old",IF(Table1[[#This Row],[Age]]&gt;25,"Middle","Na")))</f>
        <v>Middle</v>
      </c>
      <c r="G82" t="s">
        <v>16</v>
      </c>
      <c r="H82">
        <v>1</v>
      </c>
      <c r="I82">
        <v>50</v>
      </c>
      <c r="J82">
        <v>50</v>
      </c>
    </row>
    <row r="83" spans="1:10" x14ac:dyDescent="0.35">
      <c r="A83">
        <v>82</v>
      </c>
      <c r="B83" s="1">
        <v>45286</v>
      </c>
      <c r="C83" t="s">
        <v>95</v>
      </c>
      <c r="D83" t="s">
        <v>13</v>
      </c>
      <c r="E83">
        <v>32</v>
      </c>
      <c r="F83" t="str">
        <f>IF(Table1[[#This Row],[Age]]&lt;=25,"Young",IF(Table1[[#This Row],[Age]]&gt;55,"Old",IF(Table1[[#This Row],[Age]]&gt;25,"Middle","Na")))</f>
        <v>Middle</v>
      </c>
      <c r="G83" t="s">
        <v>11</v>
      </c>
      <c r="H83">
        <v>4</v>
      </c>
      <c r="I83">
        <v>50</v>
      </c>
      <c r="J83">
        <v>200</v>
      </c>
    </row>
    <row r="84" spans="1:10" x14ac:dyDescent="0.35">
      <c r="A84">
        <v>83</v>
      </c>
      <c r="B84" s="1">
        <v>45276</v>
      </c>
      <c r="C84" t="s">
        <v>96</v>
      </c>
      <c r="D84" t="s">
        <v>10</v>
      </c>
      <c r="E84">
        <v>54</v>
      </c>
      <c r="F84" t="str">
        <f>IF(Table1[[#This Row],[Age]]&lt;=25,"Young",IF(Table1[[#This Row],[Age]]&gt;55,"Old",IF(Table1[[#This Row],[Age]]&gt;25,"Middle","Na")))</f>
        <v>Middle</v>
      </c>
      <c r="G84" t="s">
        <v>16</v>
      </c>
      <c r="H84">
        <v>2</v>
      </c>
      <c r="I84">
        <v>50</v>
      </c>
      <c r="J84">
        <v>100</v>
      </c>
    </row>
    <row r="85" spans="1:10" x14ac:dyDescent="0.35">
      <c r="A85">
        <v>84</v>
      </c>
      <c r="B85" s="1">
        <v>45258</v>
      </c>
      <c r="C85" t="s">
        <v>97</v>
      </c>
      <c r="D85" t="s">
        <v>13</v>
      </c>
      <c r="E85">
        <v>38</v>
      </c>
      <c r="F85" t="str">
        <f>IF(Table1[[#This Row],[Age]]&lt;=25,"Young",IF(Table1[[#This Row],[Age]]&gt;55,"Old",IF(Table1[[#This Row],[Age]]&gt;25,"Middle","Na")))</f>
        <v>Middle</v>
      </c>
      <c r="G85" t="s">
        <v>16</v>
      </c>
      <c r="H85">
        <v>3</v>
      </c>
      <c r="I85">
        <v>30</v>
      </c>
      <c r="J85">
        <v>90</v>
      </c>
    </row>
    <row r="86" spans="1:10" x14ac:dyDescent="0.35">
      <c r="A86">
        <v>85</v>
      </c>
      <c r="B86" s="1">
        <v>44963</v>
      </c>
      <c r="C86" t="s">
        <v>98</v>
      </c>
      <c r="D86" t="s">
        <v>10</v>
      </c>
      <c r="E86">
        <v>31</v>
      </c>
      <c r="F86" t="str">
        <f>IF(Table1[[#This Row],[Age]]&lt;=25,"Young",IF(Table1[[#This Row],[Age]]&gt;55,"Old",IF(Table1[[#This Row],[Age]]&gt;25,"Middle","Na")))</f>
        <v>Middle</v>
      </c>
      <c r="G86" t="s">
        <v>14</v>
      </c>
      <c r="H86">
        <v>3</v>
      </c>
      <c r="I86">
        <v>50</v>
      </c>
      <c r="J86">
        <v>150</v>
      </c>
    </row>
    <row r="87" spans="1:10" x14ac:dyDescent="0.35">
      <c r="A87">
        <v>86</v>
      </c>
      <c r="B87" s="1">
        <v>45238</v>
      </c>
      <c r="C87" t="s">
        <v>99</v>
      </c>
      <c r="D87" t="s">
        <v>10</v>
      </c>
      <c r="E87">
        <v>19</v>
      </c>
      <c r="F87" t="str">
        <f>IF(Table1[[#This Row],[Age]]&lt;=25,"Young",IF(Table1[[#This Row],[Age]]&gt;55,"Old",IF(Table1[[#This Row],[Age]]&gt;25,"Middle","Na")))</f>
        <v>Young</v>
      </c>
      <c r="G87" t="s">
        <v>11</v>
      </c>
      <c r="H87">
        <v>3</v>
      </c>
      <c r="I87">
        <v>30</v>
      </c>
      <c r="J87">
        <v>90</v>
      </c>
    </row>
    <row r="88" spans="1:10" x14ac:dyDescent="0.35">
      <c r="A88">
        <v>87</v>
      </c>
      <c r="B88" s="1">
        <v>45252</v>
      </c>
      <c r="C88" t="s">
        <v>100</v>
      </c>
      <c r="D88" t="s">
        <v>13</v>
      </c>
      <c r="E88">
        <v>28</v>
      </c>
      <c r="F88" t="str">
        <f>IF(Table1[[#This Row],[Age]]&lt;=25,"Young",IF(Table1[[#This Row],[Age]]&gt;55,"Old",IF(Table1[[#This Row],[Age]]&gt;25,"Middle","Na")))</f>
        <v>Middle</v>
      </c>
      <c r="G88" t="s">
        <v>11</v>
      </c>
      <c r="H88">
        <v>2</v>
      </c>
      <c r="I88">
        <v>50</v>
      </c>
      <c r="J88">
        <v>100</v>
      </c>
    </row>
    <row r="89" spans="1:10" x14ac:dyDescent="0.35">
      <c r="A89">
        <v>88</v>
      </c>
      <c r="B89" s="1">
        <v>45014</v>
      </c>
      <c r="C89" t="s">
        <v>101</v>
      </c>
      <c r="D89" t="s">
        <v>10</v>
      </c>
      <c r="E89">
        <v>56</v>
      </c>
      <c r="F89" t="str">
        <f>IF(Table1[[#This Row],[Age]]&lt;=25,"Young",IF(Table1[[#This Row],[Age]]&gt;55,"Old",IF(Table1[[#This Row],[Age]]&gt;25,"Middle","Na")))</f>
        <v>Old</v>
      </c>
      <c r="G89" t="s">
        <v>14</v>
      </c>
      <c r="H89">
        <v>1</v>
      </c>
      <c r="I89">
        <v>500</v>
      </c>
      <c r="J89">
        <v>500</v>
      </c>
    </row>
    <row r="90" spans="1:10" x14ac:dyDescent="0.35">
      <c r="A90">
        <v>89</v>
      </c>
      <c r="B90" s="1">
        <v>45200</v>
      </c>
      <c r="C90" t="s">
        <v>102</v>
      </c>
      <c r="D90" t="s">
        <v>13</v>
      </c>
      <c r="E90">
        <v>55</v>
      </c>
      <c r="F90" t="str">
        <f>IF(Table1[[#This Row],[Age]]&lt;=25,"Young",IF(Table1[[#This Row],[Age]]&gt;55,"Old",IF(Table1[[#This Row],[Age]]&gt;25,"Middle","Na")))</f>
        <v>Middle</v>
      </c>
      <c r="G90" t="s">
        <v>16</v>
      </c>
      <c r="H90">
        <v>4</v>
      </c>
      <c r="I90">
        <v>500</v>
      </c>
      <c r="J90">
        <v>2000</v>
      </c>
    </row>
    <row r="91" spans="1:10" x14ac:dyDescent="0.35">
      <c r="A91">
        <v>90</v>
      </c>
      <c r="B91" s="1">
        <v>45052</v>
      </c>
      <c r="C91" t="s">
        <v>103</v>
      </c>
      <c r="D91" t="s">
        <v>13</v>
      </c>
      <c r="E91">
        <v>51</v>
      </c>
      <c r="F91" t="str">
        <f>IF(Table1[[#This Row],[Age]]&lt;=25,"Young",IF(Table1[[#This Row],[Age]]&gt;55,"Old",IF(Table1[[#This Row],[Age]]&gt;25,"Middle","Na")))</f>
        <v>Middle</v>
      </c>
      <c r="G91" t="s">
        <v>16</v>
      </c>
      <c r="H91">
        <v>1</v>
      </c>
      <c r="I91">
        <v>30</v>
      </c>
      <c r="J91">
        <v>30</v>
      </c>
    </row>
    <row r="92" spans="1:10" x14ac:dyDescent="0.35">
      <c r="A92">
        <v>91</v>
      </c>
      <c r="B92" s="1">
        <v>45010</v>
      </c>
      <c r="C92" t="s">
        <v>104</v>
      </c>
      <c r="D92" t="s">
        <v>13</v>
      </c>
      <c r="E92">
        <v>55</v>
      </c>
      <c r="F92" t="str">
        <f>IF(Table1[[#This Row],[Age]]&lt;=25,"Young",IF(Table1[[#This Row],[Age]]&gt;55,"Old",IF(Table1[[#This Row],[Age]]&gt;25,"Middle","Na")))</f>
        <v>Middle</v>
      </c>
      <c r="G92" t="s">
        <v>16</v>
      </c>
      <c r="H92">
        <v>1</v>
      </c>
      <c r="I92">
        <v>500</v>
      </c>
      <c r="J92">
        <v>500</v>
      </c>
    </row>
    <row r="93" spans="1:10" x14ac:dyDescent="0.35">
      <c r="A93">
        <v>92</v>
      </c>
      <c r="B93" s="1">
        <v>45163</v>
      </c>
      <c r="C93" t="s">
        <v>105</v>
      </c>
      <c r="D93" t="s">
        <v>13</v>
      </c>
      <c r="E93">
        <v>51</v>
      </c>
      <c r="F93" t="str">
        <f>IF(Table1[[#This Row],[Age]]&lt;=25,"Young",IF(Table1[[#This Row],[Age]]&gt;55,"Old",IF(Table1[[#This Row],[Age]]&gt;25,"Middle","Na")))</f>
        <v>Middle</v>
      </c>
      <c r="G93" t="s">
        <v>16</v>
      </c>
      <c r="H93">
        <v>4</v>
      </c>
      <c r="I93">
        <v>30</v>
      </c>
      <c r="J93">
        <v>120</v>
      </c>
    </row>
    <row r="94" spans="1:10" x14ac:dyDescent="0.35">
      <c r="A94">
        <v>93</v>
      </c>
      <c r="B94" s="1">
        <v>45121</v>
      </c>
      <c r="C94" t="s">
        <v>106</v>
      </c>
      <c r="D94" t="s">
        <v>13</v>
      </c>
      <c r="E94">
        <v>35</v>
      </c>
      <c r="F94" t="str">
        <f>IF(Table1[[#This Row],[Age]]&lt;=25,"Young",IF(Table1[[#This Row],[Age]]&gt;55,"Old",IF(Table1[[#This Row],[Age]]&gt;25,"Middle","Na")))</f>
        <v>Middle</v>
      </c>
      <c r="G94" t="s">
        <v>11</v>
      </c>
      <c r="H94">
        <v>4</v>
      </c>
      <c r="I94">
        <v>500</v>
      </c>
      <c r="J94">
        <v>2000</v>
      </c>
    </row>
    <row r="95" spans="1:10" x14ac:dyDescent="0.35">
      <c r="A95">
        <v>94</v>
      </c>
      <c r="B95" s="1">
        <v>45065</v>
      </c>
      <c r="C95" t="s">
        <v>107</v>
      </c>
      <c r="D95" t="s">
        <v>13</v>
      </c>
      <c r="E95">
        <v>47</v>
      </c>
      <c r="F95" t="str">
        <f>IF(Table1[[#This Row],[Age]]&lt;=25,"Young",IF(Table1[[#This Row],[Age]]&gt;55,"Old",IF(Table1[[#This Row],[Age]]&gt;25,"Middle","Na")))</f>
        <v>Middle</v>
      </c>
      <c r="G95" t="s">
        <v>11</v>
      </c>
      <c r="H95">
        <v>2</v>
      </c>
      <c r="I95">
        <v>500</v>
      </c>
      <c r="J95">
        <v>1000</v>
      </c>
    </row>
    <row r="96" spans="1:10" x14ac:dyDescent="0.35">
      <c r="A96">
        <v>95</v>
      </c>
      <c r="B96" s="1">
        <v>45254</v>
      </c>
      <c r="C96" t="s">
        <v>108</v>
      </c>
      <c r="D96" t="s">
        <v>13</v>
      </c>
      <c r="E96">
        <v>32</v>
      </c>
      <c r="F96" t="str">
        <f>IF(Table1[[#This Row],[Age]]&lt;=25,"Young",IF(Table1[[#This Row],[Age]]&gt;55,"Old",IF(Table1[[#This Row],[Age]]&gt;25,"Middle","Na")))</f>
        <v>Middle</v>
      </c>
      <c r="G96" t="s">
        <v>14</v>
      </c>
      <c r="H96">
        <v>2</v>
      </c>
      <c r="I96">
        <v>30</v>
      </c>
      <c r="J96">
        <v>60</v>
      </c>
    </row>
    <row r="97" spans="1:10" x14ac:dyDescent="0.35">
      <c r="A97">
        <v>96</v>
      </c>
      <c r="B97" s="1">
        <v>45279</v>
      </c>
      <c r="C97" t="s">
        <v>109</v>
      </c>
      <c r="D97" t="s">
        <v>13</v>
      </c>
      <c r="E97">
        <v>44</v>
      </c>
      <c r="F97" t="str">
        <f>IF(Table1[[#This Row],[Age]]&lt;=25,"Young",IF(Table1[[#This Row],[Age]]&gt;55,"Old",IF(Table1[[#This Row],[Age]]&gt;25,"Middle","Na")))</f>
        <v>Middle</v>
      </c>
      <c r="G97" t="s">
        <v>14</v>
      </c>
      <c r="H97">
        <v>2</v>
      </c>
      <c r="I97">
        <v>300</v>
      </c>
      <c r="J97">
        <v>600</v>
      </c>
    </row>
    <row r="98" spans="1:10" x14ac:dyDescent="0.35">
      <c r="A98">
        <v>97</v>
      </c>
      <c r="B98" s="1">
        <v>45212</v>
      </c>
      <c r="C98" t="s">
        <v>110</v>
      </c>
      <c r="D98" t="s">
        <v>13</v>
      </c>
      <c r="E98">
        <v>51</v>
      </c>
      <c r="F98" t="str">
        <f>IF(Table1[[#This Row],[Age]]&lt;=25,"Young",IF(Table1[[#This Row],[Age]]&gt;55,"Old",IF(Table1[[#This Row],[Age]]&gt;25,"Middle","Na")))</f>
        <v>Middle</v>
      </c>
      <c r="G98" t="s">
        <v>11</v>
      </c>
      <c r="H98">
        <v>2</v>
      </c>
      <c r="I98">
        <v>500</v>
      </c>
      <c r="J98">
        <v>1000</v>
      </c>
    </row>
    <row r="99" spans="1:10" x14ac:dyDescent="0.35">
      <c r="A99">
        <v>98</v>
      </c>
      <c r="B99" s="1">
        <v>45039</v>
      </c>
      <c r="C99" t="s">
        <v>111</v>
      </c>
      <c r="D99" t="s">
        <v>13</v>
      </c>
      <c r="E99">
        <v>55</v>
      </c>
      <c r="F99" t="str">
        <f>IF(Table1[[#This Row],[Age]]&lt;=25,"Young",IF(Table1[[#This Row],[Age]]&gt;55,"Old",IF(Table1[[#This Row],[Age]]&gt;25,"Middle","Na")))</f>
        <v>Middle</v>
      </c>
      <c r="G99" t="s">
        <v>11</v>
      </c>
      <c r="H99">
        <v>2</v>
      </c>
      <c r="I99">
        <v>50</v>
      </c>
      <c r="J99">
        <v>100</v>
      </c>
    </row>
    <row r="100" spans="1:10" x14ac:dyDescent="0.35">
      <c r="A100">
        <v>99</v>
      </c>
      <c r="B100" s="1">
        <v>45277</v>
      </c>
      <c r="C100" t="s">
        <v>112</v>
      </c>
      <c r="D100" t="s">
        <v>13</v>
      </c>
      <c r="E100">
        <v>50</v>
      </c>
      <c r="F100" t="str">
        <f>IF(Table1[[#This Row],[Age]]&lt;=25,"Young",IF(Table1[[#This Row],[Age]]&gt;55,"Old",IF(Table1[[#This Row],[Age]]&gt;25,"Middle","Na")))</f>
        <v>Middle</v>
      </c>
      <c r="G100" t="s">
        <v>16</v>
      </c>
      <c r="H100">
        <v>4</v>
      </c>
      <c r="I100">
        <v>300</v>
      </c>
      <c r="J100">
        <v>1200</v>
      </c>
    </row>
    <row r="101" spans="1:10" x14ac:dyDescent="0.35">
      <c r="A101">
        <v>100</v>
      </c>
      <c r="B101" s="1">
        <v>45093</v>
      </c>
      <c r="C101" t="s">
        <v>113</v>
      </c>
      <c r="D101" t="s">
        <v>10</v>
      </c>
      <c r="E101">
        <v>41</v>
      </c>
      <c r="F101" t="str">
        <f>IF(Table1[[#This Row],[Age]]&lt;=25,"Young",IF(Table1[[#This Row],[Age]]&gt;55,"Old",IF(Table1[[#This Row],[Age]]&gt;25,"Middle","Na")))</f>
        <v>Middle</v>
      </c>
      <c r="G101" t="s">
        <v>16</v>
      </c>
      <c r="H101">
        <v>1</v>
      </c>
      <c r="I101">
        <v>30</v>
      </c>
      <c r="J101">
        <v>30</v>
      </c>
    </row>
    <row r="102" spans="1:10" x14ac:dyDescent="0.35">
      <c r="A102">
        <v>101</v>
      </c>
      <c r="B102" s="1">
        <v>44955</v>
      </c>
      <c r="C102" t="s">
        <v>114</v>
      </c>
      <c r="D102" t="s">
        <v>10</v>
      </c>
      <c r="E102">
        <v>32</v>
      </c>
      <c r="F102" t="str">
        <f>IF(Table1[[#This Row],[Age]]&lt;=25,"Young",IF(Table1[[#This Row],[Age]]&gt;55,"Old",IF(Table1[[#This Row],[Age]]&gt;25,"Middle","Na")))</f>
        <v>Middle</v>
      </c>
      <c r="G102" t="s">
        <v>14</v>
      </c>
      <c r="H102">
        <v>2</v>
      </c>
      <c r="I102">
        <v>300</v>
      </c>
      <c r="J102">
        <v>600</v>
      </c>
    </row>
    <row r="103" spans="1:10" x14ac:dyDescent="0.35">
      <c r="A103">
        <v>102</v>
      </c>
      <c r="B103" s="1">
        <v>45044</v>
      </c>
      <c r="C103" t="s">
        <v>115</v>
      </c>
      <c r="D103" t="s">
        <v>13</v>
      </c>
      <c r="E103">
        <v>47</v>
      </c>
      <c r="F103" t="str">
        <f>IF(Table1[[#This Row],[Age]]&lt;=25,"Young",IF(Table1[[#This Row],[Age]]&gt;55,"Old",IF(Table1[[#This Row],[Age]]&gt;25,"Middle","Na")))</f>
        <v>Middle</v>
      </c>
      <c r="G103" t="s">
        <v>11</v>
      </c>
      <c r="H103">
        <v>2</v>
      </c>
      <c r="I103">
        <v>25</v>
      </c>
      <c r="J103">
        <v>50</v>
      </c>
    </row>
    <row r="104" spans="1:10" x14ac:dyDescent="0.35">
      <c r="A104">
        <v>103</v>
      </c>
      <c r="B104" s="1">
        <v>44943</v>
      </c>
      <c r="C104" t="s">
        <v>116</v>
      </c>
      <c r="D104" t="s">
        <v>13</v>
      </c>
      <c r="E104">
        <v>59</v>
      </c>
      <c r="F104" t="str">
        <f>IF(Table1[[#This Row],[Age]]&lt;=25,"Young",IF(Table1[[#This Row],[Age]]&gt;55,"Old",IF(Table1[[#This Row],[Age]]&gt;25,"Middle","Na")))</f>
        <v>Old</v>
      </c>
      <c r="G104" t="s">
        <v>14</v>
      </c>
      <c r="H104">
        <v>1</v>
      </c>
      <c r="I104">
        <v>25</v>
      </c>
      <c r="J104">
        <v>25</v>
      </c>
    </row>
    <row r="105" spans="1:10" x14ac:dyDescent="0.35">
      <c r="A105">
        <v>104</v>
      </c>
      <c r="B105" s="1">
        <v>45088</v>
      </c>
      <c r="C105" t="s">
        <v>117</v>
      </c>
      <c r="D105" t="s">
        <v>13</v>
      </c>
      <c r="E105">
        <v>34</v>
      </c>
      <c r="F105" t="str">
        <f>IF(Table1[[#This Row],[Age]]&lt;=25,"Young",IF(Table1[[#This Row],[Age]]&gt;55,"Old",IF(Table1[[#This Row],[Age]]&gt;25,"Middle","Na")))</f>
        <v>Middle</v>
      </c>
      <c r="G105" t="s">
        <v>11</v>
      </c>
      <c r="H105">
        <v>2</v>
      </c>
      <c r="I105">
        <v>500</v>
      </c>
      <c r="J105">
        <v>1000</v>
      </c>
    </row>
    <row r="106" spans="1:10" x14ac:dyDescent="0.35">
      <c r="A106">
        <v>105</v>
      </c>
      <c r="B106" s="1">
        <v>45132</v>
      </c>
      <c r="C106" t="s">
        <v>118</v>
      </c>
      <c r="D106" t="s">
        <v>13</v>
      </c>
      <c r="E106">
        <v>22</v>
      </c>
      <c r="F106" t="str">
        <f>IF(Table1[[#This Row],[Age]]&lt;=25,"Young",IF(Table1[[#This Row],[Age]]&gt;55,"Old",IF(Table1[[#This Row],[Age]]&gt;25,"Middle","Na")))</f>
        <v>Young</v>
      </c>
      <c r="G106" t="s">
        <v>16</v>
      </c>
      <c r="H106">
        <v>1</v>
      </c>
      <c r="I106">
        <v>500</v>
      </c>
      <c r="J106">
        <v>500</v>
      </c>
    </row>
    <row r="107" spans="1:10" x14ac:dyDescent="0.35">
      <c r="A107">
        <v>106</v>
      </c>
      <c r="B107" s="1">
        <v>45064</v>
      </c>
      <c r="C107" t="s">
        <v>119</v>
      </c>
      <c r="D107" t="s">
        <v>13</v>
      </c>
      <c r="E107">
        <v>46</v>
      </c>
      <c r="F107" t="str">
        <f>IF(Table1[[#This Row],[Age]]&lt;=25,"Young",IF(Table1[[#This Row],[Age]]&gt;55,"Old",IF(Table1[[#This Row],[Age]]&gt;25,"Middle","Na")))</f>
        <v>Middle</v>
      </c>
      <c r="G107" t="s">
        <v>14</v>
      </c>
      <c r="H107">
        <v>1</v>
      </c>
      <c r="I107">
        <v>50</v>
      </c>
      <c r="J107">
        <v>50</v>
      </c>
    </row>
    <row r="108" spans="1:10" x14ac:dyDescent="0.35">
      <c r="A108">
        <v>107</v>
      </c>
      <c r="B108" s="1">
        <v>44960</v>
      </c>
      <c r="C108" t="s">
        <v>120</v>
      </c>
      <c r="D108" t="s">
        <v>13</v>
      </c>
      <c r="E108">
        <v>21</v>
      </c>
      <c r="F108" t="str">
        <f>IF(Table1[[#This Row],[Age]]&lt;=25,"Young",IF(Table1[[#This Row],[Age]]&gt;55,"Old",IF(Table1[[#This Row],[Age]]&gt;25,"Middle","Na")))</f>
        <v>Young</v>
      </c>
      <c r="G108" t="s">
        <v>14</v>
      </c>
      <c r="H108">
        <v>4</v>
      </c>
      <c r="I108">
        <v>300</v>
      </c>
      <c r="J108">
        <v>1200</v>
      </c>
    </row>
    <row r="109" spans="1:10" x14ac:dyDescent="0.35">
      <c r="A109">
        <v>108</v>
      </c>
      <c r="B109" s="1">
        <v>45035</v>
      </c>
      <c r="C109" t="s">
        <v>121</v>
      </c>
      <c r="D109" t="s">
        <v>13</v>
      </c>
      <c r="E109">
        <v>27</v>
      </c>
      <c r="F109" t="str">
        <f>IF(Table1[[#This Row],[Age]]&lt;=25,"Young",IF(Table1[[#This Row],[Age]]&gt;55,"Old",IF(Table1[[#This Row],[Age]]&gt;25,"Middle","Na")))</f>
        <v>Middle</v>
      </c>
      <c r="G109" t="s">
        <v>11</v>
      </c>
      <c r="H109">
        <v>3</v>
      </c>
      <c r="I109">
        <v>25</v>
      </c>
      <c r="J109">
        <v>75</v>
      </c>
    </row>
    <row r="110" spans="1:10" x14ac:dyDescent="0.35">
      <c r="A110">
        <v>109</v>
      </c>
      <c r="B110" s="1">
        <v>45217</v>
      </c>
      <c r="C110" t="s">
        <v>122</v>
      </c>
      <c r="D110" t="s">
        <v>13</v>
      </c>
      <c r="E110">
        <v>34</v>
      </c>
      <c r="F110" t="str">
        <f>IF(Table1[[#This Row],[Age]]&lt;=25,"Young",IF(Table1[[#This Row],[Age]]&gt;55,"Old",IF(Table1[[#This Row],[Age]]&gt;25,"Middle","Na")))</f>
        <v>Middle</v>
      </c>
      <c r="G110" t="s">
        <v>16</v>
      </c>
      <c r="H110">
        <v>4</v>
      </c>
      <c r="I110">
        <v>500</v>
      </c>
      <c r="J110">
        <v>2000</v>
      </c>
    </row>
    <row r="111" spans="1:10" x14ac:dyDescent="0.35">
      <c r="A111">
        <v>110</v>
      </c>
      <c r="B111" s="1">
        <v>45088</v>
      </c>
      <c r="C111" t="s">
        <v>123</v>
      </c>
      <c r="D111" t="s">
        <v>10</v>
      </c>
      <c r="E111">
        <v>27</v>
      </c>
      <c r="F111" t="str">
        <f>IF(Table1[[#This Row],[Age]]&lt;=25,"Young",IF(Table1[[#This Row],[Age]]&gt;55,"Old",IF(Table1[[#This Row],[Age]]&gt;25,"Middle","Na")))</f>
        <v>Middle</v>
      </c>
      <c r="G111" t="s">
        <v>14</v>
      </c>
      <c r="H111">
        <v>3</v>
      </c>
      <c r="I111">
        <v>300</v>
      </c>
      <c r="J111">
        <v>900</v>
      </c>
    </row>
    <row r="112" spans="1:10" x14ac:dyDescent="0.35">
      <c r="A112">
        <v>111</v>
      </c>
      <c r="B112" s="1">
        <v>45035</v>
      </c>
      <c r="C112" t="s">
        <v>124</v>
      </c>
      <c r="D112" t="s">
        <v>13</v>
      </c>
      <c r="E112">
        <v>34</v>
      </c>
      <c r="F112" t="str">
        <f>IF(Table1[[#This Row],[Age]]&lt;=25,"Young",IF(Table1[[#This Row],[Age]]&gt;55,"Old",IF(Table1[[#This Row],[Age]]&gt;25,"Middle","Na")))</f>
        <v>Middle</v>
      </c>
      <c r="G112" t="s">
        <v>16</v>
      </c>
      <c r="H112">
        <v>3</v>
      </c>
      <c r="I112">
        <v>500</v>
      </c>
      <c r="J112">
        <v>1500</v>
      </c>
    </row>
    <row r="113" spans="1:10" x14ac:dyDescent="0.35">
      <c r="A113">
        <v>112</v>
      </c>
      <c r="B113" s="1">
        <v>45262</v>
      </c>
      <c r="C113" t="s">
        <v>125</v>
      </c>
      <c r="D113" t="s">
        <v>10</v>
      </c>
      <c r="E113">
        <v>37</v>
      </c>
      <c r="F113" t="str">
        <f>IF(Table1[[#This Row],[Age]]&lt;=25,"Young",IF(Table1[[#This Row],[Age]]&gt;55,"Old",IF(Table1[[#This Row],[Age]]&gt;25,"Middle","Na")))</f>
        <v>Middle</v>
      </c>
      <c r="G113" t="s">
        <v>14</v>
      </c>
      <c r="H113">
        <v>3</v>
      </c>
      <c r="I113">
        <v>500</v>
      </c>
      <c r="J113">
        <v>1500</v>
      </c>
    </row>
    <row r="114" spans="1:10" x14ac:dyDescent="0.35">
      <c r="A114">
        <v>113</v>
      </c>
      <c r="B114" s="1">
        <v>45182</v>
      </c>
      <c r="C114" t="s">
        <v>126</v>
      </c>
      <c r="D114" t="s">
        <v>13</v>
      </c>
      <c r="E114">
        <v>41</v>
      </c>
      <c r="F114" t="str">
        <f>IF(Table1[[#This Row],[Age]]&lt;=25,"Young",IF(Table1[[#This Row],[Age]]&gt;55,"Old",IF(Table1[[#This Row],[Age]]&gt;25,"Middle","Na")))</f>
        <v>Middle</v>
      </c>
      <c r="G114" t="s">
        <v>16</v>
      </c>
      <c r="H114">
        <v>2</v>
      </c>
      <c r="I114">
        <v>25</v>
      </c>
      <c r="J114">
        <v>50</v>
      </c>
    </row>
    <row r="115" spans="1:10" x14ac:dyDescent="0.35">
      <c r="A115">
        <v>114</v>
      </c>
      <c r="B115" s="1">
        <v>45129</v>
      </c>
      <c r="C115" t="s">
        <v>127</v>
      </c>
      <c r="D115" t="s">
        <v>13</v>
      </c>
      <c r="E115">
        <v>22</v>
      </c>
      <c r="F115" t="str">
        <f>IF(Table1[[#This Row],[Age]]&lt;=25,"Young",IF(Table1[[#This Row],[Age]]&gt;55,"Old",IF(Table1[[#This Row],[Age]]&gt;25,"Middle","Na")))</f>
        <v>Young</v>
      </c>
      <c r="G115" t="s">
        <v>11</v>
      </c>
      <c r="H115">
        <v>4</v>
      </c>
      <c r="I115">
        <v>25</v>
      </c>
      <c r="J115">
        <v>100</v>
      </c>
    </row>
    <row r="116" spans="1:10" x14ac:dyDescent="0.35">
      <c r="A116">
        <v>115</v>
      </c>
      <c r="B116" s="1">
        <v>45256</v>
      </c>
      <c r="C116" t="s">
        <v>128</v>
      </c>
      <c r="D116" t="s">
        <v>10</v>
      </c>
      <c r="E116">
        <v>51</v>
      </c>
      <c r="F116" t="str">
        <f>IF(Table1[[#This Row],[Age]]&lt;=25,"Young",IF(Table1[[#This Row],[Age]]&gt;55,"Old",IF(Table1[[#This Row],[Age]]&gt;25,"Middle","Na")))</f>
        <v>Middle</v>
      </c>
      <c r="G116" t="s">
        <v>14</v>
      </c>
      <c r="H116">
        <v>3</v>
      </c>
      <c r="I116">
        <v>500</v>
      </c>
      <c r="J116">
        <v>1500</v>
      </c>
    </row>
    <row r="117" spans="1:10" x14ac:dyDescent="0.35">
      <c r="A117">
        <v>116</v>
      </c>
      <c r="B117" s="1">
        <v>45161</v>
      </c>
      <c r="C117" t="s">
        <v>129</v>
      </c>
      <c r="D117" t="s">
        <v>13</v>
      </c>
      <c r="E117">
        <v>23</v>
      </c>
      <c r="F117" t="str">
        <f>IF(Table1[[#This Row],[Age]]&lt;=25,"Young",IF(Table1[[#This Row],[Age]]&gt;55,"Old",IF(Table1[[#This Row],[Age]]&gt;25,"Middle","Na")))</f>
        <v>Young</v>
      </c>
      <c r="G117" t="s">
        <v>14</v>
      </c>
      <c r="H117">
        <v>1</v>
      </c>
      <c r="I117">
        <v>30</v>
      </c>
      <c r="J117">
        <v>30</v>
      </c>
    </row>
    <row r="118" spans="1:10" x14ac:dyDescent="0.35">
      <c r="A118">
        <v>117</v>
      </c>
      <c r="B118" s="1">
        <v>45000</v>
      </c>
      <c r="C118" t="s">
        <v>130</v>
      </c>
      <c r="D118" t="s">
        <v>10</v>
      </c>
      <c r="E118">
        <v>19</v>
      </c>
      <c r="F118" t="str">
        <f>IF(Table1[[#This Row],[Age]]&lt;=25,"Young",IF(Table1[[#This Row],[Age]]&gt;55,"Old",IF(Table1[[#This Row],[Age]]&gt;25,"Middle","Na")))</f>
        <v>Young</v>
      </c>
      <c r="G118" t="s">
        <v>16</v>
      </c>
      <c r="H118">
        <v>2</v>
      </c>
      <c r="I118">
        <v>500</v>
      </c>
      <c r="J118">
        <v>1000</v>
      </c>
    </row>
    <row r="119" spans="1:10" x14ac:dyDescent="0.35">
      <c r="A119">
        <v>118</v>
      </c>
      <c r="B119" s="1">
        <v>45062</v>
      </c>
      <c r="C119" t="s">
        <v>131</v>
      </c>
      <c r="D119" t="s">
        <v>13</v>
      </c>
      <c r="E119">
        <v>30</v>
      </c>
      <c r="F119" t="str">
        <f>IF(Table1[[#This Row],[Age]]&lt;=25,"Young",IF(Table1[[#This Row],[Age]]&gt;55,"Old",IF(Table1[[#This Row],[Age]]&gt;25,"Middle","Na")))</f>
        <v>Middle</v>
      </c>
      <c r="G119" t="s">
        <v>16</v>
      </c>
      <c r="H119">
        <v>4</v>
      </c>
      <c r="I119">
        <v>500</v>
      </c>
      <c r="J119">
        <v>2000</v>
      </c>
    </row>
    <row r="120" spans="1:10" x14ac:dyDescent="0.35">
      <c r="A120">
        <v>119</v>
      </c>
      <c r="B120" s="1">
        <v>44998</v>
      </c>
      <c r="C120" t="s">
        <v>132</v>
      </c>
      <c r="D120" t="s">
        <v>13</v>
      </c>
      <c r="E120">
        <v>60</v>
      </c>
      <c r="F120" t="str">
        <f>IF(Table1[[#This Row],[Age]]&lt;=25,"Young",IF(Table1[[#This Row],[Age]]&gt;55,"Old",IF(Table1[[#This Row],[Age]]&gt;25,"Middle","Na")))</f>
        <v>Old</v>
      </c>
      <c r="G120" t="s">
        <v>14</v>
      </c>
      <c r="H120">
        <v>3</v>
      </c>
      <c r="I120">
        <v>50</v>
      </c>
      <c r="J120">
        <v>150</v>
      </c>
    </row>
    <row r="121" spans="1:10" x14ac:dyDescent="0.35">
      <c r="A121">
        <v>120</v>
      </c>
      <c r="B121" s="1">
        <v>45053</v>
      </c>
      <c r="C121" t="s">
        <v>133</v>
      </c>
      <c r="D121" t="s">
        <v>10</v>
      </c>
      <c r="E121">
        <v>60</v>
      </c>
      <c r="F121" t="str">
        <f>IF(Table1[[#This Row],[Age]]&lt;=25,"Young",IF(Table1[[#This Row],[Age]]&gt;55,"Old",IF(Table1[[#This Row],[Age]]&gt;25,"Middle","Na")))</f>
        <v>Old</v>
      </c>
      <c r="G121" t="s">
        <v>11</v>
      </c>
      <c r="H121">
        <v>1</v>
      </c>
      <c r="I121">
        <v>50</v>
      </c>
      <c r="J121">
        <v>50</v>
      </c>
    </row>
    <row r="122" spans="1:10" x14ac:dyDescent="0.35">
      <c r="A122">
        <v>121</v>
      </c>
      <c r="B122" s="1">
        <v>45214</v>
      </c>
      <c r="C122" t="s">
        <v>134</v>
      </c>
      <c r="D122" t="s">
        <v>13</v>
      </c>
      <c r="E122">
        <v>28</v>
      </c>
      <c r="F122" t="str">
        <f>IF(Table1[[#This Row],[Age]]&lt;=25,"Young",IF(Table1[[#This Row],[Age]]&gt;55,"Old",IF(Table1[[#This Row],[Age]]&gt;25,"Middle","Na")))</f>
        <v>Middle</v>
      </c>
      <c r="G122" t="s">
        <v>16</v>
      </c>
      <c r="H122">
        <v>4</v>
      </c>
      <c r="I122">
        <v>50</v>
      </c>
      <c r="J122">
        <v>200</v>
      </c>
    </row>
    <row r="123" spans="1:10" x14ac:dyDescent="0.35">
      <c r="A123">
        <v>122</v>
      </c>
      <c r="B123" s="1">
        <v>45202</v>
      </c>
      <c r="C123" t="s">
        <v>135</v>
      </c>
      <c r="D123" t="s">
        <v>10</v>
      </c>
      <c r="E123">
        <v>64</v>
      </c>
      <c r="F123" t="str">
        <f>IF(Table1[[#This Row],[Age]]&lt;=25,"Young",IF(Table1[[#This Row],[Age]]&gt;55,"Old",IF(Table1[[#This Row],[Age]]&gt;25,"Middle","Na")))</f>
        <v>Old</v>
      </c>
      <c r="G123" t="s">
        <v>16</v>
      </c>
      <c r="H123">
        <v>4</v>
      </c>
      <c r="I123">
        <v>30</v>
      </c>
      <c r="J123">
        <v>120</v>
      </c>
    </row>
    <row r="124" spans="1:10" x14ac:dyDescent="0.35">
      <c r="A124">
        <v>123</v>
      </c>
      <c r="B124" s="1">
        <v>45061</v>
      </c>
      <c r="C124" t="s">
        <v>136</v>
      </c>
      <c r="D124" t="s">
        <v>13</v>
      </c>
      <c r="E124">
        <v>40</v>
      </c>
      <c r="F124" t="str">
        <f>IF(Table1[[#This Row],[Age]]&lt;=25,"Young",IF(Table1[[#This Row],[Age]]&gt;55,"Old",IF(Table1[[#This Row],[Age]]&gt;25,"Middle","Na")))</f>
        <v>Middle</v>
      </c>
      <c r="G124" t="s">
        <v>16</v>
      </c>
      <c r="H124">
        <v>2</v>
      </c>
      <c r="I124">
        <v>30</v>
      </c>
      <c r="J124">
        <v>60</v>
      </c>
    </row>
    <row r="125" spans="1:10" x14ac:dyDescent="0.35">
      <c r="A125">
        <v>124</v>
      </c>
      <c r="B125" s="1">
        <v>45226</v>
      </c>
      <c r="C125" t="s">
        <v>137</v>
      </c>
      <c r="D125" t="s">
        <v>10</v>
      </c>
      <c r="E125">
        <v>33</v>
      </c>
      <c r="F125" t="str">
        <f>IF(Table1[[#This Row],[Age]]&lt;=25,"Young",IF(Table1[[#This Row],[Age]]&gt;55,"Old",IF(Table1[[#This Row],[Age]]&gt;25,"Middle","Na")))</f>
        <v>Middle</v>
      </c>
      <c r="G125" t="s">
        <v>14</v>
      </c>
      <c r="H125">
        <v>4</v>
      </c>
      <c r="I125">
        <v>500</v>
      </c>
      <c r="J125">
        <v>2000</v>
      </c>
    </row>
    <row r="126" spans="1:10" x14ac:dyDescent="0.35">
      <c r="A126">
        <v>125</v>
      </c>
      <c r="B126" s="1">
        <v>45146</v>
      </c>
      <c r="C126" t="s">
        <v>138</v>
      </c>
      <c r="D126" t="s">
        <v>10</v>
      </c>
      <c r="E126">
        <v>48</v>
      </c>
      <c r="F126" t="str">
        <f>IF(Table1[[#This Row],[Age]]&lt;=25,"Young",IF(Table1[[#This Row],[Age]]&gt;55,"Old",IF(Table1[[#This Row],[Age]]&gt;25,"Middle","Na")))</f>
        <v>Middle</v>
      </c>
      <c r="G126" t="s">
        <v>14</v>
      </c>
      <c r="H126">
        <v>2</v>
      </c>
      <c r="I126">
        <v>50</v>
      </c>
      <c r="J126">
        <v>100</v>
      </c>
    </row>
    <row r="127" spans="1:10" x14ac:dyDescent="0.35">
      <c r="A127">
        <v>126</v>
      </c>
      <c r="B127" s="1">
        <v>45225</v>
      </c>
      <c r="C127" t="s">
        <v>139</v>
      </c>
      <c r="D127" t="s">
        <v>13</v>
      </c>
      <c r="E127">
        <v>28</v>
      </c>
      <c r="F127" t="str">
        <f>IF(Table1[[#This Row],[Age]]&lt;=25,"Young",IF(Table1[[#This Row],[Age]]&gt;55,"Old",IF(Table1[[#This Row],[Age]]&gt;25,"Middle","Na")))</f>
        <v>Middle</v>
      </c>
      <c r="G127" t="s">
        <v>14</v>
      </c>
      <c r="H127">
        <v>3</v>
      </c>
      <c r="I127">
        <v>30</v>
      </c>
      <c r="J127">
        <v>90</v>
      </c>
    </row>
    <row r="128" spans="1:10" x14ac:dyDescent="0.35">
      <c r="A128">
        <v>127</v>
      </c>
      <c r="B128" s="1">
        <v>45131</v>
      </c>
      <c r="C128" t="s">
        <v>140</v>
      </c>
      <c r="D128" t="s">
        <v>13</v>
      </c>
      <c r="E128">
        <v>33</v>
      </c>
      <c r="F128" t="str">
        <f>IF(Table1[[#This Row],[Age]]&lt;=25,"Young",IF(Table1[[#This Row],[Age]]&gt;55,"Old",IF(Table1[[#This Row],[Age]]&gt;25,"Middle","Na")))</f>
        <v>Middle</v>
      </c>
      <c r="G128" t="s">
        <v>14</v>
      </c>
      <c r="H128">
        <v>2</v>
      </c>
      <c r="I128">
        <v>25</v>
      </c>
      <c r="J128">
        <v>50</v>
      </c>
    </row>
    <row r="129" spans="1:10" x14ac:dyDescent="0.35">
      <c r="A129">
        <v>128</v>
      </c>
      <c r="B129" s="1">
        <v>45112</v>
      </c>
      <c r="C129" t="s">
        <v>141</v>
      </c>
      <c r="D129" t="s">
        <v>10</v>
      </c>
      <c r="E129">
        <v>25</v>
      </c>
      <c r="F129" t="str">
        <f>IF(Table1[[#This Row],[Age]]&lt;=25,"Young",IF(Table1[[#This Row],[Age]]&gt;55,"Old",IF(Table1[[#This Row],[Age]]&gt;25,"Middle","Na")))</f>
        <v>Young</v>
      </c>
      <c r="G129" t="s">
        <v>11</v>
      </c>
      <c r="H129">
        <v>1</v>
      </c>
      <c r="I129">
        <v>500</v>
      </c>
      <c r="J129">
        <v>500</v>
      </c>
    </row>
    <row r="130" spans="1:10" x14ac:dyDescent="0.35">
      <c r="A130">
        <v>129</v>
      </c>
      <c r="B130" s="1">
        <v>45039</v>
      </c>
      <c r="C130" t="s">
        <v>142</v>
      </c>
      <c r="D130" t="s">
        <v>13</v>
      </c>
      <c r="E130">
        <v>21</v>
      </c>
      <c r="F130" t="str">
        <f>IF(Table1[[#This Row],[Age]]&lt;=25,"Young",IF(Table1[[#This Row],[Age]]&gt;55,"Old",IF(Table1[[#This Row],[Age]]&gt;25,"Middle","Na")))</f>
        <v>Young</v>
      </c>
      <c r="G130" t="s">
        <v>11</v>
      </c>
      <c r="H130">
        <v>2</v>
      </c>
      <c r="I130">
        <v>300</v>
      </c>
      <c r="J130">
        <v>600</v>
      </c>
    </row>
    <row r="131" spans="1:10" x14ac:dyDescent="0.35">
      <c r="A131">
        <v>130</v>
      </c>
      <c r="B131" s="1">
        <v>44997</v>
      </c>
      <c r="C131" t="s">
        <v>143</v>
      </c>
      <c r="D131" t="s">
        <v>13</v>
      </c>
      <c r="E131">
        <v>57</v>
      </c>
      <c r="F131" t="str">
        <f>IF(Table1[[#This Row],[Age]]&lt;=25,"Young",IF(Table1[[#This Row],[Age]]&gt;55,"Old",IF(Table1[[#This Row],[Age]]&gt;25,"Middle","Na")))</f>
        <v>Old</v>
      </c>
      <c r="G131" t="s">
        <v>14</v>
      </c>
      <c r="H131">
        <v>1</v>
      </c>
      <c r="I131">
        <v>500</v>
      </c>
      <c r="J131">
        <v>500</v>
      </c>
    </row>
    <row r="132" spans="1:10" x14ac:dyDescent="0.35">
      <c r="A132">
        <v>131</v>
      </c>
      <c r="B132" s="1">
        <v>45187</v>
      </c>
      <c r="C132" t="s">
        <v>144</v>
      </c>
      <c r="D132" t="s">
        <v>13</v>
      </c>
      <c r="E132">
        <v>21</v>
      </c>
      <c r="F132" t="str">
        <f>IF(Table1[[#This Row],[Age]]&lt;=25,"Young",IF(Table1[[#This Row],[Age]]&gt;55,"Old",IF(Table1[[#This Row],[Age]]&gt;25,"Middle","Na")))</f>
        <v>Young</v>
      </c>
      <c r="G132" t="s">
        <v>11</v>
      </c>
      <c r="H132">
        <v>2</v>
      </c>
      <c r="I132">
        <v>300</v>
      </c>
      <c r="J132">
        <v>600</v>
      </c>
    </row>
    <row r="133" spans="1:10" x14ac:dyDescent="0.35">
      <c r="A133">
        <v>132</v>
      </c>
      <c r="B133" s="1">
        <v>45179</v>
      </c>
      <c r="C133" t="s">
        <v>145</v>
      </c>
      <c r="D133" t="s">
        <v>10</v>
      </c>
      <c r="E133">
        <v>42</v>
      </c>
      <c r="F133" t="str">
        <f>IF(Table1[[#This Row],[Age]]&lt;=25,"Young",IF(Table1[[#This Row],[Age]]&gt;55,"Old",IF(Table1[[#This Row],[Age]]&gt;25,"Middle","Na")))</f>
        <v>Middle</v>
      </c>
      <c r="G133" t="s">
        <v>16</v>
      </c>
      <c r="H133">
        <v>4</v>
      </c>
      <c r="I133">
        <v>50</v>
      </c>
      <c r="J133">
        <v>200</v>
      </c>
    </row>
    <row r="134" spans="1:10" x14ac:dyDescent="0.35">
      <c r="A134">
        <v>133</v>
      </c>
      <c r="B134" s="1">
        <v>44973</v>
      </c>
      <c r="C134" t="s">
        <v>146</v>
      </c>
      <c r="D134" t="s">
        <v>10</v>
      </c>
      <c r="E134">
        <v>20</v>
      </c>
      <c r="F134" t="str">
        <f>IF(Table1[[#This Row],[Age]]&lt;=25,"Young",IF(Table1[[#This Row],[Age]]&gt;55,"Old",IF(Table1[[#This Row],[Age]]&gt;25,"Middle","Na")))</f>
        <v>Young</v>
      </c>
      <c r="G134" t="s">
        <v>16</v>
      </c>
      <c r="H134">
        <v>3</v>
      </c>
      <c r="I134">
        <v>300</v>
      </c>
      <c r="J134">
        <v>900</v>
      </c>
    </row>
    <row r="135" spans="1:10" x14ac:dyDescent="0.35">
      <c r="A135">
        <v>134</v>
      </c>
      <c r="B135" s="1">
        <v>44951</v>
      </c>
      <c r="C135" t="s">
        <v>147</v>
      </c>
      <c r="D135" t="s">
        <v>10</v>
      </c>
      <c r="E135">
        <v>49</v>
      </c>
      <c r="F135" t="str">
        <f>IF(Table1[[#This Row],[Age]]&lt;=25,"Young",IF(Table1[[#This Row],[Age]]&gt;55,"Old",IF(Table1[[#This Row],[Age]]&gt;25,"Middle","Na")))</f>
        <v>Middle</v>
      </c>
      <c r="G135" t="s">
        <v>16</v>
      </c>
      <c r="H135">
        <v>1</v>
      </c>
      <c r="I135">
        <v>50</v>
      </c>
      <c r="J135">
        <v>50</v>
      </c>
    </row>
    <row r="136" spans="1:10" x14ac:dyDescent="0.35">
      <c r="A136">
        <v>135</v>
      </c>
      <c r="B136" s="1">
        <v>44983</v>
      </c>
      <c r="C136" t="s">
        <v>148</v>
      </c>
      <c r="D136" t="s">
        <v>10</v>
      </c>
      <c r="E136">
        <v>20</v>
      </c>
      <c r="F136" t="str">
        <f>IF(Table1[[#This Row],[Age]]&lt;=25,"Young",IF(Table1[[#This Row],[Age]]&gt;55,"Old",IF(Table1[[#This Row],[Age]]&gt;25,"Middle","Na")))</f>
        <v>Young</v>
      </c>
      <c r="G136" t="s">
        <v>14</v>
      </c>
      <c r="H136">
        <v>2</v>
      </c>
      <c r="I136">
        <v>25</v>
      </c>
      <c r="J136">
        <v>50</v>
      </c>
    </row>
    <row r="137" spans="1:10" x14ac:dyDescent="0.35">
      <c r="A137">
        <v>136</v>
      </c>
      <c r="B137" s="1">
        <v>45005</v>
      </c>
      <c r="C137" t="s">
        <v>149</v>
      </c>
      <c r="D137" t="s">
        <v>10</v>
      </c>
      <c r="E137">
        <v>44</v>
      </c>
      <c r="F137" t="str">
        <f>IF(Table1[[#This Row],[Age]]&lt;=25,"Young",IF(Table1[[#This Row],[Age]]&gt;55,"Old",IF(Table1[[#This Row],[Age]]&gt;25,"Middle","Na")))</f>
        <v>Middle</v>
      </c>
      <c r="G137" t="s">
        <v>16</v>
      </c>
      <c r="H137">
        <v>2</v>
      </c>
      <c r="I137">
        <v>300</v>
      </c>
      <c r="J137">
        <v>600</v>
      </c>
    </row>
    <row r="138" spans="1:10" x14ac:dyDescent="0.35">
      <c r="A138">
        <v>137</v>
      </c>
      <c r="B138" s="1">
        <v>45248</v>
      </c>
      <c r="C138" t="s">
        <v>150</v>
      </c>
      <c r="D138" t="s">
        <v>10</v>
      </c>
      <c r="E138">
        <v>46</v>
      </c>
      <c r="F138" t="str">
        <f>IF(Table1[[#This Row],[Age]]&lt;=25,"Young",IF(Table1[[#This Row],[Age]]&gt;55,"Old",IF(Table1[[#This Row],[Age]]&gt;25,"Middle","Na")))</f>
        <v>Middle</v>
      </c>
      <c r="G138" t="s">
        <v>11</v>
      </c>
      <c r="H138">
        <v>2</v>
      </c>
      <c r="I138">
        <v>500</v>
      </c>
      <c r="J138">
        <v>1000</v>
      </c>
    </row>
    <row r="139" spans="1:10" x14ac:dyDescent="0.35">
      <c r="A139">
        <v>138</v>
      </c>
      <c r="B139" s="1">
        <v>45008</v>
      </c>
      <c r="C139" t="s">
        <v>151</v>
      </c>
      <c r="D139" t="s">
        <v>10</v>
      </c>
      <c r="E139">
        <v>49</v>
      </c>
      <c r="F139" t="str">
        <f>IF(Table1[[#This Row],[Age]]&lt;=25,"Young",IF(Table1[[#This Row],[Age]]&gt;55,"Old",IF(Table1[[#This Row],[Age]]&gt;25,"Middle","Na")))</f>
        <v>Middle</v>
      </c>
      <c r="G139" t="s">
        <v>14</v>
      </c>
      <c r="H139">
        <v>4</v>
      </c>
      <c r="I139">
        <v>50</v>
      </c>
      <c r="J139">
        <v>200</v>
      </c>
    </row>
    <row r="140" spans="1:10" x14ac:dyDescent="0.35">
      <c r="A140">
        <v>139</v>
      </c>
      <c r="B140" s="1">
        <v>45275</v>
      </c>
      <c r="C140" t="s">
        <v>152</v>
      </c>
      <c r="D140" t="s">
        <v>10</v>
      </c>
      <c r="E140">
        <v>36</v>
      </c>
      <c r="F140" t="str">
        <f>IF(Table1[[#This Row],[Age]]&lt;=25,"Young",IF(Table1[[#This Row],[Age]]&gt;55,"Old",IF(Table1[[#This Row],[Age]]&gt;25,"Middle","Na")))</f>
        <v>Middle</v>
      </c>
      <c r="G140" t="s">
        <v>11</v>
      </c>
      <c r="H140">
        <v>4</v>
      </c>
      <c r="I140">
        <v>500</v>
      </c>
      <c r="J140">
        <v>2000</v>
      </c>
    </row>
    <row r="141" spans="1:10" x14ac:dyDescent="0.35">
      <c r="A141">
        <v>140</v>
      </c>
      <c r="B141" s="1">
        <v>45143</v>
      </c>
      <c r="C141" t="s">
        <v>153</v>
      </c>
      <c r="D141" t="s">
        <v>10</v>
      </c>
      <c r="E141">
        <v>38</v>
      </c>
      <c r="F141" t="str">
        <f>IF(Table1[[#This Row],[Age]]&lt;=25,"Young",IF(Table1[[#This Row],[Age]]&gt;55,"Old",IF(Table1[[#This Row],[Age]]&gt;25,"Middle","Na")))</f>
        <v>Middle</v>
      </c>
      <c r="G141" t="s">
        <v>16</v>
      </c>
      <c r="H141">
        <v>1</v>
      </c>
      <c r="I141">
        <v>30</v>
      </c>
      <c r="J141">
        <v>30</v>
      </c>
    </row>
    <row r="142" spans="1:10" x14ac:dyDescent="0.35">
      <c r="A142">
        <v>141</v>
      </c>
      <c r="B142" s="1">
        <v>45232</v>
      </c>
      <c r="C142" t="s">
        <v>154</v>
      </c>
      <c r="D142" t="s">
        <v>13</v>
      </c>
      <c r="E142">
        <v>22</v>
      </c>
      <c r="F142" t="str">
        <f>IF(Table1[[#This Row],[Age]]&lt;=25,"Young",IF(Table1[[#This Row],[Age]]&gt;55,"Old",IF(Table1[[#This Row],[Age]]&gt;25,"Middle","Na")))</f>
        <v>Young</v>
      </c>
      <c r="G142" t="s">
        <v>16</v>
      </c>
      <c r="H142">
        <v>1</v>
      </c>
      <c r="I142">
        <v>50</v>
      </c>
      <c r="J142">
        <v>50</v>
      </c>
    </row>
    <row r="143" spans="1:10" x14ac:dyDescent="0.35">
      <c r="A143">
        <v>142</v>
      </c>
      <c r="B143" s="1">
        <v>44959</v>
      </c>
      <c r="C143" t="s">
        <v>155</v>
      </c>
      <c r="D143" t="s">
        <v>10</v>
      </c>
      <c r="E143">
        <v>35</v>
      </c>
      <c r="F143" t="str">
        <f>IF(Table1[[#This Row],[Age]]&lt;=25,"Young",IF(Table1[[#This Row],[Age]]&gt;55,"Old",IF(Table1[[#This Row],[Age]]&gt;25,"Middle","Na")))</f>
        <v>Middle</v>
      </c>
      <c r="G143" t="s">
        <v>16</v>
      </c>
      <c r="H143">
        <v>4</v>
      </c>
      <c r="I143">
        <v>300</v>
      </c>
      <c r="J143">
        <v>1200</v>
      </c>
    </row>
    <row r="144" spans="1:10" x14ac:dyDescent="0.35">
      <c r="A144">
        <v>143</v>
      </c>
      <c r="B144" s="1">
        <v>45124</v>
      </c>
      <c r="C144" t="s">
        <v>156</v>
      </c>
      <c r="D144" t="s">
        <v>13</v>
      </c>
      <c r="E144">
        <v>45</v>
      </c>
      <c r="F144" t="str">
        <f>IF(Table1[[#This Row],[Age]]&lt;=25,"Young",IF(Table1[[#This Row],[Age]]&gt;55,"Old",IF(Table1[[#This Row],[Age]]&gt;25,"Middle","Na")))</f>
        <v>Middle</v>
      </c>
      <c r="G144" t="s">
        <v>14</v>
      </c>
      <c r="H144">
        <v>1</v>
      </c>
      <c r="I144">
        <v>50</v>
      </c>
      <c r="J144">
        <v>50</v>
      </c>
    </row>
    <row r="145" spans="1:10" x14ac:dyDescent="0.35">
      <c r="A145">
        <v>144</v>
      </c>
      <c r="B145" s="1">
        <v>45122</v>
      </c>
      <c r="C145" t="s">
        <v>157</v>
      </c>
      <c r="D145" t="s">
        <v>13</v>
      </c>
      <c r="E145">
        <v>59</v>
      </c>
      <c r="F145" t="str">
        <f>IF(Table1[[#This Row],[Age]]&lt;=25,"Young",IF(Table1[[#This Row],[Age]]&gt;55,"Old",IF(Table1[[#This Row],[Age]]&gt;25,"Middle","Na")))</f>
        <v>Old</v>
      </c>
      <c r="G145" t="s">
        <v>11</v>
      </c>
      <c r="H145">
        <v>3</v>
      </c>
      <c r="I145">
        <v>500</v>
      </c>
      <c r="J145">
        <v>1500</v>
      </c>
    </row>
    <row r="146" spans="1:10" x14ac:dyDescent="0.35">
      <c r="A146">
        <v>145</v>
      </c>
      <c r="B146" s="1">
        <v>45232</v>
      </c>
      <c r="C146" t="s">
        <v>158</v>
      </c>
      <c r="D146" t="s">
        <v>13</v>
      </c>
      <c r="E146">
        <v>39</v>
      </c>
      <c r="F146" t="str">
        <f>IF(Table1[[#This Row],[Age]]&lt;=25,"Young",IF(Table1[[#This Row],[Age]]&gt;55,"Old",IF(Table1[[#This Row],[Age]]&gt;25,"Middle","Na")))</f>
        <v>Middle</v>
      </c>
      <c r="G146" t="s">
        <v>14</v>
      </c>
      <c r="H146">
        <v>3</v>
      </c>
      <c r="I146">
        <v>25</v>
      </c>
      <c r="J146">
        <v>75</v>
      </c>
    </row>
    <row r="147" spans="1:10" x14ac:dyDescent="0.35">
      <c r="A147">
        <v>146</v>
      </c>
      <c r="B147" s="1">
        <v>45166</v>
      </c>
      <c r="C147" t="s">
        <v>159</v>
      </c>
      <c r="D147" t="s">
        <v>10</v>
      </c>
      <c r="E147">
        <v>38</v>
      </c>
      <c r="F147" t="str">
        <f>IF(Table1[[#This Row],[Age]]&lt;=25,"Young",IF(Table1[[#This Row],[Age]]&gt;55,"Old",IF(Table1[[#This Row],[Age]]&gt;25,"Middle","Na")))</f>
        <v>Middle</v>
      </c>
      <c r="G147" t="s">
        <v>14</v>
      </c>
      <c r="H147">
        <v>4</v>
      </c>
      <c r="I147">
        <v>50</v>
      </c>
      <c r="J147">
        <v>200</v>
      </c>
    </row>
    <row r="148" spans="1:10" x14ac:dyDescent="0.35">
      <c r="A148">
        <v>147</v>
      </c>
      <c r="B148" s="1">
        <v>45197</v>
      </c>
      <c r="C148" t="s">
        <v>160</v>
      </c>
      <c r="D148" t="s">
        <v>10</v>
      </c>
      <c r="E148">
        <v>23</v>
      </c>
      <c r="F148" t="str">
        <f>IF(Table1[[#This Row],[Age]]&lt;=25,"Young",IF(Table1[[#This Row],[Age]]&gt;55,"Old",IF(Table1[[#This Row],[Age]]&gt;25,"Middle","Na")))</f>
        <v>Young</v>
      </c>
      <c r="G148" t="s">
        <v>16</v>
      </c>
      <c r="H148">
        <v>1</v>
      </c>
      <c r="I148">
        <v>300</v>
      </c>
      <c r="J148">
        <v>300</v>
      </c>
    </row>
    <row r="149" spans="1:10" x14ac:dyDescent="0.35">
      <c r="A149">
        <v>148</v>
      </c>
      <c r="B149" s="1">
        <v>45055</v>
      </c>
      <c r="C149" t="s">
        <v>161</v>
      </c>
      <c r="D149" t="s">
        <v>10</v>
      </c>
      <c r="E149">
        <v>18</v>
      </c>
      <c r="F149" t="str">
        <f>IF(Table1[[#This Row],[Age]]&lt;=25,"Young",IF(Table1[[#This Row],[Age]]&gt;55,"Old",IF(Table1[[#This Row],[Age]]&gt;25,"Middle","Na")))</f>
        <v>Young</v>
      </c>
      <c r="G149" t="s">
        <v>14</v>
      </c>
      <c r="H149">
        <v>2</v>
      </c>
      <c r="I149">
        <v>30</v>
      </c>
      <c r="J149">
        <v>60</v>
      </c>
    </row>
    <row r="150" spans="1:10" x14ac:dyDescent="0.35">
      <c r="A150">
        <v>149</v>
      </c>
      <c r="B150" s="1">
        <v>45210</v>
      </c>
      <c r="C150" t="s">
        <v>162</v>
      </c>
      <c r="D150" t="s">
        <v>10</v>
      </c>
      <c r="E150">
        <v>22</v>
      </c>
      <c r="F150" t="str">
        <f>IF(Table1[[#This Row],[Age]]&lt;=25,"Young",IF(Table1[[#This Row],[Age]]&gt;55,"Old",IF(Table1[[#This Row],[Age]]&gt;25,"Middle","Na")))</f>
        <v>Young</v>
      </c>
      <c r="G150" t="s">
        <v>14</v>
      </c>
      <c r="H150">
        <v>3</v>
      </c>
      <c r="I150">
        <v>25</v>
      </c>
      <c r="J150">
        <v>75</v>
      </c>
    </row>
    <row r="151" spans="1:10" x14ac:dyDescent="0.35">
      <c r="A151">
        <v>150</v>
      </c>
      <c r="B151" s="1">
        <v>44932</v>
      </c>
      <c r="C151" t="s">
        <v>163</v>
      </c>
      <c r="D151" t="s">
        <v>13</v>
      </c>
      <c r="E151">
        <v>58</v>
      </c>
      <c r="F151" t="str">
        <f>IF(Table1[[#This Row],[Age]]&lt;=25,"Young",IF(Table1[[#This Row],[Age]]&gt;55,"Old",IF(Table1[[#This Row],[Age]]&gt;25,"Middle","Na")))</f>
        <v>Old</v>
      </c>
      <c r="G151" t="s">
        <v>16</v>
      </c>
      <c r="H151">
        <v>4</v>
      </c>
      <c r="I151">
        <v>30</v>
      </c>
      <c r="J151">
        <v>120</v>
      </c>
    </row>
    <row r="152" spans="1:10" x14ac:dyDescent="0.35">
      <c r="A152">
        <v>151</v>
      </c>
      <c r="B152" s="1">
        <v>45275</v>
      </c>
      <c r="C152" t="s">
        <v>164</v>
      </c>
      <c r="D152" t="s">
        <v>10</v>
      </c>
      <c r="E152">
        <v>29</v>
      </c>
      <c r="F152" t="str">
        <f>IF(Table1[[#This Row],[Age]]&lt;=25,"Young",IF(Table1[[#This Row],[Age]]&gt;55,"Old",IF(Table1[[#This Row],[Age]]&gt;25,"Middle","Na")))</f>
        <v>Middle</v>
      </c>
      <c r="G152" t="s">
        <v>14</v>
      </c>
      <c r="H152">
        <v>1</v>
      </c>
      <c r="I152">
        <v>50</v>
      </c>
      <c r="J152">
        <v>50</v>
      </c>
    </row>
    <row r="153" spans="1:10" x14ac:dyDescent="0.35">
      <c r="A153">
        <v>152</v>
      </c>
      <c r="B153" s="1">
        <v>44985</v>
      </c>
      <c r="C153" t="s">
        <v>165</v>
      </c>
      <c r="D153" t="s">
        <v>10</v>
      </c>
      <c r="E153">
        <v>43</v>
      </c>
      <c r="F153" t="str">
        <f>IF(Table1[[#This Row],[Age]]&lt;=25,"Young",IF(Table1[[#This Row],[Age]]&gt;55,"Old",IF(Table1[[#This Row],[Age]]&gt;25,"Middle","Na")))</f>
        <v>Middle</v>
      </c>
      <c r="G153" t="s">
        <v>16</v>
      </c>
      <c r="H153">
        <v>4</v>
      </c>
      <c r="I153">
        <v>500</v>
      </c>
      <c r="J153">
        <v>2000</v>
      </c>
    </row>
    <row r="154" spans="1:10" x14ac:dyDescent="0.35">
      <c r="A154">
        <v>153</v>
      </c>
      <c r="B154" s="1">
        <v>45276</v>
      </c>
      <c r="C154" t="s">
        <v>166</v>
      </c>
      <c r="D154" t="s">
        <v>10</v>
      </c>
      <c r="E154">
        <v>63</v>
      </c>
      <c r="F154" t="str">
        <f>IF(Table1[[#This Row],[Age]]&lt;=25,"Young",IF(Table1[[#This Row],[Age]]&gt;55,"Old",IF(Table1[[#This Row],[Age]]&gt;25,"Middle","Na")))</f>
        <v>Old</v>
      </c>
      <c r="G154" t="s">
        <v>16</v>
      </c>
      <c r="H154">
        <v>2</v>
      </c>
      <c r="I154">
        <v>500</v>
      </c>
      <c r="J154">
        <v>1000</v>
      </c>
    </row>
    <row r="155" spans="1:10" x14ac:dyDescent="0.35">
      <c r="A155">
        <v>154</v>
      </c>
      <c r="B155" s="1">
        <v>45201</v>
      </c>
      <c r="C155" t="s">
        <v>167</v>
      </c>
      <c r="D155" t="s">
        <v>10</v>
      </c>
      <c r="E155">
        <v>51</v>
      </c>
      <c r="F155" t="str">
        <f>IF(Table1[[#This Row],[Age]]&lt;=25,"Young",IF(Table1[[#This Row],[Age]]&gt;55,"Old",IF(Table1[[#This Row],[Age]]&gt;25,"Middle","Na")))</f>
        <v>Middle</v>
      </c>
      <c r="G155" t="s">
        <v>16</v>
      </c>
      <c r="H155">
        <v>3</v>
      </c>
      <c r="I155">
        <v>300</v>
      </c>
      <c r="J155">
        <v>900</v>
      </c>
    </row>
    <row r="156" spans="1:10" x14ac:dyDescent="0.35">
      <c r="A156">
        <v>155</v>
      </c>
      <c r="B156" s="1">
        <v>45063</v>
      </c>
      <c r="C156" t="s">
        <v>168</v>
      </c>
      <c r="D156" t="s">
        <v>10</v>
      </c>
      <c r="E156">
        <v>31</v>
      </c>
      <c r="F156" t="str">
        <f>IF(Table1[[#This Row],[Age]]&lt;=25,"Young",IF(Table1[[#This Row],[Age]]&gt;55,"Old",IF(Table1[[#This Row],[Age]]&gt;25,"Middle","Na")))</f>
        <v>Middle</v>
      </c>
      <c r="G156" t="s">
        <v>16</v>
      </c>
      <c r="H156">
        <v>4</v>
      </c>
      <c r="I156">
        <v>500</v>
      </c>
      <c r="J156">
        <v>2000</v>
      </c>
    </row>
    <row r="157" spans="1:10" x14ac:dyDescent="0.35">
      <c r="A157">
        <v>156</v>
      </c>
      <c r="B157" s="1">
        <v>45255</v>
      </c>
      <c r="C157" t="s">
        <v>169</v>
      </c>
      <c r="D157" t="s">
        <v>13</v>
      </c>
      <c r="E157">
        <v>43</v>
      </c>
      <c r="F157" t="str">
        <f>IF(Table1[[#This Row],[Age]]&lt;=25,"Young",IF(Table1[[#This Row],[Age]]&gt;55,"Old",IF(Table1[[#This Row],[Age]]&gt;25,"Middle","Na")))</f>
        <v>Middle</v>
      </c>
      <c r="G157" t="s">
        <v>14</v>
      </c>
      <c r="H157">
        <v>4</v>
      </c>
      <c r="I157">
        <v>25</v>
      </c>
      <c r="J157">
        <v>100</v>
      </c>
    </row>
    <row r="158" spans="1:10" x14ac:dyDescent="0.35">
      <c r="A158">
        <v>157</v>
      </c>
      <c r="B158" s="1">
        <v>45101</v>
      </c>
      <c r="C158" t="s">
        <v>170</v>
      </c>
      <c r="D158" t="s">
        <v>10</v>
      </c>
      <c r="E158">
        <v>62</v>
      </c>
      <c r="F158" t="str">
        <f>IF(Table1[[#This Row],[Age]]&lt;=25,"Young",IF(Table1[[#This Row],[Age]]&gt;55,"Old",IF(Table1[[#This Row],[Age]]&gt;25,"Middle","Na")))</f>
        <v>Old</v>
      </c>
      <c r="G158" t="s">
        <v>16</v>
      </c>
      <c r="H158">
        <v>4</v>
      </c>
      <c r="I158">
        <v>500</v>
      </c>
      <c r="J158">
        <v>2000</v>
      </c>
    </row>
    <row r="159" spans="1:10" x14ac:dyDescent="0.35">
      <c r="A159">
        <v>158</v>
      </c>
      <c r="B159" s="1">
        <v>44984</v>
      </c>
      <c r="C159" t="s">
        <v>171</v>
      </c>
      <c r="D159" t="s">
        <v>13</v>
      </c>
      <c r="E159">
        <v>44</v>
      </c>
      <c r="F159" t="str">
        <f>IF(Table1[[#This Row],[Age]]&lt;=25,"Young",IF(Table1[[#This Row],[Age]]&gt;55,"Old",IF(Table1[[#This Row],[Age]]&gt;25,"Middle","Na")))</f>
        <v>Middle</v>
      </c>
      <c r="G159" t="s">
        <v>16</v>
      </c>
      <c r="H159">
        <v>2</v>
      </c>
      <c r="I159">
        <v>300</v>
      </c>
      <c r="J159">
        <v>600</v>
      </c>
    </row>
    <row r="160" spans="1:10" x14ac:dyDescent="0.35">
      <c r="A160">
        <v>159</v>
      </c>
      <c r="B160" s="1">
        <v>45077</v>
      </c>
      <c r="C160" t="s">
        <v>172</v>
      </c>
      <c r="D160" t="s">
        <v>10</v>
      </c>
      <c r="E160">
        <v>26</v>
      </c>
      <c r="F160" t="str">
        <f>IF(Table1[[#This Row],[Age]]&lt;=25,"Young",IF(Table1[[#This Row],[Age]]&gt;55,"Old",IF(Table1[[#This Row],[Age]]&gt;25,"Middle","Na")))</f>
        <v>Middle</v>
      </c>
      <c r="G160" t="s">
        <v>14</v>
      </c>
      <c r="H160">
        <v>4</v>
      </c>
      <c r="I160">
        <v>50</v>
      </c>
      <c r="J160">
        <v>200</v>
      </c>
    </row>
    <row r="161" spans="1:10" x14ac:dyDescent="0.35">
      <c r="A161">
        <v>160</v>
      </c>
      <c r="B161" s="1">
        <v>45149</v>
      </c>
      <c r="C161" t="s">
        <v>173</v>
      </c>
      <c r="D161" t="s">
        <v>13</v>
      </c>
      <c r="E161">
        <v>43</v>
      </c>
      <c r="F161" t="str">
        <f>IF(Table1[[#This Row],[Age]]&lt;=25,"Young",IF(Table1[[#This Row],[Age]]&gt;55,"Old",IF(Table1[[#This Row],[Age]]&gt;25,"Middle","Na")))</f>
        <v>Middle</v>
      </c>
      <c r="G161" t="s">
        <v>14</v>
      </c>
      <c r="H161">
        <v>2</v>
      </c>
      <c r="I161">
        <v>50</v>
      </c>
      <c r="J161">
        <v>100</v>
      </c>
    </row>
    <row r="162" spans="1:10" x14ac:dyDescent="0.35">
      <c r="A162">
        <v>161</v>
      </c>
      <c r="B162" s="1">
        <v>45007</v>
      </c>
      <c r="C162" t="s">
        <v>174</v>
      </c>
      <c r="D162" t="s">
        <v>10</v>
      </c>
      <c r="E162">
        <v>64</v>
      </c>
      <c r="F162" t="str">
        <f>IF(Table1[[#This Row],[Age]]&lt;=25,"Young",IF(Table1[[#This Row],[Age]]&gt;55,"Old",IF(Table1[[#This Row],[Age]]&gt;25,"Middle","Na")))</f>
        <v>Old</v>
      </c>
      <c r="G162" t="s">
        <v>11</v>
      </c>
      <c r="H162">
        <v>2</v>
      </c>
      <c r="I162">
        <v>500</v>
      </c>
      <c r="J162">
        <v>1000</v>
      </c>
    </row>
    <row r="163" spans="1:10" x14ac:dyDescent="0.35">
      <c r="A163">
        <v>162</v>
      </c>
      <c r="B163" s="1">
        <v>45159</v>
      </c>
      <c r="C163" t="s">
        <v>175</v>
      </c>
      <c r="D163" t="s">
        <v>10</v>
      </c>
      <c r="E163">
        <v>39</v>
      </c>
      <c r="F163" t="str">
        <f>IF(Table1[[#This Row],[Age]]&lt;=25,"Young",IF(Table1[[#This Row],[Age]]&gt;55,"Old",IF(Table1[[#This Row],[Age]]&gt;25,"Middle","Na")))</f>
        <v>Middle</v>
      </c>
      <c r="G163" t="s">
        <v>14</v>
      </c>
      <c r="H163">
        <v>2</v>
      </c>
      <c r="I163">
        <v>30</v>
      </c>
      <c r="J163">
        <v>60</v>
      </c>
    </row>
    <row r="164" spans="1:10" x14ac:dyDescent="0.35">
      <c r="A164">
        <v>163</v>
      </c>
      <c r="B164" s="1">
        <v>44928</v>
      </c>
      <c r="C164" t="s">
        <v>176</v>
      </c>
      <c r="D164" t="s">
        <v>13</v>
      </c>
      <c r="E164">
        <v>64</v>
      </c>
      <c r="F164" t="str">
        <f>IF(Table1[[#This Row],[Age]]&lt;=25,"Young",IF(Table1[[#This Row],[Age]]&gt;55,"Old",IF(Table1[[#This Row],[Age]]&gt;25,"Middle","Na")))</f>
        <v>Old</v>
      </c>
      <c r="G164" t="s">
        <v>14</v>
      </c>
      <c r="H164">
        <v>3</v>
      </c>
      <c r="I164">
        <v>50</v>
      </c>
      <c r="J164">
        <v>150</v>
      </c>
    </row>
    <row r="165" spans="1:10" x14ac:dyDescent="0.35">
      <c r="A165">
        <v>164</v>
      </c>
      <c r="B165" s="1">
        <v>45061</v>
      </c>
      <c r="C165" t="s">
        <v>177</v>
      </c>
      <c r="D165" t="s">
        <v>13</v>
      </c>
      <c r="E165">
        <v>47</v>
      </c>
      <c r="F165" t="str">
        <f>IF(Table1[[#This Row],[Age]]&lt;=25,"Young",IF(Table1[[#This Row],[Age]]&gt;55,"Old",IF(Table1[[#This Row],[Age]]&gt;25,"Middle","Na")))</f>
        <v>Middle</v>
      </c>
      <c r="G165" t="s">
        <v>11</v>
      </c>
      <c r="H165">
        <v>3</v>
      </c>
      <c r="I165">
        <v>500</v>
      </c>
      <c r="J165">
        <v>1500</v>
      </c>
    </row>
    <row r="166" spans="1:10" x14ac:dyDescent="0.35">
      <c r="A166">
        <v>165</v>
      </c>
      <c r="B166" s="1">
        <v>45183</v>
      </c>
      <c r="C166" t="s">
        <v>178</v>
      </c>
      <c r="D166" t="s">
        <v>13</v>
      </c>
      <c r="E166">
        <v>60</v>
      </c>
      <c r="F166" t="str">
        <f>IF(Table1[[#This Row],[Age]]&lt;=25,"Young",IF(Table1[[#This Row],[Age]]&gt;55,"Old",IF(Table1[[#This Row],[Age]]&gt;25,"Middle","Na")))</f>
        <v>Old</v>
      </c>
      <c r="G166" t="s">
        <v>14</v>
      </c>
      <c r="H166">
        <v>4</v>
      </c>
      <c r="I166">
        <v>300</v>
      </c>
      <c r="J166">
        <v>1200</v>
      </c>
    </row>
    <row r="167" spans="1:10" x14ac:dyDescent="0.35">
      <c r="A167">
        <v>166</v>
      </c>
      <c r="B167" s="1">
        <v>45018</v>
      </c>
      <c r="C167" t="s">
        <v>179</v>
      </c>
      <c r="D167" t="s">
        <v>10</v>
      </c>
      <c r="E167">
        <v>34</v>
      </c>
      <c r="F167" t="str">
        <f>IF(Table1[[#This Row],[Age]]&lt;=25,"Young",IF(Table1[[#This Row],[Age]]&gt;55,"Old",IF(Table1[[#This Row],[Age]]&gt;25,"Middle","Na")))</f>
        <v>Middle</v>
      </c>
      <c r="G167" t="s">
        <v>14</v>
      </c>
      <c r="H167">
        <v>4</v>
      </c>
      <c r="I167">
        <v>500</v>
      </c>
      <c r="J167">
        <v>2000</v>
      </c>
    </row>
    <row r="168" spans="1:10" x14ac:dyDescent="0.35">
      <c r="A168">
        <v>167</v>
      </c>
      <c r="B168" s="1">
        <v>45186</v>
      </c>
      <c r="C168" t="s">
        <v>180</v>
      </c>
      <c r="D168" t="s">
        <v>13</v>
      </c>
      <c r="E168">
        <v>43</v>
      </c>
      <c r="F168" t="str">
        <f>IF(Table1[[#This Row],[Age]]&lt;=25,"Young",IF(Table1[[#This Row],[Age]]&gt;55,"Old",IF(Table1[[#This Row],[Age]]&gt;25,"Middle","Na")))</f>
        <v>Middle</v>
      </c>
      <c r="G168" t="s">
        <v>14</v>
      </c>
      <c r="H168">
        <v>3</v>
      </c>
      <c r="I168">
        <v>50</v>
      </c>
      <c r="J168">
        <v>150</v>
      </c>
    </row>
    <row r="169" spans="1:10" x14ac:dyDescent="0.35">
      <c r="A169">
        <v>168</v>
      </c>
      <c r="B169" s="1">
        <v>44981</v>
      </c>
      <c r="C169" t="s">
        <v>181</v>
      </c>
      <c r="D169" t="s">
        <v>10</v>
      </c>
      <c r="E169">
        <v>53</v>
      </c>
      <c r="F169" t="str">
        <f>IF(Table1[[#This Row],[Age]]&lt;=25,"Young",IF(Table1[[#This Row],[Age]]&gt;55,"Old",IF(Table1[[#This Row],[Age]]&gt;25,"Middle","Na")))</f>
        <v>Middle</v>
      </c>
      <c r="G169" t="s">
        <v>14</v>
      </c>
      <c r="H169">
        <v>1</v>
      </c>
      <c r="I169">
        <v>300</v>
      </c>
      <c r="J169">
        <v>300</v>
      </c>
    </row>
    <row r="170" spans="1:10" x14ac:dyDescent="0.35">
      <c r="A170">
        <v>169</v>
      </c>
      <c r="B170" s="1">
        <v>45247</v>
      </c>
      <c r="C170" t="s">
        <v>182</v>
      </c>
      <c r="D170" t="s">
        <v>10</v>
      </c>
      <c r="E170">
        <v>18</v>
      </c>
      <c r="F170" t="str">
        <f>IF(Table1[[#This Row],[Age]]&lt;=25,"Young",IF(Table1[[#This Row],[Age]]&gt;55,"Old",IF(Table1[[#This Row],[Age]]&gt;25,"Middle","Na")))</f>
        <v>Young</v>
      </c>
      <c r="G170" t="s">
        <v>11</v>
      </c>
      <c r="H170">
        <v>3</v>
      </c>
      <c r="I170">
        <v>500</v>
      </c>
      <c r="J170">
        <v>1500</v>
      </c>
    </row>
    <row r="171" spans="1:10" x14ac:dyDescent="0.35">
      <c r="A171">
        <v>170</v>
      </c>
      <c r="B171" s="1">
        <v>45079</v>
      </c>
      <c r="C171" t="s">
        <v>183</v>
      </c>
      <c r="D171" t="s">
        <v>13</v>
      </c>
      <c r="E171">
        <v>25</v>
      </c>
      <c r="F171" t="str">
        <f>IF(Table1[[#This Row],[Age]]&lt;=25,"Young",IF(Table1[[#This Row],[Age]]&gt;55,"Old",IF(Table1[[#This Row],[Age]]&gt;25,"Middle","Na")))</f>
        <v>Young</v>
      </c>
      <c r="G171" t="s">
        <v>14</v>
      </c>
      <c r="H171">
        <v>2</v>
      </c>
      <c r="I171">
        <v>25</v>
      </c>
      <c r="J171">
        <v>50</v>
      </c>
    </row>
    <row r="172" spans="1:10" x14ac:dyDescent="0.35">
      <c r="A172">
        <v>171</v>
      </c>
      <c r="B172" s="1">
        <v>45254</v>
      </c>
      <c r="C172" t="s">
        <v>184</v>
      </c>
      <c r="D172" t="s">
        <v>13</v>
      </c>
      <c r="E172">
        <v>52</v>
      </c>
      <c r="F172" t="str">
        <f>IF(Table1[[#This Row],[Age]]&lt;=25,"Young",IF(Table1[[#This Row],[Age]]&gt;55,"Old",IF(Table1[[#This Row],[Age]]&gt;25,"Middle","Na")))</f>
        <v>Middle</v>
      </c>
      <c r="G172" t="s">
        <v>14</v>
      </c>
      <c r="H172">
        <v>3</v>
      </c>
      <c r="I172">
        <v>300</v>
      </c>
      <c r="J172">
        <v>900</v>
      </c>
    </row>
    <row r="173" spans="1:10" x14ac:dyDescent="0.35">
      <c r="A173">
        <v>172</v>
      </c>
      <c r="B173" s="1">
        <v>45186</v>
      </c>
      <c r="C173" t="s">
        <v>185</v>
      </c>
      <c r="D173" t="s">
        <v>10</v>
      </c>
      <c r="E173">
        <v>32</v>
      </c>
      <c r="F173" t="str">
        <f>IF(Table1[[#This Row],[Age]]&lt;=25,"Young",IF(Table1[[#This Row],[Age]]&gt;55,"Old",IF(Table1[[#This Row],[Age]]&gt;25,"Middle","Na")))</f>
        <v>Middle</v>
      </c>
      <c r="G173" t="s">
        <v>11</v>
      </c>
      <c r="H173">
        <v>2</v>
      </c>
      <c r="I173">
        <v>25</v>
      </c>
      <c r="J173">
        <v>50</v>
      </c>
    </row>
    <row r="174" spans="1:10" x14ac:dyDescent="0.35">
      <c r="A174">
        <v>173</v>
      </c>
      <c r="B174" s="1">
        <v>45238</v>
      </c>
      <c r="C174" t="s">
        <v>186</v>
      </c>
      <c r="D174" t="s">
        <v>10</v>
      </c>
      <c r="E174">
        <v>64</v>
      </c>
      <c r="F174" t="str">
        <f>IF(Table1[[#This Row],[Age]]&lt;=25,"Young",IF(Table1[[#This Row],[Age]]&gt;55,"Old",IF(Table1[[#This Row],[Age]]&gt;25,"Middle","Na")))</f>
        <v>Old</v>
      </c>
      <c r="G174" t="s">
        <v>16</v>
      </c>
      <c r="H174">
        <v>4</v>
      </c>
      <c r="I174">
        <v>30</v>
      </c>
      <c r="J174">
        <v>120</v>
      </c>
    </row>
    <row r="175" spans="1:10" x14ac:dyDescent="0.35">
      <c r="A175">
        <v>174</v>
      </c>
      <c r="B175" s="1">
        <v>45028</v>
      </c>
      <c r="C175" t="s">
        <v>187</v>
      </c>
      <c r="D175" t="s">
        <v>13</v>
      </c>
      <c r="E175">
        <v>39</v>
      </c>
      <c r="F175" t="str">
        <f>IF(Table1[[#This Row],[Age]]&lt;=25,"Young",IF(Table1[[#This Row],[Age]]&gt;55,"Old",IF(Table1[[#This Row],[Age]]&gt;25,"Middle","Na")))</f>
        <v>Middle</v>
      </c>
      <c r="G175" t="s">
        <v>11</v>
      </c>
      <c r="H175">
        <v>1</v>
      </c>
      <c r="I175">
        <v>300</v>
      </c>
      <c r="J175">
        <v>300</v>
      </c>
    </row>
    <row r="176" spans="1:10" x14ac:dyDescent="0.35">
      <c r="A176">
        <v>175</v>
      </c>
      <c r="B176" s="1">
        <v>45005</v>
      </c>
      <c r="C176" t="s">
        <v>188</v>
      </c>
      <c r="D176" t="s">
        <v>13</v>
      </c>
      <c r="E176">
        <v>31</v>
      </c>
      <c r="F176" t="str">
        <f>IF(Table1[[#This Row],[Age]]&lt;=25,"Young",IF(Table1[[#This Row],[Age]]&gt;55,"Old",IF(Table1[[#This Row],[Age]]&gt;25,"Middle","Na")))</f>
        <v>Middle</v>
      </c>
      <c r="G176" t="s">
        <v>16</v>
      </c>
      <c r="H176">
        <v>4</v>
      </c>
      <c r="I176">
        <v>25</v>
      </c>
      <c r="J176">
        <v>100</v>
      </c>
    </row>
    <row r="177" spans="1:10" x14ac:dyDescent="0.35">
      <c r="A177">
        <v>176</v>
      </c>
      <c r="B177" s="1">
        <v>45118</v>
      </c>
      <c r="C177" t="s">
        <v>189</v>
      </c>
      <c r="D177" t="s">
        <v>13</v>
      </c>
      <c r="E177">
        <v>43</v>
      </c>
      <c r="F177" t="str">
        <f>IF(Table1[[#This Row],[Age]]&lt;=25,"Young",IF(Table1[[#This Row],[Age]]&gt;55,"Old",IF(Table1[[#This Row],[Age]]&gt;25,"Middle","Na")))</f>
        <v>Middle</v>
      </c>
      <c r="G177" t="s">
        <v>11</v>
      </c>
      <c r="H177">
        <v>2</v>
      </c>
      <c r="I177">
        <v>50</v>
      </c>
      <c r="J177">
        <v>100</v>
      </c>
    </row>
    <row r="178" spans="1:10" x14ac:dyDescent="0.35">
      <c r="A178">
        <v>177</v>
      </c>
      <c r="B178" s="1">
        <v>45009</v>
      </c>
      <c r="C178" t="s">
        <v>190</v>
      </c>
      <c r="D178" t="s">
        <v>10</v>
      </c>
      <c r="E178">
        <v>45</v>
      </c>
      <c r="F178" t="str">
        <f>IF(Table1[[#This Row],[Age]]&lt;=25,"Young",IF(Table1[[#This Row],[Age]]&gt;55,"Old",IF(Table1[[#This Row],[Age]]&gt;25,"Middle","Na")))</f>
        <v>Middle</v>
      </c>
      <c r="G178" t="s">
        <v>11</v>
      </c>
      <c r="H178">
        <v>2</v>
      </c>
      <c r="I178">
        <v>50</v>
      </c>
      <c r="J178">
        <v>100</v>
      </c>
    </row>
    <row r="179" spans="1:10" x14ac:dyDescent="0.35">
      <c r="A179">
        <v>178</v>
      </c>
      <c r="B179" s="1">
        <v>45203</v>
      </c>
      <c r="C179" t="s">
        <v>191</v>
      </c>
      <c r="D179" t="s">
        <v>10</v>
      </c>
      <c r="E179">
        <v>40</v>
      </c>
      <c r="F179" t="str">
        <f>IF(Table1[[#This Row],[Age]]&lt;=25,"Young",IF(Table1[[#This Row],[Age]]&gt;55,"Old",IF(Table1[[#This Row],[Age]]&gt;25,"Middle","Na")))</f>
        <v>Middle</v>
      </c>
      <c r="G179" t="s">
        <v>14</v>
      </c>
      <c r="H179">
        <v>2</v>
      </c>
      <c r="I179">
        <v>30</v>
      </c>
      <c r="J179">
        <v>60</v>
      </c>
    </row>
    <row r="180" spans="1:10" x14ac:dyDescent="0.35">
      <c r="A180">
        <v>179</v>
      </c>
      <c r="B180" s="1">
        <v>45198</v>
      </c>
      <c r="C180" t="s">
        <v>192</v>
      </c>
      <c r="D180" t="s">
        <v>10</v>
      </c>
      <c r="E180">
        <v>31</v>
      </c>
      <c r="F180" t="str">
        <f>IF(Table1[[#This Row],[Age]]&lt;=25,"Young",IF(Table1[[#This Row],[Age]]&gt;55,"Old",IF(Table1[[#This Row],[Age]]&gt;25,"Middle","Na")))</f>
        <v>Middle</v>
      </c>
      <c r="G180" t="s">
        <v>16</v>
      </c>
      <c r="H180">
        <v>1</v>
      </c>
      <c r="I180">
        <v>300</v>
      </c>
      <c r="J180">
        <v>300</v>
      </c>
    </row>
    <row r="181" spans="1:10" x14ac:dyDescent="0.35">
      <c r="A181">
        <v>180</v>
      </c>
      <c r="B181" s="1">
        <v>44927</v>
      </c>
      <c r="C181" t="s">
        <v>193</v>
      </c>
      <c r="D181" t="s">
        <v>10</v>
      </c>
      <c r="E181">
        <v>41</v>
      </c>
      <c r="F181" t="str">
        <f>IF(Table1[[#This Row],[Age]]&lt;=25,"Young",IF(Table1[[#This Row],[Age]]&gt;55,"Old",IF(Table1[[#This Row],[Age]]&gt;25,"Middle","Na")))</f>
        <v>Middle</v>
      </c>
      <c r="G181" t="s">
        <v>14</v>
      </c>
      <c r="H181">
        <v>3</v>
      </c>
      <c r="I181">
        <v>300</v>
      </c>
      <c r="J181">
        <v>900</v>
      </c>
    </row>
    <row r="182" spans="1:10" x14ac:dyDescent="0.35">
      <c r="A182">
        <v>181</v>
      </c>
      <c r="B182" s="1">
        <v>45233</v>
      </c>
      <c r="C182" t="s">
        <v>194</v>
      </c>
      <c r="D182" t="s">
        <v>10</v>
      </c>
      <c r="E182">
        <v>19</v>
      </c>
      <c r="F182" t="str">
        <f>IF(Table1[[#This Row],[Age]]&lt;=25,"Young",IF(Table1[[#This Row],[Age]]&gt;55,"Old",IF(Table1[[#This Row],[Age]]&gt;25,"Middle","Na")))</f>
        <v>Young</v>
      </c>
      <c r="G182" t="s">
        <v>16</v>
      </c>
      <c r="H182">
        <v>4</v>
      </c>
      <c r="I182">
        <v>300</v>
      </c>
      <c r="J182">
        <v>1200</v>
      </c>
    </row>
    <row r="183" spans="1:10" x14ac:dyDescent="0.35">
      <c r="A183">
        <v>182</v>
      </c>
      <c r="B183" s="1">
        <v>45092</v>
      </c>
      <c r="C183" t="s">
        <v>195</v>
      </c>
      <c r="D183" t="s">
        <v>10</v>
      </c>
      <c r="E183">
        <v>62</v>
      </c>
      <c r="F183" t="str">
        <f>IF(Table1[[#This Row],[Age]]&lt;=25,"Young",IF(Table1[[#This Row],[Age]]&gt;55,"Old",IF(Table1[[#This Row],[Age]]&gt;25,"Middle","Na")))</f>
        <v>Old</v>
      </c>
      <c r="G183" t="s">
        <v>11</v>
      </c>
      <c r="H183">
        <v>4</v>
      </c>
      <c r="I183">
        <v>30</v>
      </c>
      <c r="J183">
        <v>120</v>
      </c>
    </row>
    <row r="184" spans="1:10" x14ac:dyDescent="0.35">
      <c r="A184">
        <v>183</v>
      </c>
      <c r="B184" s="1">
        <v>45177</v>
      </c>
      <c r="C184" t="s">
        <v>196</v>
      </c>
      <c r="D184" t="s">
        <v>13</v>
      </c>
      <c r="E184">
        <v>43</v>
      </c>
      <c r="F184" t="str">
        <f>IF(Table1[[#This Row],[Age]]&lt;=25,"Young",IF(Table1[[#This Row],[Age]]&gt;55,"Old",IF(Table1[[#This Row],[Age]]&gt;25,"Middle","Na")))</f>
        <v>Middle</v>
      </c>
      <c r="G184" t="s">
        <v>11</v>
      </c>
      <c r="H184">
        <v>3</v>
      </c>
      <c r="I184">
        <v>300</v>
      </c>
      <c r="J184">
        <v>900</v>
      </c>
    </row>
    <row r="185" spans="1:10" x14ac:dyDescent="0.35">
      <c r="A185">
        <v>184</v>
      </c>
      <c r="B185" s="1">
        <v>44936</v>
      </c>
      <c r="C185" t="s">
        <v>197</v>
      </c>
      <c r="D185" t="s">
        <v>10</v>
      </c>
      <c r="E185">
        <v>31</v>
      </c>
      <c r="F185" t="str">
        <f>IF(Table1[[#This Row],[Age]]&lt;=25,"Young",IF(Table1[[#This Row],[Age]]&gt;55,"Old",IF(Table1[[#This Row],[Age]]&gt;25,"Middle","Na")))</f>
        <v>Middle</v>
      </c>
      <c r="G185" t="s">
        <v>16</v>
      </c>
      <c r="H185">
        <v>4</v>
      </c>
      <c r="I185">
        <v>50</v>
      </c>
      <c r="J185">
        <v>200</v>
      </c>
    </row>
    <row r="186" spans="1:10" x14ac:dyDescent="0.35">
      <c r="A186">
        <v>185</v>
      </c>
      <c r="B186" s="1">
        <v>44984</v>
      </c>
      <c r="C186" t="s">
        <v>198</v>
      </c>
      <c r="D186" t="s">
        <v>10</v>
      </c>
      <c r="E186">
        <v>24</v>
      </c>
      <c r="F186" t="str">
        <f>IF(Table1[[#This Row],[Age]]&lt;=25,"Young",IF(Table1[[#This Row],[Age]]&gt;55,"Old",IF(Table1[[#This Row],[Age]]&gt;25,"Middle","Na")))</f>
        <v>Young</v>
      </c>
      <c r="G186" t="s">
        <v>14</v>
      </c>
      <c r="H186">
        <v>1</v>
      </c>
      <c r="I186">
        <v>25</v>
      </c>
      <c r="J186">
        <v>25</v>
      </c>
    </row>
    <row r="187" spans="1:10" x14ac:dyDescent="0.35">
      <c r="A187">
        <v>186</v>
      </c>
      <c r="B187" s="1">
        <v>45112</v>
      </c>
      <c r="C187" t="s">
        <v>199</v>
      </c>
      <c r="D187" t="s">
        <v>10</v>
      </c>
      <c r="E187">
        <v>20</v>
      </c>
      <c r="F187" t="str">
        <f>IF(Table1[[#This Row],[Age]]&lt;=25,"Young",IF(Table1[[#This Row],[Age]]&gt;55,"Old",IF(Table1[[#This Row],[Age]]&gt;25,"Middle","Na")))</f>
        <v>Young</v>
      </c>
      <c r="G187" t="s">
        <v>14</v>
      </c>
      <c r="H187">
        <v>4</v>
      </c>
      <c r="I187">
        <v>50</v>
      </c>
      <c r="J187">
        <v>200</v>
      </c>
    </row>
    <row r="188" spans="1:10" x14ac:dyDescent="0.35">
      <c r="A188">
        <v>187</v>
      </c>
      <c r="B188" s="1">
        <v>45084</v>
      </c>
      <c r="C188" t="s">
        <v>200</v>
      </c>
      <c r="D188" t="s">
        <v>13</v>
      </c>
      <c r="E188">
        <v>64</v>
      </c>
      <c r="F188" t="str">
        <f>IF(Table1[[#This Row],[Age]]&lt;=25,"Young",IF(Table1[[#This Row],[Age]]&gt;55,"Old",IF(Table1[[#This Row],[Age]]&gt;25,"Middle","Na")))</f>
        <v>Old</v>
      </c>
      <c r="G188" t="s">
        <v>14</v>
      </c>
      <c r="H188">
        <v>2</v>
      </c>
      <c r="I188">
        <v>50</v>
      </c>
      <c r="J188">
        <v>100</v>
      </c>
    </row>
    <row r="189" spans="1:10" x14ac:dyDescent="0.35">
      <c r="A189">
        <v>188</v>
      </c>
      <c r="B189" s="1">
        <v>45049</v>
      </c>
      <c r="C189" t="s">
        <v>201</v>
      </c>
      <c r="D189" t="s">
        <v>10</v>
      </c>
      <c r="E189">
        <v>40</v>
      </c>
      <c r="F189" t="str">
        <f>IF(Table1[[#This Row],[Age]]&lt;=25,"Young",IF(Table1[[#This Row],[Age]]&gt;55,"Old",IF(Table1[[#This Row],[Age]]&gt;25,"Middle","Na")))</f>
        <v>Middle</v>
      </c>
      <c r="G189" t="s">
        <v>14</v>
      </c>
      <c r="H189">
        <v>3</v>
      </c>
      <c r="I189">
        <v>25</v>
      </c>
      <c r="J189">
        <v>75</v>
      </c>
    </row>
    <row r="190" spans="1:10" x14ac:dyDescent="0.35">
      <c r="A190">
        <v>189</v>
      </c>
      <c r="B190" s="1">
        <v>44956</v>
      </c>
      <c r="C190" t="s">
        <v>202</v>
      </c>
      <c r="D190" t="s">
        <v>10</v>
      </c>
      <c r="E190">
        <v>63</v>
      </c>
      <c r="F190" t="str">
        <f>IF(Table1[[#This Row],[Age]]&lt;=25,"Young",IF(Table1[[#This Row],[Age]]&gt;55,"Old",IF(Table1[[#This Row],[Age]]&gt;25,"Middle","Na")))</f>
        <v>Old</v>
      </c>
      <c r="G190" t="s">
        <v>11</v>
      </c>
      <c r="H190">
        <v>1</v>
      </c>
      <c r="I190">
        <v>50</v>
      </c>
      <c r="J190">
        <v>50</v>
      </c>
    </row>
    <row r="191" spans="1:10" x14ac:dyDescent="0.35">
      <c r="A191">
        <v>190</v>
      </c>
      <c r="B191" s="1">
        <v>45050</v>
      </c>
      <c r="C191" t="s">
        <v>203</v>
      </c>
      <c r="D191" t="s">
        <v>13</v>
      </c>
      <c r="E191">
        <v>60</v>
      </c>
      <c r="F191" t="str">
        <f>IF(Table1[[#This Row],[Age]]&lt;=25,"Young",IF(Table1[[#This Row],[Age]]&gt;55,"Old",IF(Table1[[#This Row],[Age]]&gt;25,"Middle","Na")))</f>
        <v>Old</v>
      </c>
      <c r="G191" t="s">
        <v>11</v>
      </c>
      <c r="H191">
        <v>3</v>
      </c>
      <c r="I191">
        <v>30</v>
      </c>
      <c r="J191">
        <v>90</v>
      </c>
    </row>
    <row r="192" spans="1:10" x14ac:dyDescent="0.35">
      <c r="A192">
        <v>191</v>
      </c>
      <c r="B192" s="1">
        <v>45217</v>
      </c>
      <c r="C192" t="s">
        <v>204</v>
      </c>
      <c r="D192" t="s">
        <v>10</v>
      </c>
      <c r="E192">
        <v>64</v>
      </c>
      <c r="F192" t="str">
        <f>IF(Table1[[#This Row],[Age]]&lt;=25,"Young",IF(Table1[[#This Row],[Age]]&gt;55,"Old",IF(Table1[[#This Row],[Age]]&gt;25,"Middle","Na")))</f>
        <v>Old</v>
      </c>
      <c r="G192" t="s">
        <v>11</v>
      </c>
      <c r="H192">
        <v>1</v>
      </c>
      <c r="I192">
        <v>25</v>
      </c>
      <c r="J192">
        <v>25</v>
      </c>
    </row>
    <row r="193" spans="1:10" x14ac:dyDescent="0.35">
      <c r="A193">
        <v>192</v>
      </c>
      <c r="B193" s="1">
        <v>44967</v>
      </c>
      <c r="C193" t="s">
        <v>205</v>
      </c>
      <c r="D193" t="s">
        <v>10</v>
      </c>
      <c r="E193">
        <v>62</v>
      </c>
      <c r="F193" t="str">
        <f>IF(Table1[[#This Row],[Age]]&lt;=25,"Young",IF(Table1[[#This Row],[Age]]&gt;55,"Old",IF(Table1[[#This Row],[Age]]&gt;25,"Middle","Na")))</f>
        <v>Old</v>
      </c>
      <c r="G193" t="s">
        <v>11</v>
      </c>
      <c r="H193">
        <v>2</v>
      </c>
      <c r="I193">
        <v>50</v>
      </c>
      <c r="J193">
        <v>100</v>
      </c>
    </row>
    <row r="194" spans="1:10" x14ac:dyDescent="0.35">
      <c r="A194">
        <v>193</v>
      </c>
      <c r="B194" s="1">
        <v>44970</v>
      </c>
      <c r="C194" t="s">
        <v>206</v>
      </c>
      <c r="D194" t="s">
        <v>10</v>
      </c>
      <c r="E194">
        <v>35</v>
      </c>
      <c r="F194" t="str">
        <f>IF(Table1[[#This Row],[Age]]&lt;=25,"Young",IF(Table1[[#This Row],[Age]]&gt;55,"Old",IF(Table1[[#This Row],[Age]]&gt;25,"Middle","Na")))</f>
        <v>Middle</v>
      </c>
      <c r="G194" t="s">
        <v>11</v>
      </c>
      <c r="H194">
        <v>3</v>
      </c>
      <c r="I194">
        <v>500</v>
      </c>
      <c r="J194">
        <v>1500</v>
      </c>
    </row>
    <row r="195" spans="1:10" x14ac:dyDescent="0.35">
      <c r="A195">
        <v>194</v>
      </c>
      <c r="B195" s="1">
        <v>45175</v>
      </c>
      <c r="C195" t="s">
        <v>207</v>
      </c>
      <c r="D195" t="s">
        <v>10</v>
      </c>
      <c r="E195">
        <v>55</v>
      </c>
      <c r="F195" t="str">
        <f>IF(Table1[[#This Row],[Age]]&lt;=25,"Young",IF(Table1[[#This Row],[Age]]&gt;55,"Old",IF(Table1[[#This Row],[Age]]&gt;25,"Middle","Na")))</f>
        <v>Middle</v>
      </c>
      <c r="G195" t="s">
        <v>14</v>
      </c>
      <c r="H195">
        <v>4</v>
      </c>
      <c r="I195">
        <v>50</v>
      </c>
      <c r="J195">
        <v>200</v>
      </c>
    </row>
    <row r="196" spans="1:10" x14ac:dyDescent="0.35">
      <c r="A196">
        <v>195</v>
      </c>
      <c r="B196" s="1">
        <v>44962</v>
      </c>
      <c r="C196" t="s">
        <v>208</v>
      </c>
      <c r="D196" t="s">
        <v>10</v>
      </c>
      <c r="E196">
        <v>52</v>
      </c>
      <c r="F196" t="str">
        <f>IF(Table1[[#This Row],[Age]]&lt;=25,"Young",IF(Table1[[#This Row],[Age]]&gt;55,"Old",IF(Table1[[#This Row],[Age]]&gt;25,"Middle","Na")))</f>
        <v>Middle</v>
      </c>
      <c r="G196" t="s">
        <v>14</v>
      </c>
      <c r="H196">
        <v>1</v>
      </c>
      <c r="I196">
        <v>30</v>
      </c>
      <c r="J196">
        <v>30</v>
      </c>
    </row>
    <row r="197" spans="1:10" x14ac:dyDescent="0.35">
      <c r="A197">
        <v>196</v>
      </c>
      <c r="B197" s="1">
        <v>45199</v>
      </c>
      <c r="C197" t="s">
        <v>209</v>
      </c>
      <c r="D197" t="s">
        <v>13</v>
      </c>
      <c r="E197">
        <v>32</v>
      </c>
      <c r="F197" t="str">
        <f>IF(Table1[[#This Row],[Age]]&lt;=25,"Young",IF(Table1[[#This Row],[Age]]&gt;55,"Old",IF(Table1[[#This Row],[Age]]&gt;25,"Middle","Na")))</f>
        <v>Middle</v>
      </c>
      <c r="G197" t="s">
        <v>14</v>
      </c>
      <c r="H197">
        <v>3</v>
      </c>
      <c r="I197">
        <v>300</v>
      </c>
      <c r="J197">
        <v>900</v>
      </c>
    </row>
    <row r="198" spans="1:10" x14ac:dyDescent="0.35">
      <c r="A198">
        <v>197</v>
      </c>
      <c r="B198" s="1">
        <v>44991</v>
      </c>
      <c r="C198" t="s">
        <v>210</v>
      </c>
      <c r="D198" t="s">
        <v>13</v>
      </c>
      <c r="E198">
        <v>42</v>
      </c>
      <c r="F198" t="str">
        <f>IF(Table1[[#This Row],[Age]]&lt;=25,"Young",IF(Table1[[#This Row],[Age]]&gt;55,"Old",IF(Table1[[#This Row],[Age]]&gt;25,"Middle","Na")))</f>
        <v>Middle</v>
      </c>
      <c r="G198" t="s">
        <v>14</v>
      </c>
      <c r="H198">
        <v>4</v>
      </c>
      <c r="I198">
        <v>50</v>
      </c>
      <c r="J198">
        <v>200</v>
      </c>
    </row>
    <row r="199" spans="1:10" x14ac:dyDescent="0.35">
      <c r="A199">
        <v>198</v>
      </c>
      <c r="B199" s="1">
        <v>44992</v>
      </c>
      <c r="C199" t="s">
        <v>211</v>
      </c>
      <c r="D199" t="s">
        <v>13</v>
      </c>
      <c r="E199">
        <v>54</v>
      </c>
      <c r="F199" t="str">
        <f>IF(Table1[[#This Row],[Age]]&lt;=25,"Young",IF(Table1[[#This Row],[Age]]&gt;55,"Old",IF(Table1[[#This Row],[Age]]&gt;25,"Middle","Na")))</f>
        <v>Middle</v>
      </c>
      <c r="G199" t="s">
        <v>11</v>
      </c>
      <c r="H199">
        <v>3</v>
      </c>
      <c r="I199">
        <v>300</v>
      </c>
      <c r="J199">
        <v>900</v>
      </c>
    </row>
    <row r="200" spans="1:10" x14ac:dyDescent="0.35">
      <c r="A200">
        <v>199</v>
      </c>
      <c r="B200" s="1">
        <v>45264</v>
      </c>
      <c r="C200" t="s">
        <v>212</v>
      </c>
      <c r="D200" t="s">
        <v>10</v>
      </c>
      <c r="E200">
        <v>45</v>
      </c>
      <c r="F200" t="str">
        <f>IF(Table1[[#This Row],[Age]]&lt;=25,"Young",IF(Table1[[#This Row],[Age]]&gt;55,"Old",IF(Table1[[#This Row],[Age]]&gt;25,"Middle","Na")))</f>
        <v>Middle</v>
      </c>
      <c r="G200" t="s">
        <v>11</v>
      </c>
      <c r="H200">
        <v>3</v>
      </c>
      <c r="I200">
        <v>500</v>
      </c>
      <c r="J200">
        <v>1500</v>
      </c>
    </row>
    <row r="201" spans="1:10" x14ac:dyDescent="0.35">
      <c r="A201">
        <v>200</v>
      </c>
      <c r="B201" s="1">
        <v>45170</v>
      </c>
      <c r="C201" t="s">
        <v>213</v>
      </c>
      <c r="D201" t="s">
        <v>10</v>
      </c>
      <c r="E201">
        <v>27</v>
      </c>
      <c r="F201" t="str">
        <f>IF(Table1[[#This Row],[Age]]&lt;=25,"Young",IF(Table1[[#This Row],[Age]]&gt;55,"Old",IF(Table1[[#This Row],[Age]]&gt;25,"Middle","Na")))</f>
        <v>Middle</v>
      </c>
      <c r="G201" t="s">
        <v>11</v>
      </c>
      <c r="H201">
        <v>3</v>
      </c>
      <c r="I201">
        <v>50</v>
      </c>
      <c r="J201">
        <v>150</v>
      </c>
    </row>
    <row r="202" spans="1:10" x14ac:dyDescent="0.35">
      <c r="A202">
        <v>201</v>
      </c>
      <c r="B202" s="1">
        <v>45208</v>
      </c>
      <c r="C202" t="s">
        <v>214</v>
      </c>
      <c r="D202" t="s">
        <v>10</v>
      </c>
      <c r="E202">
        <v>56</v>
      </c>
      <c r="F202" t="str">
        <f>IF(Table1[[#This Row],[Age]]&lt;=25,"Young",IF(Table1[[#This Row],[Age]]&gt;55,"Old",IF(Table1[[#This Row],[Age]]&gt;25,"Middle","Na")))</f>
        <v>Old</v>
      </c>
      <c r="G202" t="s">
        <v>16</v>
      </c>
      <c r="H202">
        <v>1</v>
      </c>
      <c r="I202">
        <v>25</v>
      </c>
      <c r="J202">
        <v>25</v>
      </c>
    </row>
    <row r="203" spans="1:10" x14ac:dyDescent="0.35">
      <c r="A203">
        <v>202</v>
      </c>
      <c r="B203" s="1">
        <v>45011</v>
      </c>
      <c r="C203" t="s">
        <v>215</v>
      </c>
      <c r="D203" t="s">
        <v>13</v>
      </c>
      <c r="E203">
        <v>34</v>
      </c>
      <c r="F203" t="str">
        <f>IF(Table1[[#This Row],[Age]]&lt;=25,"Young",IF(Table1[[#This Row],[Age]]&gt;55,"Old",IF(Table1[[#This Row],[Age]]&gt;25,"Middle","Na")))</f>
        <v>Middle</v>
      </c>
      <c r="G203" t="s">
        <v>14</v>
      </c>
      <c r="H203">
        <v>4</v>
      </c>
      <c r="I203">
        <v>300</v>
      </c>
      <c r="J203">
        <v>1200</v>
      </c>
    </row>
    <row r="204" spans="1:10" x14ac:dyDescent="0.35">
      <c r="A204">
        <v>203</v>
      </c>
      <c r="B204" s="1">
        <v>45062</v>
      </c>
      <c r="C204" t="s">
        <v>216</v>
      </c>
      <c r="D204" t="s">
        <v>10</v>
      </c>
      <c r="E204">
        <v>56</v>
      </c>
      <c r="F204" t="str">
        <f>IF(Table1[[#This Row],[Age]]&lt;=25,"Young",IF(Table1[[#This Row],[Age]]&gt;55,"Old",IF(Table1[[#This Row],[Age]]&gt;25,"Middle","Na")))</f>
        <v>Old</v>
      </c>
      <c r="G204" t="s">
        <v>14</v>
      </c>
      <c r="H204">
        <v>2</v>
      </c>
      <c r="I204">
        <v>500</v>
      </c>
      <c r="J204">
        <v>1000</v>
      </c>
    </row>
    <row r="205" spans="1:10" x14ac:dyDescent="0.35">
      <c r="A205">
        <v>204</v>
      </c>
      <c r="B205" s="1">
        <v>45197</v>
      </c>
      <c r="C205" t="s">
        <v>217</v>
      </c>
      <c r="D205" t="s">
        <v>10</v>
      </c>
      <c r="E205">
        <v>39</v>
      </c>
      <c r="F205" t="str">
        <f>IF(Table1[[#This Row],[Age]]&lt;=25,"Young",IF(Table1[[#This Row],[Age]]&gt;55,"Old",IF(Table1[[#This Row],[Age]]&gt;25,"Middle","Na")))</f>
        <v>Middle</v>
      </c>
      <c r="G205" t="s">
        <v>11</v>
      </c>
      <c r="H205">
        <v>1</v>
      </c>
      <c r="I205">
        <v>25</v>
      </c>
      <c r="J205">
        <v>25</v>
      </c>
    </row>
    <row r="206" spans="1:10" x14ac:dyDescent="0.35">
      <c r="A206">
        <v>205</v>
      </c>
      <c r="B206" s="1">
        <v>45237</v>
      </c>
      <c r="C206" t="s">
        <v>218</v>
      </c>
      <c r="D206" t="s">
        <v>13</v>
      </c>
      <c r="E206">
        <v>43</v>
      </c>
      <c r="F206" t="str">
        <f>IF(Table1[[#This Row],[Age]]&lt;=25,"Young",IF(Table1[[#This Row],[Age]]&gt;55,"Old",IF(Table1[[#This Row],[Age]]&gt;25,"Middle","Na")))</f>
        <v>Middle</v>
      </c>
      <c r="G206" t="s">
        <v>14</v>
      </c>
      <c r="H206">
        <v>1</v>
      </c>
      <c r="I206">
        <v>25</v>
      </c>
      <c r="J206">
        <v>25</v>
      </c>
    </row>
    <row r="207" spans="1:10" x14ac:dyDescent="0.35">
      <c r="A207">
        <v>206</v>
      </c>
      <c r="B207" s="1">
        <v>45143</v>
      </c>
      <c r="C207" t="s">
        <v>219</v>
      </c>
      <c r="D207" t="s">
        <v>10</v>
      </c>
      <c r="E207">
        <v>61</v>
      </c>
      <c r="F207" t="str">
        <f>IF(Table1[[#This Row],[Age]]&lt;=25,"Young",IF(Table1[[#This Row],[Age]]&gt;55,"Old",IF(Table1[[#This Row],[Age]]&gt;25,"Middle","Na")))</f>
        <v>Old</v>
      </c>
      <c r="G207" t="s">
        <v>14</v>
      </c>
      <c r="H207">
        <v>1</v>
      </c>
      <c r="I207">
        <v>25</v>
      </c>
      <c r="J207">
        <v>25</v>
      </c>
    </row>
    <row r="208" spans="1:10" x14ac:dyDescent="0.35">
      <c r="A208">
        <v>207</v>
      </c>
      <c r="B208" s="1">
        <v>45035</v>
      </c>
      <c r="C208" t="s">
        <v>220</v>
      </c>
      <c r="D208" t="s">
        <v>13</v>
      </c>
      <c r="E208">
        <v>42</v>
      </c>
      <c r="F208" t="str">
        <f>IF(Table1[[#This Row],[Age]]&lt;=25,"Young",IF(Table1[[#This Row],[Age]]&gt;55,"Old",IF(Table1[[#This Row],[Age]]&gt;25,"Middle","Na")))</f>
        <v>Middle</v>
      </c>
      <c r="G208" t="s">
        <v>11</v>
      </c>
      <c r="H208">
        <v>2</v>
      </c>
      <c r="I208">
        <v>25</v>
      </c>
      <c r="J208">
        <v>50</v>
      </c>
    </row>
    <row r="209" spans="1:10" x14ac:dyDescent="0.35">
      <c r="A209">
        <v>208</v>
      </c>
      <c r="B209" s="1">
        <v>45203</v>
      </c>
      <c r="C209" t="s">
        <v>221</v>
      </c>
      <c r="D209" t="s">
        <v>13</v>
      </c>
      <c r="E209">
        <v>34</v>
      </c>
      <c r="F209" t="str">
        <f>IF(Table1[[#This Row],[Age]]&lt;=25,"Young",IF(Table1[[#This Row],[Age]]&gt;55,"Old",IF(Table1[[#This Row],[Age]]&gt;25,"Middle","Na")))</f>
        <v>Middle</v>
      </c>
      <c r="G209" t="s">
        <v>16</v>
      </c>
      <c r="H209">
        <v>4</v>
      </c>
      <c r="I209">
        <v>50</v>
      </c>
      <c r="J209">
        <v>200</v>
      </c>
    </row>
    <row r="210" spans="1:10" x14ac:dyDescent="0.35">
      <c r="A210">
        <v>209</v>
      </c>
      <c r="B210" s="1">
        <v>45280</v>
      </c>
      <c r="C210" t="s">
        <v>222</v>
      </c>
      <c r="D210" t="s">
        <v>13</v>
      </c>
      <c r="E210">
        <v>30</v>
      </c>
      <c r="F210" t="str">
        <f>IF(Table1[[#This Row],[Age]]&lt;=25,"Young",IF(Table1[[#This Row],[Age]]&gt;55,"Old",IF(Table1[[#This Row],[Age]]&gt;25,"Middle","Na")))</f>
        <v>Middle</v>
      </c>
      <c r="G210" t="s">
        <v>16</v>
      </c>
      <c r="H210">
        <v>4</v>
      </c>
      <c r="I210">
        <v>50</v>
      </c>
      <c r="J210">
        <v>200</v>
      </c>
    </row>
    <row r="211" spans="1:10" x14ac:dyDescent="0.35">
      <c r="A211">
        <v>210</v>
      </c>
      <c r="B211" s="1">
        <v>45029</v>
      </c>
      <c r="C211" t="s">
        <v>223</v>
      </c>
      <c r="D211" t="s">
        <v>10</v>
      </c>
      <c r="E211">
        <v>37</v>
      </c>
      <c r="F211" t="str">
        <f>IF(Table1[[#This Row],[Age]]&lt;=25,"Young",IF(Table1[[#This Row],[Age]]&gt;55,"Old",IF(Table1[[#This Row],[Age]]&gt;25,"Middle","Na")))</f>
        <v>Middle</v>
      </c>
      <c r="G211" t="s">
        <v>16</v>
      </c>
      <c r="H211">
        <v>4</v>
      </c>
      <c r="I211">
        <v>50</v>
      </c>
      <c r="J211">
        <v>200</v>
      </c>
    </row>
    <row r="212" spans="1:10" x14ac:dyDescent="0.35">
      <c r="A212">
        <v>211</v>
      </c>
      <c r="B212" s="1">
        <v>45292</v>
      </c>
      <c r="C212" t="s">
        <v>224</v>
      </c>
      <c r="D212" t="s">
        <v>10</v>
      </c>
      <c r="E212">
        <v>42</v>
      </c>
      <c r="F212" t="str">
        <f>IF(Table1[[#This Row],[Age]]&lt;=25,"Young",IF(Table1[[#This Row],[Age]]&gt;55,"Old",IF(Table1[[#This Row],[Age]]&gt;25,"Middle","Na")))</f>
        <v>Middle</v>
      </c>
      <c r="G212" t="s">
        <v>11</v>
      </c>
      <c r="H212">
        <v>3</v>
      </c>
      <c r="I212">
        <v>500</v>
      </c>
      <c r="J212">
        <v>1500</v>
      </c>
    </row>
    <row r="213" spans="1:10" x14ac:dyDescent="0.35">
      <c r="A213">
        <v>212</v>
      </c>
      <c r="B213" s="1">
        <v>45086</v>
      </c>
      <c r="C213" t="s">
        <v>225</v>
      </c>
      <c r="D213" t="s">
        <v>10</v>
      </c>
      <c r="E213">
        <v>21</v>
      </c>
      <c r="F213" t="str">
        <f>IF(Table1[[#This Row],[Age]]&lt;=25,"Young",IF(Table1[[#This Row],[Age]]&gt;55,"Old",IF(Table1[[#This Row],[Age]]&gt;25,"Middle","Na")))</f>
        <v>Young</v>
      </c>
      <c r="G213" t="s">
        <v>14</v>
      </c>
      <c r="H213">
        <v>3</v>
      </c>
      <c r="I213">
        <v>500</v>
      </c>
      <c r="J213">
        <v>1500</v>
      </c>
    </row>
    <row r="214" spans="1:10" x14ac:dyDescent="0.35">
      <c r="A214">
        <v>213</v>
      </c>
      <c r="B214" s="1">
        <v>45131</v>
      </c>
      <c r="C214" t="s">
        <v>226</v>
      </c>
      <c r="D214" t="s">
        <v>10</v>
      </c>
      <c r="E214">
        <v>27</v>
      </c>
      <c r="F214" t="str">
        <f>IF(Table1[[#This Row],[Age]]&lt;=25,"Young",IF(Table1[[#This Row],[Age]]&gt;55,"Old",IF(Table1[[#This Row],[Age]]&gt;25,"Middle","Na")))</f>
        <v>Middle</v>
      </c>
      <c r="G214" t="s">
        <v>11</v>
      </c>
      <c r="H214">
        <v>3</v>
      </c>
      <c r="I214">
        <v>500</v>
      </c>
      <c r="J214">
        <v>1500</v>
      </c>
    </row>
    <row r="215" spans="1:10" x14ac:dyDescent="0.35">
      <c r="A215">
        <v>214</v>
      </c>
      <c r="B215" s="1">
        <v>45270</v>
      </c>
      <c r="C215" t="s">
        <v>227</v>
      </c>
      <c r="D215" t="s">
        <v>10</v>
      </c>
      <c r="E215">
        <v>20</v>
      </c>
      <c r="F215" t="str">
        <f>IF(Table1[[#This Row],[Age]]&lt;=25,"Young",IF(Table1[[#This Row],[Age]]&gt;55,"Old",IF(Table1[[#This Row],[Age]]&gt;25,"Middle","Na")))</f>
        <v>Young</v>
      </c>
      <c r="G215" t="s">
        <v>11</v>
      </c>
      <c r="H215">
        <v>2</v>
      </c>
      <c r="I215">
        <v>30</v>
      </c>
      <c r="J215">
        <v>60</v>
      </c>
    </row>
    <row r="216" spans="1:10" x14ac:dyDescent="0.35">
      <c r="A216">
        <v>215</v>
      </c>
      <c r="B216" s="1">
        <v>45259</v>
      </c>
      <c r="C216" t="s">
        <v>228</v>
      </c>
      <c r="D216" t="s">
        <v>10</v>
      </c>
      <c r="E216">
        <v>58</v>
      </c>
      <c r="F216" t="str">
        <f>IF(Table1[[#This Row],[Age]]&lt;=25,"Young",IF(Table1[[#This Row],[Age]]&gt;55,"Old",IF(Table1[[#This Row],[Age]]&gt;25,"Middle","Na")))</f>
        <v>Old</v>
      </c>
      <c r="G216" t="s">
        <v>14</v>
      </c>
      <c r="H216">
        <v>3</v>
      </c>
      <c r="I216">
        <v>500</v>
      </c>
      <c r="J216">
        <v>1500</v>
      </c>
    </row>
    <row r="217" spans="1:10" x14ac:dyDescent="0.35">
      <c r="A217">
        <v>216</v>
      </c>
      <c r="B217" s="1">
        <v>45118</v>
      </c>
      <c r="C217" t="s">
        <v>229</v>
      </c>
      <c r="D217" t="s">
        <v>10</v>
      </c>
      <c r="E217">
        <v>62</v>
      </c>
      <c r="F217" t="str">
        <f>IF(Table1[[#This Row],[Age]]&lt;=25,"Young",IF(Table1[[#This Row],[Age]]&gt;55,"Old",IF(Table1[[#This Row],[Age]]&gt;25,"Middle","Na")))</f>
        <v>Old</v>
      </c>
      <c r="G217" t="s">
        <v>16</v>
      </c>
      <c r="H217">
        <v>2</v>
      </c>
      <c r="I217">
        <v>50</v>
      </c>
      <c r="J217">
        <v>100</v>
      </c>
    </row>
    <row r="218" spans="1:10" x14ac:dyDescent="0.35">
      <c r="A218">
        <v>217</v>
      </c>
      <c r="B218" s="1">
        <v>45151</v>
      </c>
      <c r="C218" t="s">
        <v>230</v>
      </c>
      <c r="D218" t="s">
        <v>13</v>
      </c>
      <c r="E218">
        <v>35</v>
      </c>
      <c r="F218" t="str">
        <f>IF(Table1[[#This Row],[Age]]&lt;=25,"Young",IF(Table1[[#This Row],[Age]]&gt;55,"Old",IF(Table1[[#This Row],[Age]]&gt;25,"Middle","Na")))</f>
        <v>Middle</v>
      </c>
      <c r="G218" t="s">
        <v>16</v>
      </c>
      <c r="H218">
        <v>4</v>
      </c>
      <c r="I218">
        <v>50</v>
      </c>
      <c r="J218">
        <v>200</v>
      </c>
    </row>
    <row r="219" spans="1:10" x14ac:dyDescent="0.35">
      <c r="A219">
        <v>218</v>
      </c>
      <c r="B219" s="1">
        <v>45191</v>
      </c>
      <c r="C219" t="s">
        <v>231</v>
      </c>
      <c r="D219" t="s">
        <v>10</v>
      </c>
      <c r="E219">
        <v>64</v>
      </c>
      <c r="F219" t="str">
        <f>IF(Table1[[#This Row],[Age]]&lt;=25,"Young",IF(Table1[[#This Row],[Age]]&gt;55,"Old",IF(Table1[[#This Row],[Age]]&gt;25,"Middle","Na")))</f>
        <v>Old</v>
      </c>
      <c r="G219" t="s">
        <v>11</v>
      </c>
      <c r="H219">
        <v>3</v>
      </c>
      <c r="I219">
        <v>30</v>
      </c>
      <c r="J219">
        <v>90</v>
      </c>
    </row>
    <row r="220" spans="1:10" x14ac:dyDescent="0.35">
      <c r="A220">
        <v>219</v>
      </c>
      <c r="B220" s="1">
        <v>45158</v>
      </c>
      <c r="C220" t="s">
        <v>232</v>
      </c>
      <c r="D220" t="s">
        <v>13</v>
      </c>
      <c r="E220">
        <v>53</v>
      </c>
      <c r="F220" t="str">
        <f>IF(Table1[[#This Row],[Age]]&lt;=25,"Young",IF(Table1[[#This Row],[Age]]&gt;55,"Old",IF(Table1[[#This Row],[Age]]&gt;25,"Middle","Na")))</f>
        <v>Middle</v>
      </c>
      <c r="G220" t="s">
        <v>16</v>
      </c>
      <c r="H220">
        <v>3</v>
      </c>
      <c r="I220">
        <v>30</v>
      </c>
      <c r="J220">
        <v>90</v>
      </c>
    </row>
    <row r="221" spans="1:10" x14ac:dyDescent="0.35">
      <c r="A221">
        <v>220</v>
      </c>
      <c r="B221" s="1">
        <v>44988</v>
      </c>
      <c r="C221" t="s">
        <v>233</v>
      </c>
      <c r="D221" t="s">
        <v>10</v>
      </c>
      <c r="E221">
        <v>64</v>
      </c>
      <c r="F221" t="str">
        <f>IF(Table1[[#This Row],[Age]]&lt;=25,"Young",IF(Table1[[#This Row],[Age]]&gt;55,"Old",IF(Table1[[#This Row],[Age]]&gt;25,"Middle","Na")))</f>
        <v>Old</v>
      </c>
      <c r="G221" t="s">
        <v>11</v>
      </c>
      <c r="H221">
        <v>1</v>
      </c>
      <c r="I221">
        <v>500</v>
      </c>
      <c r="J221">
        <v>500</v>
      </c>
    </row>
    <row r="222" spans="1:10" x14ac:dyDescent="0.35">
      <c r="A222">
        <v>221</v>
      </c>
      <c r="B222" s="1">
        <v>45053</v>
      </c>
      <c r="C222" t="s">
        <v>234</v>
      </c>
      <c r="D222" t="s">
        <v>10</v>
      </c>
      <c r="E222">
        <v>39</v>
      </c>
      <c r="F222" t="str">
        <f>IF(Table1[[#This Row],[Age]]&lt;=25,"Young",IF(Table1[[#This Row],[Age]]&gt;55,"Old",IF(Table1[[#This Row],[Age]]&gt;25,"Middle","Na")))</f>
        <v>Middle</v>
      </c>
      <c r="G222" t="s">
        <v>11</v>
      </c>
      <c r="H222">
        <v>2</v>
      </c>
      <c r="I222">
        <v>300</v>
      </c>
      <c r="J222">
        <v>600</v>
      </c>
    </row>
    <row r="223" spans="1:10" x14ac:dyDescent="0.35">
      <c r="A223">
        <v>222</v>
      </c>
      <c r="B223" s="1">
        <v>45042</v>
      </c>
      <c r="C223" t="s">
        <v>235</v>
      </c>
      <c r="D223" t="s">
        <v>10</v>
      </c>
      <c r="E223">
        <v>51</v>
      </c>
      <c r="F223" t="str">
        <f>IF(Table1[[#This Row],[Age]]&lt;=25,"Young",IF(Table1[[#This Row],[Age]]&gt;55,"Old",IF(Table1[[#This Row],[Age]]&gt;25,"Middle","Na")))</f>
        <v>Middle</v>
      </c>
      <c r="G223" t="s">
        <v>14</v>
      </c>
      <c r="H223">
        <v>4</v>
      </c>
      <c r="I223">
        <v>30</v>
      </c>
      <c r="J223">
        <v>120</v>
      </c>
    </row>
    <row r="224" spans="1:10" x14ac:dyDescent="0.35">
      <c r="A224">
        <v>223</v>
      </c>
      <c r="B224" s="1">
        <v>44959</v>
      </c>
      <c r="C224" t="s">
        <v>236</v>
      </c>
      <c r="D224" t="s">
        <v>13</v>
      </c>
      <c r="E224">
        <v>64</v>
      </c>
      <c r="F224" t="str">
        <f>IF(Table1[[#This Row],[Age]]&lt;=25,"Young",IF(Table1[[#This Row],[Age]]&gt;55,"Old",IF(Table1[[#This Row],[Age]]&gt;25,"Middle","Na")))</f>
        <v>Old</v>
      </c>
      <c r="G224" t="s">
        <v>14</v>
      </c>
      <c r="H224">
        <v>1</v>
      </c>
      <c r="I224">
        <v>25</v>
      </c>
      <c r="J224">
        <v>25</v>
      </c>
    </row>
    <row r="225" spans="1:10" x14ac:dyDescent="0.35">
      <c r="A225">
        <v>224</v>
      </c>
      <c r="B225" s="1">
        <v>45100</v>
      </c>
      <c r="C225" t="s">
        <v>237</v>
      </c>
      <c r="D225" t="s">
        <v>13</v>
      </c>
      <c r="E225">
        <v>25</v>
      </c>
      <c r="F225" t="str">
        <f>IF(Table1[[#This Row],[Age]]&lt;=25,"Young",IF(Table1[[#This Row],[Age]]&gt;55,"Old",IF(Table1[[#This Row],[Age]]&gt;25,"Middle","Na")))</f>
        <v>Young</v>
      </c>
      <c r="G225" t="s">
        <v>14</v>
      </c>
      <c r="H225">
        <v>1</v>
      </c>
      <c r="I225">
        <v>50</v>
      </c>
      <c r="J225">
        <v>50</v>
      </c>
    </row>
    <row r="226" spans="1:10" x14ac:dyDescent="0.35">
      <c r="A226">
        <v>225</v>
      </c>
      <c r="B226" s="1">
        <v>44937</v>
      </c>
      <c r="C226" t="s">
        <v>238</v>
      </c>
      <c r="D226" t="s">
        <v>13</v>
      </c>
      <c r="E226">
        <v>57</v>
      </c>
      <c r="F226" t="str">
        <f>IF(Table1[[#This Row],[Age]]&lt;=25,"Young",IF(Table1[[#This Row],[Age]]&gt;55,"Old",IF(Table1[[#This Row],[Age]]&gt;25,"Middle","Na")))</f>
        <v>Old</v>
      </c>
      <c r="G226" t="s">
        <v>11</v>
      </c>
      <c r="H226">
        <v>4</v>
      </c>
      <c r="I226">
        <v>25</v>
      </c>
      <c r="J226">
        <v>100</v>
      </c>
    </row>
    <row r="227" spans="1:10" x14ac:dyDescent="0.35">
      <c r="A227">
        <v>226</v>
      </c>
      <c r="B227" s="1">
        <v>45228</v>
      </c>
      <c r="C227" t="s">
        <v>239</v>
      </c>
      <c r="D227" t="s">
        <v>13</v>
      </c>
      <c r="E227">
        <v>61</v>
      </c>
      <c r="F227" t="str">
        <f>IF(Table1[[#This Row],[Age]]&lt;=25,"Young",IF(Table1[[#This Row],[Age]]&gt;55,"Old",IF(Table1[[#This Row],[Age]]&gt;25,"Middle","Na")))</f>
        <v>Old</v>
      </c>
      <c r="G227" t="s">
        <v>14</v>
      </c>
      <c r="H227">
        <v>1</v>
      </c>
      <c r="I227">
        <v>50</v>
      </c>
      <c r="J227">
        <v>50</v>
      </c>
    </row>
    <row r="228" spans="1:10" x14ac:dyDescent="0.35">
      <c r="A228">
        <v>227</v>
      </c>
      <c r="B228" s="1">
        <v>45210</v>
      </c>
      <c r="C228" t="s">
        <v>240</v>
      </c>
      <c r="D228" t="s">
        <v>10</v>
      </c>
      <c r="E228">
        <v>36</v>
      </c>
      <c r="F228" t="str">
        <f>IF(Table1[[#This Row],[Age]]&lt;=25,"Young",IF(Table1[[#This Row],[Age]]&gt;55,"Old",IF(Table1[[#This Row],[Age]]&gt;25,"Middle","Na")))</f>
        <v>Middle</v>
      </c>
      <c r="G228" t="s">
        <v>16</v>
      </c>
      <c r="H228">
        <v>2</v>
      </c>
      <c r="I228">
        <v>50</v>
      </c>
      <c r="J228">
        <v>100</v>
      </c>
    </row>
    <row r="229" spans="1:10" x14ac:dyDescent="0.35">
      <c r="A229">
        <v>228</v>
      </c>
      <c r="B229" s="1">
        <v>45044</v>
      </c>
      <c r="C229" t="s">
        <v>241</v>
      </c>
      <c r="D229" t="s">
        <v>13</v>
      </c>
      <c r="E229">
        <v>59</v>
      </c>
      <c r="F229" t="str">
        <f>IF(Table1[[#This Row],[Age]]&lt;=25,"Young",IF(Table1[[#This Row],[Age]]&gt;55,"Old",IF(Table1[[#This Row],[Age]]&gt;25,"Middle","Na")))</f>
        <v>Old</v>
      </c>
      <c r="G229" t="s">
        <v>16</v>
      </c>
      <c r="H229">
        <v>2</v>
      </c>
      <c r="I229">
        <v>30</v>
      </c>
      <c r="J229">
        <v>60</v>
      </c>
    </row>
    <row r="230" spans="1:10" x14ac:dyDescent="0.35">
      <c r="A230">
        <v>229</v>
      </c>
      <c r="B230" s="1">
        <v>45228</v>
      </c>
      <c r="C230" t="s">
        <v>242</v>
      </c>
      <c r="D230" t="s">
        <v>10</v>
      </c>
      <c r="E230">
        <v>58</v>
      </c>
      <c r="F230" t="str">
        <f>IF(Table1[[#This Row],[Age]]&lt;=25,"Young",IF(Table1[[#This Row],[Age]]&gt;55,"Old",IF(Table1[[#This Row],[Age]]&gt;25,"Middle","Na")))</f>
        <v>Old</v>
      </c>
      <c r="G230" t="s">
        <v>11</v>
      </c>
      <c r="H230">
        <v>3</v>
      </c>
      <c r="I230">
        <v>30</v>
      </c>
      <c r="J230">
        <v>90</v>
      </c>
    </row>
    <row r="231" spans="1:10" x14ac:dyDescent="0.35">
      <c r="A231">
        <v>230</v>
      </c>
      <c r="B231" s="1">
        <v>45039</v>
      </c>
      <c r="C231" t="s">
        <v>243</v>
      </c>
      <c r="D231" t="s">
        <v>10</v>
      </c>
      <c r="E231">
        <v>54</v>
      </c>
      <c r="F231" t="str">
        <f>IF(Table1[[#This Row],[Age]]&lt;=25,"Young",IF(Table1[[#This Row],[Age]]&gt;55,"Old",IF(Table1[[#This Row],[Age]]&gt;25,"Middle","Na")))</f>
        <v>Middle</v>
      </c>
      <c r="G231" t="s">
        <v>11</v>
      </c>
      <c r="H231">
        <v>1</v>
      </c>
      <c r="I231">
        <v>25</v>
      </c>
      <c r="J231">
        <v>25</v>
      </c>
    </row>
    <row r="232" spans="1:10" x14ac:dyDescent="0.35">
      <c r="A232">
        <v>231</v>
      </c>
      <c r="B232" s="1">
        <v>44930</v>
      </c>
      <c r="C232" t="s">
        <v>244</v>
      </c>
      <c r="D232" t="s">
        <v>13</v>
      </c>
      <c r="E232">
        <v>23</v>
      </c>
      <c r="F232" t="str">
        <f>IF(Table1[[#This Row],[Age]]&lt;=25,"Young",IF(Table1[[#This Row],[Age]]&gt;55,"Old",IF(Table1[[#This Row],[Age]]&gt;25,"Middle","Na")))</f>
        <v>Young</v>
      </c>
      <c r="G232" t="s">
        <v>14</v>
      </c>
      <c r="H232">
        <v>3</v>
      </c>
      <c r="I232">
        <v>50</v>
      </c>
      <c r="J232">
        <v>150</v>
      </c>
    </row>
    <row r="233" spans="1:10" x14ac:dyDescent="0.35">
      <c r="A233">
        <v>232</v>
      </c>
      <c r="B233" s="1">
        <v>44963</v>
      </c>
      <c r="C233" t="s">
        <v>245</v>
      </c>
      <c r="D233" t="s">
        <v>13</v>
      </c>
      <c r="E233">
        <v>43</v>
      </c>
      <c r="F233" t="str">
        <f>IF(Table1[[#This Row],[Age]]&lt;=25,"Young",IF(Table1[[#This Row],[Age]]&gt;55,"Old",IF(Table1[[#This Row],[Age]]&gt;25,"Middle","Na")))</f>
        <v>Middle</v>
      </c>
      <c r="G233" t="s">
        <v>11</v>
      </c>
      <c r="H233">
        <v>1</v>
      </c>
      <c r="I233">
        <v>25</v>
      </c>
      <c r="J233">
        <v>25</v>
      </c>
    </row>
    <row r="234" spans="1:10" x14ac:dyDescent="0.35">
      <c r="A234">
        <v>233</v>
      </c>
      <c r="B234" s="1">
        <v>45289</v>
      </c>
      <c r="C234" t="s">
        <v>246</v>
      </c>
      <c r="D234" t="s">
        <v>13</v>
      </c>
      <c r="E234">
        <v>51</v>
      </c>
      <c r="F234" t="str">
        <f>IF(Table1[[#This Row],[Age]]&lt;=25,"Young",IF(Table1[[#This Row],[Age]]&gt;55,"Old",IF(Table1[[#This Row],[Age]]&gt;25,"Middle","Na")))</f>
        <v>Middle</v>
      </c>
      <c r="G234" t="s">
        <v>11</v>
      </c>
      <c r="H234">
        <v>2</v>
      </c>
      <c r="I234">
        <v>300</v>
      </c>
      <c r="J234">
        <v>600</v>
      </c>
    </row>
    <row r="235" spans="1:10" x14ac:dyDescent="0.35">
      <c r="A235">
        <v>234</v>
      </c>
      <c r="B235" s="1">
        <v>45250</v>
      </c>
      <c r="C235" t="s">
        <v>247</v>
      </c>
      <c r="D235" t="s">
        <v>13</v>
      </c>
      <c r="E235">
        <v>62</v>
      </c>
      <c r="F235" t="str">
        <f>IF(Table1[[#This Row],[Age]]&lt;=25,"Young",IF(Table1[[#This Row],[Age]]&gt;55,"Old",IF(Table1[[#This Row],[Age]]&gt;25,"Middle","Na")))</f>
        <v>Old</v>
      </c>
      <c r="G235" t="s">
        <v>16</v>
      </c>
      <c r="H235">
        <v>2</v>
      </c>
      <c r="I235">
        <v>25</v>
      </c>
      <c r="J235">
        <v>50</v>
      </c>
    </row>
    <row r="236" spans="1:10" x14ac:dyDescent="0.35">
      <c r="A236">
        <v>235</v>
      </c>
      <c r="B236" s="1">
        <v>44957</v>
      </c>
      <c r="C236" t="s">
        <v>248</v>
      </c>
      <c r="D236" t="s">
        <v>13</v>
      </c>
      <c r="E236">
        <v>23</v>
      </c>
      <c r="F236" t="str">
        <f>IF(Table1[[#This Row],[Age]]&lt;=25,"Young",IF(Table1[[#This Row],[Age]]&gt;55,"Old",IF(Table1[[#This Row],[Age]]&gt;25,"Middle","Na")))</f>
        <v>Young</v>
      </c>
      <c r="G236" t="s">
        <v>16</v>
      </c>
      <c r="H236">
        <v>2</v>
      </c>
      <c r="I236">
        <v>500</v>
      </c>
      <c r="J236">
        <v>1000</v>
      </c>
    </row>
    <row r="237" spans="1:10" x14ac:dyDescent="0.35">
      <c r="A237">
        <v>236</v>
      </c>
      <c r="B237" s="1">
        <v>45044</v>
      </c>
      <c r="C237" t="s">
        <v>249</v>
      </c>
      <c r="D237" t="s">
        <v>13</v>
      </c>
      <c r="E237">
        <v>54</v>
      </c>
      <c r="F237" t="str">
        <f>IF(Table1[[#This Row],[Age]]&lt;=25,"Young",IF(Table1[[#This Row],[Age]]&gt;55,"Old",IF(Table1[[#This Row],[Age]]&gt;25,"Middle","Na")))</f>
        <v>Middle</v>
      </c>
      <c r="G237" t="s">
        <v>14</v>
      </c>
      <c r="H237">
        <v>1</v>
      </c>
      <c r="I237">
        <v>25</v>
      </c>
      <c r="J237">
        <v>25</v>
      </c>
    </row>
    <row r="238" spans="1:10" x14ac:dyDescent="0.35">
      <c r="A238">
        <v>237</v>
      </c>
      <c r="B238" s="1">
        <v>44961</v>
      </c>
      <c r="C238" t="s">
        <v>250</v>
      </c>
      <c r="D238" t="s">
        <v>13</v>
      </c>
      <c r="E238">
        <v>50</v>
      </c>
      <c r="F238" t="str">
        <f>IF(Table1[[#This Row],[Age]]&lt;=25,"Young",IF(Table1[[#This Row],[Age]]&gt;55,"Old",IF(Table1[[#This Row],[Age]]&gt;25,"Middle","Na")))</f>
        <v>Middle</v>
      </c>
      <c r="G238" t="s">
        <v>11</v>
      </c>
      <c r="H238">
        <v>2</v>
      </c>
      <c r="I238">
        <v>500</v>
      </c>
      <c r="J238">
        <v>1000</v>
      </c>
    </row>
    <row r="239" spans="1:10" x14ac:dyDescent="0.35">
      <c r="A239">
        <v>238</v>
      </c>
      <c r="B239" s="1">
        <v>44943</v>
      </c>
      <c r="C239" t="s">
        <v>251</v>
      </c>
      <c r="D239" t="s">
        <v>13</v>
      </c>
      <c r="E239">
        <v>39</v>
      </c>
      <c r="F239" t="str">
        <f>IF(Table1[[#This Row],[Age]]&lt;=25,"Young",IF(Table1[[#This Row],[Age]]&gt;55,"Old",IF(Table1[[#This Row],[Age]]&gt;25,"Middle","Na")))</f>
        <v>Middle</v>
      </c>
      <c r="G239" t="s">
        <v>11</v>
      </c>
      <c r="H239">
        <v>1</v>
      </c>
      <c r="I239">
        <v>500</v>
      </c>
      <c r="J239">
        <v>500</v>
      </c>
    </row>
    <row r="240" spans="1:10" x14ac:dyDescent="0.35">
      <c r="A240">
        <v>239</v>
      </c>
      <c r="B240" s="1">
        <v>45096</v>
      </c>
      <c r="C240" t="s">
        <v>252</v>
      </c>
      <c r="D240" t="s">
        <v>10</v>
      </c>
      <c r="E240">
        <v>38</v>
      </c>
      <c r="F240" t="str">
        <f>IF(Table1[[#This Row],[Age]]&lt;=25,"Young",IF(Table1[[#This Row],[Age]]&gt;55,"Old",IF(Table1[[#This Row],[Age]]&gt;25,"Middle","Na")))</f>
        <v>Middle</v>
      </c>
      <c r="G240" t="s">
        <v>16</v>
      </c>
      <c r="H240">
        <v>3</v>
      </c>
      <c r="I240">
        <v>500</v>
      </c>
      <c r="J240">
        <v>1500</v>
      </c>
    </row>
    <row r="241" spans="1:10" x14ac:dyDescent="0.35">
      <c r="A241">
        <v>240</v>
      </c>
      <c r="B241" s="1">
        <v>44963</v>
      </c>
      <c r="C241" t="s">
        <v>253</v>
      </c>
      <c r="D241" t="s">
        <v>13</v>
      </c>
      <c r="E241">
        <v>23</v>
      </c>
      <c r="F241" t="str">
        <f>IF(Table1[[#This Row],[Age]]&lt;=25,"Young",IF(Table1[[#This Row],[Age]]&gt;55,"Old",IF(Table1[[#This Row],[Age]]&gt;25,"Middle","Na")))</f>
        <v>Young</v>
      </c>
      <c r="G241" t="s">
        <v>11</v>
      </c>
      <c r="H241">
        <v>1</v>
      </c>
      <c r="I241">
        <v>300</v>
      </c>
      <c r="J241">
        <v>300</v>
      </c>
    </row>
    <row r="242" spans="1:10" x14ac:dyDescent="0.35">
      <c r="A242">
        <v>241</v>
      </c>
      <c r="B242" s="1">
        <v>45190</v>
      </c>
      <c r="C242" t="s">
        <v>254</v>
      </c>
      <c r="D242" t="s">
        <v>13</v>
      </c>
      <c r="E242">
        <v>23</v>
      </c>
      <c r="F242" t="str">
        <f>IF(Table1[[#This Row],[Age]]&lt;=25,"Young",IF(Table1[[#This Row],[Age]]&gt;55,"Old",IF(Table1[[#This Row],[Age]]&gt;25,"Middle","Na")))</f>
        <v>Young</v>
      </c>
      <c r="G242" t="s">
        <v>16</v>
      </c>
      <c r="H242">
        <v>3</v>
      </c>
      <c r="I242">
        <v>25</v>
      </c>
      <c r="J242">
        <v>75</v>
      </c>
    </row>
    <row r="243" spans="1:10" x14ac:dyDescent="0.35">
      <c r="A243">
        <v>242</v>
      </c>
      <c r="B243" s="1">
        <v>45048</v>
      </c>
      <c r="C243" t="s">
        <v>255</v>
      </c>
      <c r="D243" t="s">
        <v>10</v>
      </c>
      <c r="E243">
        <v>21</v>
      </c>
      <c r="F243" t="str">
        <f>IF(Table1[[#This Row],[Age]]&lt;=25,"Young",IF(Table1[[#This Row],[Age]]&gt;55,"Old",IF(Table1[[#This Row],[Age]]&gt;25,"Middle","Na")))</f>
        <v>Young</v>
      </c>
      <c r="G243" t="s">
        <v>14</v>
      </c>
      <c r="H243">
        <v>1</v>
      </c>
      <c r="I243">
        <v>25</v>
      </c>
      <c r="J243">
        <v>25</v>
      </c>
    </row>
    <row r="244" spans="1:10" x14ac:dyDescent="0.35">
      <c r="A244">
        <v>243</v>
      </c>
      <c r="B244" s="1">
        <v>45069</v>
      </c>
      <c r="C244" t="s">
        <v>256</v>
      </c>
      <c r="D244" t="s">
        <v>13</v>
      </c>
      <c r="E244">
        <v>47</v>
      </c>
      <c r="F244" t="str">
        <f>IF(Table1[[#This Row],[Age]]&lt;=25,"Young",IF(Table1[[#This Row],[Age]]&gt;55,"Old",IF(Table1[[#This Row],[Age]]&gt;25,"Middle","Na")))</f>
        <v>Middle</v>
      </c>
      <c r="G244" t="s">
        <v>16</v>
      </c>
      <c r="H244">
        <v>3</v>
      </c>
      <c r="I244">
        <v>300</v>
      </c>
      <c r="J244">
        <v>900</v>
      </c>
    </row>
    <row r="245" spans="1:10" x14ac:dyDescent="0.35">
      <c r="A245">
        <v>244</v>
      </c>
      <c r="B245" s="1">
        <v>45269</v>
      </c>
      <c r="C245" t="s">
        <v>257</v>
      </c>
      <c r="D245" t="s">
        <v>10</v>
      </c>
      <c r="E245">
        <v>28</v>
      </c>
      <c r="F245" t="str">
        <f>IF(Table1[[#This Row],[Age]]&lt;=25,"Young",IF(Table1[[#This Row],[Age]]&gt;55,"Old",IF(Table1[[#This Row],[Age]]&gt;25,"Middle","Na")))</f>
        <v>Middle</v>
      </c>
      <c r="G245" t="s">
        <v>11</v>
      </c>
      <c r="H245">
        <v>2</v>
      </c>
      <c r="I245">
        <v>50</v>
      </c>
      <c r="J245">
        <v>100</v>
      </c>
    </row>
    <row r="246" spans="1:10" x14ac:dyDescent="0.35">
      <c r="A246">
        <v>245</v>
      </c>
      <c r="B246" s="1">
        <v>45175</v>
      </c>
      <c r="C246" t="s">
        <v>258</v>
      </c>
      <c r="D246" t="s">
        <v>10</v>
      </c>
      <c r="E246">
        <v>47</v>
      </c>
      <c r="F246" t="str">
        <f>IF(Table1[[#This Row],[Age]]&lt;=25,"Young",IF(Table1[[#This Row],[Age]]&gt;55,"Old",IF(Table1[[#This Row],[Age]]&gt;25,"Middle","Na")))</f>
        <v>Middle</v>
      </c>
      <c r="G246" t="s">
        <v>14</v>
      </c>
      <c r="H246">
        <v>3</v>
      </c>
      <c r="I246">
        <v>30</v>
      </c>
      <c r="J246">
        <v>90</v>
      </c>
    </row>
    <row r="247" spans="1:10" x14ac:dyDescent="0.35">
      <c r="A247">
        <v>246</v>
      </c>
      <c r="B247" s="1">
        <v>45036</v>
      </c>
      <c r="C247" t="s">
        <v>259</v>
      </c>
      <c r="D247" t="s">
        <v>13</v>
      </c>
      <c r="E247">
        <v>48</v>
      </c>
      <c r="F247" t="str">
        <f>IF(Table1[[#This Row],[Age]]&lt;=25,"Young",IF(Table1[[#This Row],[Age]]&gt;55,"Old",IF(Table1[[#This Row],[Age]]&gt;25,"Middle","Na")))</f>
        <v>Middle</v>
      </c>
      <c r="G247" t="s">
        <v>16</v>
      </c>
      <c r="H247">
        <v>2</v>
      </c>
      <c r="I247">
        <v>25</v>
      </c>
      <c r="J247">
        <v>50</v>
      </c>
    </row>
    <row r="248" spans="1:10" x14ac:dyDescent="0.35">
      <c r="A248">
        <v>247</v>
      </c>
      <c r="B248" s="1">
        <v>45203</v>
      </c>
      <c r="C248" t="s">
        <v>260</v>
      </c>
      <c r="D248" t="s">
        <v>10</v>
      </c>
      <c r="E248">
        <v>41</v>
      </c>
      <c r="F248" t="str">
        <f>IF(Table1[[#This Row],[Age]]&lt;=25,"Young",IF(Table1[[#This Row],[Age]]&gt;55,"Old",IF(Table1[[#This Row],[Age]]&gt;25,"Middle","Na")))</f>
        <v>Middle</v>
      </c>
      <c r="G248" t="s">
        <v>16</v>
      </c>
      <c r="H248">
        <v>2</v>
      </c>
      <c r="I248">
        <v>30</v>
      </c>
      <c r="J248">
        <v>60</v>
      </c>
    </row>
    <row r="249" spans="1:10" x14ac:dyDescent="0.35">
      <c r="A249">
        <v>248</v>
      </c>
      <c r="B249" s="1">
        <v>44994</v>
      </c>
      <c r="C249" t="s">
        <v>261</v>
      </c>
      <c r="D249" t="s">
        <v>10</v>
      </c>
      <c r="E249">
        <v>26</v>
      </c>
      <c r="F249" t="str">
        <f>IF(Table1[[#This Row],[Age]]&lt;=25,"Young",IF(Table1[[#This Row],[Age]]&gt;55,"Old",IF(Table1[[#This Row],[Age]]&gt;25,"Middle","Na")))</f>
        <v>Middle</v>
      </c>
      <c r="G249" t="s">
        <v>14</v>
      </c>
      <c r="H249">
        <v>3</v>
      </c>
      <c r="I249">
        <v>300</v>
      </c>
      <c r="J249">
        <v>900</v>
      </c>
    </row>
    <row r="250" spans="1:10" x14ac:dyDescent="0.35">
      <c r="A250">
        <v>249</v>
      </c>
      <c r="B250" s="1">
        <v>45219</v>
      </c>
      <c r="C250" t="s">
        <v>262</v>
      </c>
      <c r="D250" t="s">
        <v>10</v>
      </c>
      <c r="E250">
        <v>20</v>
      </c>
      <c r="F250" t="str">
        <f>IF(Table1[[#This Row],[Age]]&lt;=25,"Young",IF(Table1[[#This Row],[Age]]&gt;55,"Old",IF(Table1[[#This Row],[Age]]&gt;25,"Middle","Na")))</f>
        <v>Young</v>
      </c>
      <c r="G250" t="s">
        <v>14</v>
      </c>
      <c r="H250">
        <v>1</v>
      </c>
      <c r="I250">
        <v>50</v>
      </c>
      <c r="J250">
        <v>50</v>
      </c>
    </row>
    <row r="251" spans="1:10" x14ac:dyDescent="0.35">
      <c r="A251">
        <v>250</v>
      </c>
      <c r="B251" s="1">
        <v>45222</v>
      </c>
      <c r="C251" t="s">
        <v>263</v>
      </c>
      <c r="D251" t="s">
        <v>10</v>
      </c>
      <c r="E251">
        <v>48</v>
      </c>
      <c r="F251" t="str">
        <f>IF(Table1[[#This Row],[Age]]&lt;=25,"Young",IF(Table1[[#This Row],[Age]]&gt;55,"Old",IF(Table1[[#This Row],[Age]]&gt;25,"Middle","Na")))</f>
        <v>Middle</v>
      </c>
      <c r="G251" t="s">
        <v>16</v>
      </c>
      <c r="H251">
        <v>1</v>
      </c>
      <c r="I251">
        <v>50</v>
      </c>
      <c r="J251">
        <v>50</v>
      </c>
    </row>
    <row r="252" spans="1:10" x14ac:dyDescent="0.35">
      <c r="A252">
        <v>251</v>
      </c>
      <c r="B252" s="1">
        <v>45169</v>
      </c>
      <c r="C252" t="s">
        <v>264</v>
      </c>
      <c r="D252" t="s">
        <v>13</v>
      </c>
      <c r="E252">
        <v>57</v>
      </c>
      <c r="F252" t="str">
        <f>IF(Table1[[#This Row],[Age]]&lt;=25,"Young",IF(Table1[[#This Row],[Age]]&gt;55,"Old",IF(Table1[[#This Row],[Age]]&gt;25,"Middle","Na")))</f>
        <v>Old</v>
      </c>
      <c r="G252" t="s">
        <v>11</v>
      </c>
      <c r="H252">
        <v>4</v>
      </c>
      <c r="I252">
        <v>50</v>
      </c>
      <c r="J252">
        <v>200</v>
      </c>
    </row>
    <row r="253" spans="1:10" x14ac:dyDescent="0.35">
      <c r="A253">
        <v>252</v>
      </c>
      <c r="B253" s="1">
        <v>45051</v>
      </c>
      <c r="C253" t="s">
        <v>265</v>
      </c>
      <c r="D253" t="s">
        <v>10</v>
      </c>
      <c r="E253">
        <v>54</v>
      </c>
      <c r="F253" t="str">
        <f>IF(Table1[[#This Row],[Age]]&lt;=25,"Young",IF(Table1[[#This Row],[Age]]&gt;55,"Old",IF(Table1[[#This Row],[Age]]&gt;25,"Middle","Na")))</f>
        <v>Middle</v>
      </c>
      <c r="G253" t="s">
        <v>16</v>
      </c>
      <c r="H253">
        <v>1</v>
      </c>
      <c r="I253">
        <v>300</v>
      </c>
      <c r="J253">
        <v>300</v>
      </c>
    </row>
    <row r="254" spans="1:10" x14ac:dyDescent="0.35">
      <c r="A254">
        <v>253</v>
      </c>
      <c r="B254" s="1">
        <v>45169</v>
      </c>
      <c r="C254" t="s">
        <v>266</v>
      </c>
      <c r="D254" t="s">
        <v>13</v>
      </c>
      <c r="E254">
        <v>53</v>
      </c>
      <c r="F254" t="str">
        <f>IF(Table1[[#This Row],[Age]]&lt;=25,"Young",IF(Table1[[#This Row],[Age]]&gt;55,"Old",IF(Table1[[#This Row],[Age]]&gt;25,"Middle","Na")))</f>
        <v>Middle</v>
      </c>
      <c r="G254" t="s">
        <v>14</v>
      </c>
      <c r="H254">
        <v>4</v>
      </c>
      <c r="I254">
        <v>500</v>
      </c>
      <c r="J254">
        <v>2000</v>
      </c>
    </row>
    <row r="255" spans="1:10" x14ac:dyDescent="0.35">
      <c r="A255">
        <v>254</v>
      </c>
      <c r="B255" s="1">
        <v>45135</v>
      </c>
      <c r="C255" t="s">
        <v>267</v>
      </c>
      <c r="D255" t="s">
        <v>10</v>
      </c>
      <c r="E255">
        <v>41</v>
      </c>
      <c r="F255" t="str">
        <f>IF(Table1[[#This Row],[Age]]&lt;=25,"Young",IF(Table1[[#This Row],[Age]]&gt;55,"Old",IF(Table1[[#This Row],[Age]]&gt;25,"Middle","Na")))</f>
        <v>Middle</v>
      </c>
      <c r="G255" t="s">
        <v>16</v>
      </c>
      <c r="H255">
        <v>1</v>
      </c>
      <c r="I255">
        <v>500</v>
      </c>
      <c r="J255">
        <v>500</v>
      </c>
    </row>
    <row r="256" spans="1:10" x14ac:dyDescent="0.35">
      <c r="A256">
        <v>255</v>
      </c>
      <c r="B256" s="1">
        <v>45024</v>
      </c>
      <c r="C256" t="s">
        <v>268</v>
      </c>
      <c r="D256" t="s">
        <v>10</v>
      </c>
      <c r="E256">
        <v>48</v>
      </c>
      <c r="F256" t="str">
        <f>IF(Table1[[#This Row],[Age]]&lt;=25,"Young",IF(Table1[[#This Row],[Age]]&gt;55,"Old",IF(Table1[[#This Row],[Age]]&gt;25,"Middle","Na")))</f>
        <v>Middle</v>
      </c>
      <c r="G256" t="s">
        <v>14</v>
      </c>
      <c r="H256">
        <v>1</v>
      </c>
      <c r="I256">
        <v>30</v>
      </c>
      <c r="J256">
        <v>30</v>
      </c>
    </row>
    <row r="257" spans="1:10" x14ac:dyDescent="0.35">
      <c r="A257">
        <v>256</v>
      </c>
      <c r="B257" s="1">
        <v>44975</v>
      </c>
      <c r="C257" t="s">
        <v>269</v>
      </c>
      <c r="D257" t="s">
        <v>10</v>
      </c>
      <c r="E257">
        <v>23</v>
      </c>
      <c r="F257" t="str">
        <f>IF(Table1[[#This Row],[Age]]&lt;=25,"Young",IF(Table1[[#This Row],[Age]]&gt;55,"Old",IF(Table1[[#This Row],[Age]]&gt;25,"Middle","Na")))</f>
        <v>Young</v>
      </c>
      <c r="G257" t="s">
        <v>14</v>
      </c>
      <c r="H257">
        <v>2</v>
      </c>
      <c r="I257">
        <v>500</v>
      </c>
      <c r="J257">
        <v>1000</v>
      </c>
    </row>
    <row r="258" spans="1:10" x14ac:dyDescent="0.35">
      <c r="A258">
        <v>257</v>
      </c>
      <c r="B258" s="1">
        <v>44976</v>
      </c>
      <c r="C258" t="s">
        <v>270</v>
      </c>
      <c r="D258" t="s">
        <v>10</v>
      </c>
      <c r="E258">
        <v>19</v>
      </c>
      <c r="F258" t="str">
        <f>IF(Table1[[#This Row],[Age]]&lt;=25,"Young",IF(Table1[[#This Row],[Age]]&gt;55,"Old",IF(Table1[[#This Row],[Age]]&gt;25,"Middle","Na")))</f>
        <v>Young</v>
      </c>
      <c r="G258" t="s">
        <v>11</v>
      </c>
      <c r="H258">
        <v>4</v>
      </c>
      <c r="I258">
        <v>500</v>
      </c>
      <c r="J258">
        <v>2000</v>
      </c>
    </row>
    <row r="259" spans="1:10" x14ac:dyDescent="0.35">
      <c r="A259">
        <v>258</v>
      </c>
      <c r="B259" s="1">
        <v>45264</v>
      </c>
      <c r="C259" t="s">
        <v>271</v>
      </c>
      <c r="D259" t="s">
        <v>13</v>
      </c>
      <c r="E259">
        <v>37</v>
      </c>
      <c r="F259" t="str">
        <f>IF(Table1[[#This Row],[Age]]&lt;=25,"Young",IF(Table1[[#This Row],[Age]]&gt;55,"Old",IF(Table1[[#This Row],[Age]]&gt;25,"Middle","Na")))</f>
        <v>Middle</v>
      </c>
      <c r="G259" t="s">
        <v>14</v>
      </c>
      <c r="H259">
        <v>1</v>
      </c>
      <c r="I259">
        <v>50</v>
      </c>
      <c r="J259">
        <v>50</v>
      </c>
    </row>
    <row r="260" spans="1:10" x14ac:dyDescent="0.35">
      <c r="A260">
        <v>259</v>
      </c>
      <c r="B260" s="1">
        <v>45147</v>
      </c>
      <c r="C260" t="s">
        <v>272</v>
      </c>
      <c r="D260" t="s">
        <v>13</v>
      </c>
      <c r="E260">
        <v>45</v>
      </c>
      <c r="F260" t="str">
        <f>IF(Table1[[#This Row],[Age]]&lt;=25,"Young",IF(Table1[[#This Row],[Age]]&gt;55,"Old",IF(Table1[[#This Row],[Age]]&gt;25,"Middle","Na")))</f>
        <v>Middle</v>
      </c>
      <c r="G260" t="s">
        <v>14</v>
      </c>
      <c r="H260">
        <v>4</v>
      </c>
      <c r="I260">
        <v>50</v>
      </c>
      <c r="J260">
        <v>200</v>
      </c>
    </row>
    <row r="261" spans="1:10" x14ac:dyDescent="0.35">
      <c r="A261">
        <v>260</v>
      </c>
      <c r="B261" s="1">
        <v>45108</v>
      </c>
      <c r="C261" t="s">
        <v>273</v>
      </c>
      <c r="D261" t="s">
        <v>10</v>
      </c>
      <c r="E261">
        <v>28</v>
      </c>
      <c r="F261" t="str">
        <f>IF(Table1[[#This Row],[Age]]&lt;=25,"Young",IF(Table1[[#This Row],[Age]]&gt;55,"Old",IF(Table1[[#This Row],[Age]]&gt;25,"Middle","Na")))</f>
        <v>Middle</v>
      </c>
      <c r="G261" t="s">
        <v>11</v>
      </c>
      <c r="H261">
        <v>2</v>
      </c>
      <c r="I261">
        <v>30</v>
      </c>
      <c r="J261">
        <v>60</v>
      </c>
    </row>
    <row r="262" spans="1:10" x14ac:dyDescent="0.35">
      <c r="A262">
        <v>261</v>
      </c>
      <c r="B262" s="1">
        <v>45143</v>
      </c>
      <c r="C262" t="s">
        <v>274</v>
      </c>
      <c r="D262" t="s">
        <v>10</v>
      </c>
      <c r="E262">
        <v>21</v>
      </c>
      <c r="F262" t="str">
        <f>IF(Table1[[#This Row],[Age]]&lt;=25,"Young",IF(Table1[[#This Row],[Age]]&gt;55,"Old",IF(Table1[[#This Row],[Age]]&gt;25,"Middle","Na")))</f>
        <v>Young</v>
      </c>
      <c r="G262" t="s">
        <v>14</v>
      </c>
      <c r="H262">
        <v>2</v>
      </c>
      <c r="I262">
        <v>25</v>
      </c>
      <c r="J262">
        <v>50</v>
      </c>
    </row>
    <row r="263" spans="1:10" x14ac:dyDescent="0.35">
      <c r="A263">
        <v>262</v>
      </c>
      <c r="B263" s="1">
        <v>45137</v>
      </c>
      <c r="C263" t="s">
        <v>275</v>
      </c>
      <c r="D263" t="s">
        <v>13</v>
      </c>
      <c r="E263">
        <v>32</v>
      </c>
      <c r="F263" t="str">
        <f>IF(Table1[[#This Row],[Age]]&lt;=25,"Young",IF(Table1[[#This Row],[Age]]&gt;55,"Old",IF(Table1[[#This Row],[Age]]&gt;25,"Middle","Na")))</f>
        <v>Middle</v>
      </c>
      <c r="G263" t="s">
        <v>11</v>
      </c>
      <c r="H263">
        <v>4</v>
      </c>
      <c r="I263">
        <v>30</v>
      </c>
      <c r="J263">
        <v>120</v>
      </c>
    </row>
    <row r="264" spans="1:10" x14ac:dyDescent="0.35">
      <c r="A264">
        <v>263</v>
      </c>
      <c r="B264" s="1">
        <v>45166</v>
      </c>
      <c r="C264" t="s">
        <v>276</v>
      </c>
      <c r="D264" t="s">
        <v>10</v>
      </c>
      <c r="E264">
        <v>23</v>
      </c>
      <c r="F264" t="str">
        <f>IF(Table1[[#This Row],[Age]]&lt;=25,"Young",IF(Table1[[#This Row],[Age]]&gt;55,"Old",IF(Table1[[#This Row],[Age]]&gt;25,"Middle","Na")))</f>
        <v>Young</v>
      </c>
      <c r="G264" t="s">
        <v>11</v>
      </c>
      <c r="H264">
        <v>2</v>
      </c>
      <c r="I264">
        <v>30</v>
      </c>
      <c r="J264">
        <v>60</v>
      </c>
    </row>
    <row r="265" spans="1:10" x14ac:dyDescent="0.35">
      <c r="A265">
        <v>264</v>
      </c>
      <c r="B265" s="1">
        <v>44954</v>
      </c>
      <c r="C265" t="s">
        <v>277</v>
      </c>
      <c r="D265" t="s">
        <v>10</v>
      </c>
      <c r="E265">
        <v>47</v>
      </c>
      <c r="F265" t="str">
        <f>IF(Table1[[#This Row],[Age]]&lt;=25,"Young",IF(Table1[[#This Row],[Age]]&gt;55,"Old",IF(Table1[[#This Row],[Age]]&gt;25,"Middle","Na")))</f>
        <v>Middle</v>
      </c>
      <c r="G265" t="s">
        <v>14</v>
      </c>
      <c r="H265">
        <v>3</v>
      </c>
      <c r="I265">
        <v>300</v>
      </c>
      <c r="J265">
        <v>900</v>
      </c>
    </row>
    <row r="266" spans="1:10" x14ac:dyDescent="0.35">
      <c r="A266">
        <v>265</v>
      </c>
      <c r="B266" s="1">
        <v>45271</v>
      </c>
      <c r="C266" t="s">
        <v>278</v>
      </c>
      <c r="D266" t="s">
        <v>10</v>
      </c>
      <c r="E266">
        <v>55</v>
      </c>
      <c r="F266" t="str">
        <f>IF(Table1[[#This Row],[Age]]&lt;=25,"Young",IF(Table1[[#This Row],[Age]]&gt;55,"Old",IF(Table1[[#This Row],[Age]]&gt;25,"Middle","Na")))</f>
        <v>Middle</v>
      </c>
      <c r="G266" t="s">
        <v>14</v>
      </c>
      <c r="H266">
        <v>3</v>
      </c>
      <c r="I266">
        <v>300</v>
      </c>
      <c r="J266">
        <v>900</v>
      </c>
    </row>
    <row r="267" spans="1:10" x14ac:dyDescent="0.35">
      <c r="A267">
        <v>266</v>
      </c>
      <c r="B267" s="1">
        <v>45261</v>
      </c>
      <c r="C267" t="s">
        <v>279</v>
      </c>
      <c r="D267" t="s">
        <v>13</v>
      </c>
      <c r="E267">
        <v>19</v>
      </c>
      <c r="F267" t="str">
        <f>IF(Table1[[#This Row],[Age]]&lt;=25,"Young",IF(Table1[[#This Row],[Age]]&gt;55,"Old",IF(Table1[[#This Row],[Age]]&gt;25,"Middle","Na")))</f>
        <v>Young</v>
      </c>
      <c r="G267" t="s">
        <v>16</v>
      </c>
      <c r="H267">
        <v>2</v>
      </c>
      <c r="I267">
        <v>30</v>
      </c>
      <c r="J267">
        <v>60</v>
      </c>
    </row>
    <row r="268" spans="1:10" x14ac:dyDescent="0.35">
      <c r="A268">
        <v>267</v>
      </c>
      <c r="B268" s="1">
        <v>45257</v>
      </c>
      <c r="C268" t="s">
        <v>280</v>
      </c>
      <c r="D268" t="s">
        <v>13</v>
      </c>
      <c r="E268">
        <v>32</v>
      </c>
      <c r="F268" t="str">
        <f>IF(Table1[[#This Row],[Age]]&lt;=25,"Young",IF(Table1[[#This Row],[Age]]&gt;55,"Old",IF(Table1[[#This Row],[Age]]&gt;25,"Middle","Na")))</f>
        <v>Middle</v>
      </c>
      <c r="G268" t="s">
        <v>11</v>
      </c>
      <c r="H268">
        <v>3</v>
      </c>
      <c r="I268">
        <v>30</v>
      </c>
      <c r="J268">
        <v>90</v>
      </c>
    </row>
    <row r="269" spans="1:10" x14ac:dyDescent="0.35">
      <c r="A269">
        <v>268</v>
      </c>
      <c r="B269" s="1">
        <v>44977</v>
      </c>
      <c r="C269" t="s">
        <v>281</v>
      </c>
      <c r="D269" t="s">
        <v>13</v>
      </c>
      <c r="E269">
        <v>28</v>
      </c>
      <c r="F269" t="str">
        <f>IF(Table1[[#This Row],[Age]]&lt;=25,"Young",IF(Table1[[#This Row],[Age]]&gt;55,"Old",IF(Table1[[#This Row],[Age]]&gt;25,"Middle","Na")))</f>
        <v>Middle</v>
      </c>
      <c r="G269" t="s">
        <v>16</v>
      </c>
      <c r="H269">
        <v>1</v>
      </c>
      <c r="I269">
        <v>30</v>
      </c>
      <c r="J269">
        <v>30</v>
      </c>
    </row>
    <row r="270" spans="1:10" x14ac:dyDescent="0.35">
      <c r="A270">
        <v>269</v>
      </c>
      <c r="B270" s="1">
        <v>44958</v>
      </c>
      <c r="C270" t="s">
        <v>282</v>
      </c>
      <c r="D270" t="s">
        <v>10</v>
      </c>
      <c r="E270">
        <v>25</v>
      </c>
      <c r="F270" t="str">
        <f>IF(Table1[[#This Row],[Age]]&lt;=25,"Young",IF(Table1[[#This Row],[Age]]&gt;55,"Old",IF(Table1[[#This Row],[Age]]&gt;25,"Middle","Na")))</f>
        <v>Young</v>
      </c>
      <c r="G270" t="s">
        <v>14</v>
      </c>
      <c r="H270">
        <v>4</v>
      </c>
      <c r="I270">
        <v>500</v>
      </c>
      <c r="J270">
        <v>2000</v>
      </c>
    </row>
    <row r="271" spans="1:10" x14ac:dyDescent="0.35">
      <c r="A271">
        <v>270</v>
      </c>
      <c r="B271" s="1">
        <v>45133</v>
      </c>
      <c r="C271" t="s">
        <v>283</v>
      </c>
      <c r="D271" t="s">
        <v>10</v>
      </c>
      <c r="E271">
        <v>43</v>
      </c>
      <c r="F271" t="str">
        <f>IF(Table1[[#This Row],[Age]]&lt;=25,"Young",IF(Table1[[#This Row],[Age]]&gt;55,"Old",IF(Table1[[#This Row],[Age]]&gt;25,"Middle","Na")))</f>
        <v>Middle</v>
      </c>
      <c r="G271" t="s">
        <v>16</v>
      </c>
      <c r="H271">
        <v>1</v>
      </c>
      <c r="I271">
        <v>300</v>
      </c>
      <c r="J271">
        <v>300</v>
      </c>
    </row>
    <row r="272" spans="1:10" x14ac:dyDescent="0.35">
      <c r="A272">
        <v>271</v>
      </c>
      <c r="B272" s="1">
        <v>45100</v>
      </c>
      <c r="C272" t="s">
        <v>284</v>
      </c>
      <c r="D272" t="s">
        <v>13</v>
      </c>
      <c r="E272">
        <v>62</v>
      </c>
      <c r="F272" t="str">
        <f>IF(Table1[[#This Row],[Age]]&lt;=25,"Young",IF(Table1[[#This Row],[Age]]&gt;55,"Old",IF(Table1[[#This Row],[Age]]&gt;25,"Middle","Na")))</f>
        <v>Old</v>
      </c>
      <c r="G272" t="s">
        <v>11</v>
      </c>
      <c r="H272">
        <v>4</v>
      </c>
      <c r="I272">
        <v>30</v>
      </c>
      <c r="J272">
        <v>120</v>
      </c>
    </row>
    <row r="273" spans="1:10" x14ac:dyDescent="0.35">
      <c r="A273">
        <v>272</v>
      </c>
      <c r="B273" s="1">
        <v>44982</v>
      </c>
      <c r="C273" t="s">
        <v>285</v>
      </c>
      <c r="D273" t="s">
        <v>13</v>
      </c>
      <c r="E273">
        <v>61</v>
      </c>
      <c r="F273" t="str">
        <f>IF(Table1[[#This Row],[Age]]&lt;=25,"Young",IF(Table1[[#This Row],[Age]]&gt;55,"Old",IF(Table1[[#This Row],[Age]]&gt;25,"Middle","Na")))</f>
        <v>Old</v>
      </c>
      <c r="G273" t="s">
        <v>16</v>
      </c>
      <c r="H273">
        <v>2</v>
      </c>
      <c r="I273">
        <v>50</v>
      </c>
      <c r="J273">
        <v>100</v>
      </c>
    </row>
    <row r="274" spans="1:10" x14ac:dyDescent="0.35">
      <c r="A274">
        <v>273</v>
      </c>
      <c r="B274" s="1">
        <v>45054</v>
      </c>
      <c r="C274" t="s">
        <v>286</v>
      </c>
      <c r="D274" t="s">
        <v>13</v>
      </c>
      <c r="E274">
        <v>22</v>
      </c>
      <c r="F274" t="str">
        <f>IF(Table1[[#This Row],[Age]]&lt;=25,"Young",IF(Table1[[#This Row],[Age]]&gt;55,"Old",IF(Table1[[#This Row],[Age]]&gt;25,"Middle","Na")))</f>
        <v>Young</v>
      </c>
      <c r="G274" t="s">
        <v>11</v>
      </c>
      <c r="H274">
        <v>1</v>
      </c>
      <c r="I274">
        <v>50</v>
      </c>
      <c r="J274">
        <v>50</v>
      </c>
    </row>
    <row r="275" spans="1:10" x14ac:dyDescent="0.35">
      <c r="A275">
        <v>274</v>
      </c>
      <c r="B275" s="1">
        <v>45025</v>
      </c>
      <c r="C275" t="s">
        <v>287</v>
      </c>
      <c r="D275" t="s">
        <v>13</v>
      </c>
      <c r="E275">
        <v>23</v>
      </c>
      <c r="F275" t="str">
        <f>IF(Table1[[#This Row],[Age]]&lt;=25,"Young",IF(Table1[[#This Row],[Age]]&gt;55,"Old",IF(Table1[[#This Row],[Age]]&gt;25,"Middle","Na")))</f>
        <v>Young</v>
      </c>
      <c r="G275" t="s">
        <v>14</v>
      </c>
      <c r="H275">
        <v>2</v>
      </c>
      <c r="I275">
        <v>500</v>
      </c>
      <c r="J275">
        <v>1000</v>
      </c>
    </row>
    <row r="276" spans="1:10" x14ac:dyDescent="0.35">
      <c r="A276">
        <v>275</v>
      </c>
      <c r="B276" s="1">
        <v>45024</v>
      </c>
      <c r="C276" t="s">
        <v>288</v>
      </c>
      <c r="D276" t="s">
        <v>10</v>
      </c>
      <c r="E276">
        <v>43</v>
      </c>
      <c r="F276" t="str">
        <f>IF(Table1[[#This Row],[Age]]&lt;=25,"Young",IF(Table1[[#This Row],[Age]]&gt;55,"Old",IF(Table1[[#This Row],[Age]]&gt;25,"Middle","Na")))</f>
        <v>Middle</v>
      </c>
      <c r="G276" t="s">
        <v>14</v>
      </c>
      <c r="H276">
        <v>2</v>
      </c>
      <c r="I276">
        <v>500</v>
      </c>
      <c r="J276">
        <v>1000</v>
      </c>
    </row>
    <row r="277" spans="1:10" x14ac:dyDescent="0.35">
      <c r="A277">
        <v>276</v>
      </c>
      <c r="B277" s="1">
        <v>45201</v>
      </c>
      <c r="C277" t="s">
        <v>289</v>
      </c>
      <c r="D277" t="s">
        <v>13</v>
      </c>
      <c r="E277">
        <v>21</v>
      </c>
      <c r="F277" t="str">
        <f>IF(Table1[[#This Row],[Age]]&lt;=25,"Young",IF(Table1[[#This Row],[Age]]&gt;55,"Old",IF(Table1[[#This Row],[Age]]&gt;25,"Middle","Na")))</f>
        <v>Young</v>
      </c>
      <c r="G277" t="s">
        <v>11</v>
      </c>
      <c r="H277">
        <v>4</v>
      </c>
      <c r="I277">
        <v>25</v>
      </c>
      <c r="J277">
        <v>100</v>
      </c>
    </row>
    <row r="278" spans="1:10" x14ac:dyDescent="0.35">
      <c r="A278">
        <v>277</v>
      </c>
      <c r="B278" s="1">
        <v>45156</v>
      </c>
      <c r="C278" t="s">
        <v>290</v>
      </c>
      <c r="D278" t="s">
        <v>10</v>
      </c>
      <c r="E278">
        <v>36</v>
      </c>
      <c r="F278" t="str">
        <f>IF(Table1[[#This Row],[Age]]&lt;=25,"Young",IF(Table1[[#This Row],[Age]]&gt;55,"Old",IF(Table1[[#This Row],[Age]]&gt;25,"Middle","Na")))</f>
        <v>Middle</v>
      </c>
      <c r="G278" t="s">
        <v>14</v>
      </c>
      <c r="H278">
        <v>4</v>
      </c>
      <c r="I278">
        <v>25</v>
      </c>
      <c r="J278">
        <v>100</v>
      </c>
    </row>
    <row r="279" spans="1:10" x14ac:dyDescent="0.35">
      <c r="A279">
        <v>278</v>
      </c>
      <c r="B279" s="1">
        <v>44998</v>
      </c>
      <c r="C279" t="s">
        <v>291</v>
      </c>
      <c r="D279" t="s">
        <v>13</v>
      </c>
      <c r="E279">
        <v>37</v>
      </c>
      <c r="F279" t="str">
        <f>IF(Table1[[#This Row],[Age]]&lt;=25,"Young",IF(Table1[[#This Row],[Age]]&gt;55,"Old",IF(Table1[[#This Row],[Age]]&gt;25,"Middle","Na")))</f>
        <v>Middle</v>
      </c>
      <c r="G279" t="s">
        <v>14</v>
      </c>
      <c r="H279">
        <v>4</v>
      </c>
      <c r="I279">
        <v>25</v>
      </c>
      <c r="J279">
        <v>100</v>
      </c>
    </row>
    <row r="280" spans="1:10" x14ac:dyDescent="0.35">
      <c r="A280">
        <v>279</v>
      </c>
      <c r="B280" s="1">
        <v>45143</v>
      </c>
      <c r="C280" t="s">
        <v>292</v>
      </c>
      <c r="D280" t="s">
        <v>10</v>
      </c>
      <c r="E280">
        <v>50</v>
      </c>
      <c r="F280" t="str">
        <f>IF(Table1[[#This Row],[Age]]&lt;=25,"Young",IF(Table1[[#This Row],[Age]]&gt;55,"Old",IF(Table1[[#This Row],[Age]]&gt;25,"Middle","Na")))</f>
        <v>Middle</v>
      </c>
      <c r="G280" t="s">
        <v>14</v>
      </c>
      <c r="H280">
        <v>1</v>
      </c>
      <c r="I280">
        <v>500</v>
      </c>
      <c r="J280">
        <v>500</v>
      </c>
    </row>
    <row r="281" spans="1:10" x14ac:dyDescent="0.35">
      <c r="A281">
        <v>280</v>
      </c>
      <c r="B281" s="1">
        <v>45020</v>
      </c>
      <c r="C281" t="s">
        <v>293</v>
      </c>
      <c r="D281" t="s">
        <v>13</v>
      </c>
      <c r="E281">
        <v>37</v>
      </c>
      <c r="F281" t="str">
        <f>IF(Table1[[#This Row],[Age]]&lt;=25,"Young",IF(Table1[[#This Row],[Age]]&gt;55,"Old",IF(Table1[[#This Row],[Age]]&gt;25,"Middle","Na")))</f>
        <v>Middle</v>
      </c>
      <c r="G281" t="s">
        <v>14</v>
      </c>
      <c r="H281">
        <v>3</v>
      </c>
      <c r="I281">
        <v>500</v>
      </c>
      <c r="J281">
        <v>1500</v>
      </c>
    </row>
    <row r="282" spans="1:10" x14ac:dyDescent="0.35">
      <c r="A282">
        <v>281</v>
      </c>
      <c r="B282" s="1">
        <v>45069</v>
      </c>
      <c r="C282" t="s">
        <v>294</v>
      </c>
      <c r="D282" t="s">
        <v>13</v>
      </c>
      <c r="E282">
        <v>29</v>
      </c>
      <c r="F282" t="str">
        <f>IF(Table1[[#This Row],[Age]]&lt;=25,"Young",IF(Table1[[#This Row],[Age]]&gt;55,"Old",IF(Table1[[#This Row],[Age]]&gt;25,"Middle","Na")))</f>
        <v>Middle</v>
      </c>
      <c r="G282" t="s">
        <v>11</v>
      </c>
      <c r="H282">
        <v>4</v>
      </c>
      <c r="I282">
        <v>500</v>
      </c>
      <c r="J282">
        <v>2000</v>
      </c>
    </row>
    <row r="283" spans="1:10" x14ac:dyDescent="0.35">
      <c r="A283">
        <v>282</v>
      </c>
      <c r="B283" s="1">
        <v>45163</v>
      </c>
      <c r="C283" t="s">
        <v>295</v>
      </c>
      <c r="D283" t="s">
        <v>13</v>
      </c>
      <c r="E283">
        <v>64</v>
      </c>
      <c r="F283" t="str">
        <f>IF(Table1[[#This Row],[Age]]&lt;=25,"Young",IF(Table1[[#This Row],[Age]]&gt;55,"Old",IF(Table1[[#This Row],[Age]]&gt;25,"Middle","Na")))</f>
        <v>Old</v>
      </c>
      <c r="G283" t="s">
        <v>16</v>
      </c>
      <c r="H283">
        <v>4</v>
      </c>
      <c r="I283">
        <v>50</v>
      </c>
      <c r="J283">
        <v>200</v>
      </c>
    </row>
    <row r="284" spans="1:10" x14ac:dyDescent="0.35">
      <c r="A284">
        <v>283</v>
      </c>
      <c r="B284" s="1">
        <v>45054</v>
      </c>
      <c r="C284" t="s">
        <v>296</v>
      </c>
      <c r="D284" t="s">
        <v>13</v>
      </c>
      <c r="E284">
        <v>18</v>
      </c>
      <c r="F284" t="str">
        <f>IF(Table1[[#This Row],[Age]]&lt;=25,"Young",IF(Table1[[#This Row],[Age]]&gt;55,"Old",IF(Table1[[#This Row],[Age]]&gt;25,"Middle","Na")))</f>
        <v>Young</v>
      </c>
      <c r="G284" t="s">
        <v>16</v>
      </c>
      <c r="H284">
        <v>1</v>
      </c>
      <c r="I284">
        <v>500</v>
      </c>
      <c r="J284">
        <v>500</v>
      </c>
    </row>
    <row r="285" spans="1:10" x14ac:dyDescent="0.35">
      <c r="A285">
        <v>284</v>
      </c>
      <c r="B285" s="1">
        <v>44965</v>
      </c>
      <c r="C285" t="s">
        <v>297</v>
      </c>
      <c r="D285" t="s">
        <v>10</v>
      </c>
      <c r="E285">
        <v>43</v>
      </c>
      <c r="F285" t="str">
        <f>IF(Table1[[#This Row],[Age]]&lt;=25,"Young",IF(Table1[[#This Row],[Age]]&gt;55,"Old",IF(Table1[[#This Row],[Age]]&gt;25,"Middle","Na")))</f>
        <v>Middle</v>
      </c>
      <c r="G285" t="s">
        <v>14</v>
      </c>
      <c r="H285">
        <v>4</v>
      </c>
      <c r="I285">
        <v>50</v>
      </c>
      <c r="J285">
        <v>200</v>
      </c>
    </row>
    <row r="286" spans="1:10" x14ac:dyDescent="0.35">
      <c r="A286">
        <v>285</v>
      </c>
      <c r="B286" s="1">
        <v>45153</v>
      </c>
      <c r="C286" t="s">
        <v>298</v>
      </c>
      <c r="D286" t="s">
        <v>13</v>
      </c>
      <c r="E286">
        <v>31</v>
      </c>
      <c r="F286" t="str">
        <f>IF(Table1[[#This Row],[Age]]&lt;=25,"Young",IF(Table1[[#This Row],[Age]]&gt;55,"Old",IF(Table1[[#This Row],[Age]]&gt;25,"Middle","Na")))</f>
        <v>Middle</v>
      </c>
      <c r="G286" t="s">
        <v>16</v>
      </c>
      <c r="H286">
        <v>1</v>
      </c>
      <c r="I286">
        <v>25</v>
      </c>
      <c r="J286">
        <v>25</v>
      </c>
    </row>
    <row r="287" spans="1:10" x14ac:dyDescent="0.35">
      <c r="A287">
        <v>286</v>
      </c>
      <c r="B287" s="1">
        <v>45208</v>
      </c>
      <c r="C287" t="s">
        <v>299</v>
      </c>
      <c r="D287" t="s">
        <v>10</v>
      </c>
      <c r="E287">
        <v>55</v>
      </c>
      <c r="F287" t="str">
        <f>IF(Table1[[#This Row],[Age]]&lt;=25,"Young",IF(Table1[[#This Row],[Age]]&gt;55,"Old",IF(Table1[[#This Row],[Age]]&gt;25,"Middle","Na")))</f>
        <v>Middle</v>
      </c>
      <c r="G287" t="s">
        <v>16</v>
      </c>
      <c r="H287">
        <v>2</v>
      </c>
      <c r="I287">
        <v>25</v>
      </c>
      <c r="J287">
        <v>50</v>
      </c>
    </row>
    <row r="288" spans="1:10" x14ac:dyDescent="0.35">
      <c r="A288">
        <v>287</v>
      </c>
      <c r="B288" s="1">
        <v>44977</v>
      </c>
      <c r="C288" t="s">
        <v>300</v>
      </c>
      <c r="D288" t="s">
        <v>10</v>
      </c>
      <c r="E288">
        <v>54</v>
      </c>
      <c r="F288" t="str">
        <f>IF(Table1[[#This Row],[Age]]&lt;=25,"Young",IF(Table1[[#This Row],[Age]]&gt;55,"Old",IF(Table1[[#This Row],[Age]]&gt;25,"Middle","Na")))</f>
        <v>Middle</v>
      </c>
      <c r="G288" t="s">
        <v>14</v>
      </c>
      <c r="H288">
        <v>4</v>
      </c>
      <c r="I288">
        <v>25</v>
      </c>
      <c r="J288">
        <v>100</v>
      </c>
    </row>
    <row r="289" spans="1:10" x14ac:dyDescent="0.35">
      <c r="A289">
        <v>288</v>
      </c>
      <c r="B289" s="1">
        <v>44952</v>
      </c>
      <c r="C289" t="s">
        <v>301</v>
      </c>
      <c r="D289" t="s">
        <v>10</v>
      </c>
      <c r="E289">
        <v>28</v>
      </c>
      <c r="F289" t="str">
        <f>IF(Table1[[#This Row],[Age]]&lt;=25,"Young",IF(Table1[[#This Row],[Age]]&gt;55,"Old",IF(Table1[[#This Row],[Age]]&gt;25,"Middle","Na")))</f>
        <v>Middle</v>
      </c>
      <c r="G289" t="s">
        <v>14</v>
      </c>
      <c r="H289">
        <v>4</v>
      </c>
      <c r="I289">
        <v>30</v>
      </c>
      <c r="J289">
        <v>120</v>
      </c>
    </row>
    <row r="290" spans="1:10" x14ac:dyDescent="0.35">
      <c r="A290">
        <v>289</v>
      </c>
      <c r="B290" s="1">
        <v>45260</v>
      </c>
      <c r="C290" t="s">
        <v>302</v>
      </c>
      <c r="D290" t="s">
        <v>10</v>
      </c>
      <c r="E290">
        <v>53</v>
      </c>
      <c r="F290" t="str">
        <f>IF(Table1[[#This Row],[Age]]&lt;=25,"Young",IF(Table1[[#This Row],[Age]]&gt;55,"Old",IF(Table1[[#This Row],[Age]]&gt;25,"Middle","Na")))</f>
        <v>Middle</v>
      </c>
      <c r="G290" t="s">
        <v>16</v>
      </c>
      <c r="H290">
        <v>2</v>
      </c>
      <c r="I290">
        <v>30</v>
      </c>
      <c r="J290">
        <v>60</v>
      </c>
    </row>
    <row r="291" spans="1:10" x14ac:dyDescent="0.35">
      <c r="A291">
        <v>290</v>
      </c>
      <c r="B291" s="1">
        <v>45203</v>
      </c>
      <c r="C291" t="s">
        <v>303</v>
      </c>
      <c r="D291" t="s">
        <v>13</v>
      </c>
      <c r="E291">
        <v>30</v>
      </c>
      <c r="F291" t="str">
        <f>IF(Table1[[#This Row],[Age]]&lt;=25,"Young",IF(Table1[[#This Row],[Age]]&gt;55,"Old",IF(Table1[[#This Row],[Age]]&gt;25,"Middle","Na")))</f>
        <v>Middle</v>
      </c>
      <c r="G291" t="s">
        <v>11</v>
      </c>
      <c r="H291">
        <v>2</v>
      </c>
      <c r="I291">
        <v>300</v>
      </c>
      <c r="J291">
        <v>600</v>
      </c>
    </row>
    <row r="292" spans="1:10" x14ac:dyDescent="0.35">
      <c r="A292">
        <v>291</v>
      </c>
      <c r="B292" s="1">
        <v>44934</v>
      </c>
      <c r="C292" t="s">
        <v>304</v>
      </c>
      <c r="D292" t="s">
        <v>10</v>
      </c>
      <c r="E292">
        <v>60</v>
      </c>
      <c r="F292" t="str">
        <f>IF(Table1[[#This Row],[Age]]&lt;=25,"Young",IF(Table1[[#This Row],[Age]]&gt;55,"Old",IF(Table1[[#This Row],[Age]]&gt;25,"Middle","Na")))</f>
        <v>Old</v>
      </c>
      <c r="G292" t="s">
        <v>14</v>
      </c>
      <c r="H292">
        <v>2</v>
      </c>
      <c r="I292">
        <v>300</v>
      </c>
      <c r="J292">
        <v>600</v>
      </c>
    </row>
    <row r="293" spans="1:10" x14ac:dyDescent="0.35">
      <c r="A293">
        <v>292</v>
      </c>
      <c r="B293" s="1">
        <v>44974</v>
      </c>
      <c r="C293" t="s">
        <v>305</v>
      </c>
      <c r="D293" t="s">
        <v>10</v>
      </c>
      <c r="E293">
        <v>20</v>
      </c>
      <c r="F293" t="str">
        <f>IF(Table1[[#This Row],[Age]]&lt;=25,"Young",IF(Table1[[#This Row],[Age]]&gt;55,"Old",IF(Table1[[#This Row],[Age]]&gt;25,"Middle","Na")))</f>
        <v>Young</v>
      </c>
      <c r="G293" t="s">
        <v>11</v>
      </c>
      <c r="H293">
        <v>4</v>
      </c>
      <c r="I293">
        <v>300</v>
      </c>
      <c r="J293">
        <v>1200</v>
      </c>
    </row>
    <row r="294" spans="1:10" x14ac:dyDescent="0.35">
      <c r="A294">
        <v>293</v>
      </c>
      <c r="B294" s="1">
        <v>45048</v>
      </c>
      <c r="C294" t="s">
        <v>306</v>
      </c>
      <c r="D294" t="s">
        <v>10</v>
      </c>
      <c r="E294">
        <v>50</v>
      </c>
      <c r="F294" t="str">
        <f>IF(Table1[[#This Row],[Age]]&lt;=25,"Young",IF(Table1[[#This Row],[Age]]&gt;55,"Old",IF(Table1[[#This Row],[Age]]&gt;25,"Middle","Na")))</f>
        <v>Middle</v>
      </c>
      <c r="G294" t="s">
        <v>16</v>
      </c>
      <c r="H294">
        <v>3</v>
      </c>
      <c r="I294">
        <v>30</v>
      </c>
      <c r="J294">
        <v>90</v>
      </c>
    </row>
    <row r="295" spans="1:10" x14ac:dyDescent="0.35">
      <c r="A295">
        <v>294</v>
      </c>
      <c r="B295" s="1">
        <v>45012</v>
      </c>
      <c r="C295" t="s">
        <v>307</v>
      </c>
      <c r="D295" t="s">
        <v>13</v>
      </c>
      <c r="E295">
        <v>23</v>
      </c>
      <c r="F295" t="str">
        <f>IF(Table1[[#This Row],[Age]]&lt;=25,"Young",IF(Table1[[#This Row],[Age]]&gt;55,"Old",IF(Table1[[#This Row],[Age]]&gt;25,"Middle","Na")))</f>
        <v>Young</v>
      </c>
      <c r="G295" t="s">
        <v>14</v>
      </c>
      <c r="H295">
        <v>3</v>
      </c>
      <c r="I295">
        <v>30</v>
      </c>
      <c r="J295">
        <v>90</v>
      </c>
    </row>
    <row r="296" spans="1:10" x14ac:dyDescent="0.35">
      <c r="A296">
        <v>295</v>
      </c>
      <c r="B296" s="1">
        <v>45135</v>
      </c>
      <c r="C296" t="s">
        <v>308</v>
      </c>
      <c r="D296" t="s">
        <v>13</v>
      </c>
      <c r="E296">
        <v>27</v>
      </c>
      <c r="F296" t="str">
        <f>IF(Table1[[#This Row],[Age]]&lt;=25,"Young",IF(Table1[[#This Row],[Age]]&gt;55,"Old",IF(Table1[[#This Row],[Age]]&gt;25,"Middle","Na")))</f>
        <v>Middle</v>
      </c>
      <c r="G296" t="s">
        <v>11</v>
      </c>
      <c r="H296">
        <v>3</v>
      </c>
      <c r="I296">
        <v>300</v>
      </c>
      <c r="J296">
        <v>900</v>
      </c>
    </row>
    <row r="297" spans="1:10" x14ac:dyDescent="0.35">
      <c r="A297">
        <v>296</v>
      </c>
      <c r="B297" s="1">
        <v>45175</v>
      </c>
      <c r="C297" t="s">
        <v>309</v>
      </c>
      <c r="D297" t="s">
        <v>13</v>
      </c>
      <c r="E297">
        <v>22</v>
      </c>
      <c r="F297" t="str">
        <f>IF(Table1[[#This Row],[Age]]&lt;=25,"Young",IF(Table1[[#This Row],[Age]]&gt;55,"Old",IF(Table1[[#This Row],[Age]]&gt;25,"Middle","Na")))</f>
        <v>Young</v>
      </c>
      <c r="G297" t="s">
        <v>14</v>
      </c>
      <c r="H297">
        <v>4</v>
      </c>
      <c r="I297">
        <v>300</v>
      </c>
      <c r="J297">
        <v>1200</v>
      </c>
    </row>
    <row r="298" spans="1:10" x14ac:dyDescent="0.35">
      <c r="A298">
        <v>297</v>
      </c>
      <c r="B298" s="1">
        <v>45173</v>
      </c>
      <c r="C298" t="s">
        <v>310</v>
      </c>
      <c r="D298" t="s">
        <v>13</v>
      </c>
      <c r="E298">
        <v>40</v>
      </c>
      <c r="F298" t="str">
        <f>IF(Table1[[#This Row],[Age]]&lt;=25,"Young",IF(Table1[[#This Row],[Age]]&gt;55,"Old",IF(Table1[[#This Row],[Age]]&gt;25,"Middle","Na")))</f>
        <v>Middle</v>
      </c>
      <c r="G298" t="s">
        <v>16</v>
      </c>
      <c r="H298">
        <v>2</v>
      </c>
      <c r="I298">
        <v>500</v>
      </c>
      <c r="J298">
        <v>1000</v>
      </c>
    </row>
    <row r="299" spans="1:10" x14ac:dyDescent="0.35">
      <c r="A299">
        <v>298</v>
      </c>
      <c r="B299" s="1">
        <v>45036</v>
      </c>
      <c r="C299" t="s">
        <v>311</v>
      </c>
      <c r="D299" t="s">
        <v>10</v>
      </c>
      <c r="E299">
        <v>27</v>
      </c>
      <c r="F299" t="str">
        <f>IF(Table1[[#This Row],[Age]]&lt;=25,"Young",IF(Table1[[#This Row],[Age]]&gt;55,"Old",IF(Table1[[#This Row],[Age]]&gt;25,"Middle","Na")))</f>
        <v>Middle</v>
      </c>
      <c r="G299" t="s">
        <v>11</v>
      </c>
      <c r="H299">
        <v>4</v>
      </c>
      <c r="I299">
        <v>300</v>
      </c>
      <c r="J299">
        <v>1200</v>
      </c>
    </row>
    <row r="300" spans="1:10" x14ac:dyDescent="0.35">
      <c r="A300">
        <v>299</v>
      </c>
      <c r="B300" s="1">
        <v>45132</v>
      </c>
      <c r="C300" t="s">
        <v>312</v>
      </c>
      <c r="D300" t="s">
        <v>10</v>
      </c>
      <c r="E300">
        <v>61</v>
      </c>
      <c r="F300" t="str">
        <f>IF(Table1[[#This Row],[Age]]&lt;=25,"Young",IF(Table1[[#This Row],[Age]]&gt;55,"Old",IF(Table1[[#This Row],[Age]]&gt;25,"Middle","Na")))</f>
        <v>Old</v>
      </c>
      <c r="G300" t="s">
        <v>16</v>
      </c>
      <c r="H300">
        <v>2</v>
      </c>
      <c r="I300">
        <v>500</v>
      </c>
      <c r="J300">
        <v>1000</v>
      </c>
    </row>
    <row r="301" spans="1:10" x14ac:dyDescent="0.35">
      <c r="A301">
        <v>300</v>
      </c>
      <c r="B301" s="1">
        <v>44957</v>
      </c>
      <c r="C301" t="s">
        <v>313</v>
      </c>
      <c r="D301" t="s">
        <v>13</v>
      </c>
      <c r="E301">
        <v>19</v>
      </c>
      <c r="F301" t="str">
        <f>IF(Table1[[#This Row],[Age]]&lt;=25,"Young",IF(Table1[[#This Row],[Age]]&gt;55,"Old",IF(Table1[[#This Row],[Age]]&gt;25,"Middle","Na")))</f>
        <v>Young</v>
      </c>
      <c r="G301" t="s">
        <v>16</v>
      </c>
      <c r="H301">
        <v>4</v>
      </c>
      <c r="I301">
        <v>50</v>
      </c>
      <c r="J301">
        <v>200</v>
      </c>
    </row>
    <row r="302" spans="1:10" x14ac:dyDescent="0.35">
      <c r="A302">
        <v>301</v>
      </c>
      <c r="B302" s="1">
        <v>45011</v>
      </c>
      <c r="C302" t="s">
        <v>314</v>
      </c>
      <c r="D302" t="s">
        <v>10</v>
      </c>
      <c r="E302">
        <v>30</v>
      </c>
      <c r="F302" t="str">
        <f>IF(Table1[[#This Row],[Age]]&lt;=25,"Young",IF(Table1[[#This Row],[Age]]&gt;55,"Old",IF(Table1[[#This Row],[Age]]&gt;25,"Middle","Na")))</f>
        <v>Middle</v>
      </c>
      <c r="G302" t="s">
        <v>14</v>
      </c>
      <c r="H302">
        <v>4</v>
      </c>
      <c r="I302">
        <v>30</v>
      </c>
      <c r="J302">
        <v>120</v>
      </c>
    </row>
    <row r="303" spans="1:10" x14ac:dyDescent="0.35">
      <c r="A303">
        <v>302</v>
      </c>
      <c r="B303" s="1">
        <v>45121</v>
      </c>
      <c r="C303" t="s">
        <v>315</v>
      </c>
      <c r="D303" t="s">
        <v>10</v>
      </c>
      <c r="E303">
        <v>57</v>
      </c>
      <c r="F303" t="str">
        <f>IF(Table1[[#This Row],[Age]]&lt;=25,"Young",IF(Table1[[#This Row],[Age]]&gt;55,"Old",IF(Table1[[#This Row],[Age]]&gt;25,"Middle","Na")))</f>
        <v>Old</v>
      </c>
      <c r="G303" t="s">
        <v>11</v>
      </c>
      <c r="H303">
        <v>2</v>
      </c>
      <c r="I303">
        <v>300</v>
      </c>
      <c r="J303">
        <v>600</v>
      </c>
    </row>
    <row r="304" spans="1:10" x14ac:dyDescent="0.35">
      <c r="A304">
        <v>303</v>
      </c>
      <c r="B304" s="1">
        <v>44928</v>
      </c>
      <c r="C304" t="s">
        <v>316</v>
      </c>
      <c r="D304" t="s">
        <v>10</v>
      </c>
      <c r="E304">
        <v>19</v>
      </c>
      <c r="F304" t="str">
        <f>IF(Table1[[#This Row],[Age]]&lt;=25,"Young",IF(Table1[[#This Row],[Age]]&gt;55,"Old",IF(Table1[[#This Row],[Age]]&gt;25,"Middle","Na")))</f>
        <v>Young</v>
      </c>
      <c r="G304" t="s">
        <v>16</v>
      </c>
      <c r="H304">
        <v>3</v>
      </c>
      <c r="I304">
        <v>30</v>
      </c>
      <c r="J304">
        <v>90</v>
      </c>
    </row>
    <row r="305" spans="1:10" x14ac:dyDescent="0.35">
      <c r="A305">
        <v>304</v>
      </c>
      <c r="B305" s="1">
        <v>45126</v>
      </c>
      <c r="C305" t="s">
        <v>317</v>
      </c>
      <c r="D305" t="s">
        <v>13</v>
      </c>
      <c r="E305">
        <v>37</v>
      </c>
      <c r="F305" t="str">
        <f>IF(Table1[[#This Row],[Age]]&lt;=25,"Young",IF(Table1[[#This Row],[Age]]&gt;55,"Old",IF(Table1[[#This Row],[Age]]&gt;25,"Middle","Na")))</f>
        <v>Middle</v>
      </c>
      <c r="G305" t="s">
        <v>16</v>
      </c>
      <c r="H305">
        <v>2</v>
      </c>
      <c r="I305">
        <v>30</v>
      </c>
      <c r="J305">
        <v>60</v>
      </c>
    </row>
    <row r="306" spans="1:10" x14ac:dyDescent="0.35">
      <c r="A306">
        <v>305</v>
      </c>
      <c r="B306" s="1">
        <v>45062</v>
      </c>
      <c r="C306" t="s">
        <v>318</v>
      </c>
      <c r="D306" t="s">
        <v>13</v>
      </c>
      <c r="E306">
        <v>18</v>
      </c>
      <c r="F306" t="str">
        <f>IF(Table1[[#This Row],[Age]]&lt;=25,"Young",IF(Table1[[#This Row],[Age]]&gt;55,"Old",IF(Table1[[#This Row],[Age]]&gt;25,"Middle","Na")))</f>
        <v>Young</v>
      </c>
      <c r="G306" t="s">
        <v>11</v>
      </c>
      <c r="H306">
        <v>1</v>
      </c>
      <c r="I306">
        <v>30</v>
      </c>
      <c r="J306">
        <v>30</v>
      </c>
    </row>
    <row r="307" spans="1:10" x14ac:dyDescent="0.35">
      <c r="A307">
        <v>306</v>
      </c>
      <c r="B307" s="1">
        <v>45159</v>
      </c>
      <c r="C307" t="s">
        <v>319</v>
      </c>
      <c r="D307" t="s">
        <v>10</v>
      </c>
      <c r="E307">
        <v>54</v>
      </c>
      <c r="F307" t="str">
        <f>IF(Table1[[#This Row],[Age]]&lt;=25,"Young",IF(Table1[[#This Row],[Age]]&gt;55,"Old",IF(Table1[[#This Row],[Age]]&gt;25,"Middle","Na")))</f>
        <v>Middle</v>
      </c>
      <c r="G307" t="s">
        <v>16</v>
      </c>
      <c r="H307">
        <v>1</v>
      </c>
      <c r="I307">
        <v>50</v>
      </c>
      <c r="J307">
        <v>50</v>
      </c>
    </row>
    <row r="308" spans="1:10" x14ac:dyDescent="0.35">
      <c r="A308">
        <v>307</v>
      </c>
      <c r="B308" s="1">
        <v>45073</v>
      </c>
      <c r="C308" t="s">
        <v>320</v>
      </c>
      <c r="D308" t="s">
        <v>13</v>
      </c>
      <c r="E308">
        <v>26</v>
      </c>
      <c r="F308" t="str">
        <f>IF(Table1[[#This Row],[Age]]&lt;=25,"Young",IF(Table1[[#This Row],[Age]]&gt;55,"Old",IF(Table1[[#This Row],[Age]]&gt;25,"Middle","Na")))</f>
        <v>Middle</v>
      </c>
      <c r="G308" t="s">
        <v>16</v>
      </c>
      <c r="H308">
        <v>2</v>
      </c>
      <c r="I308">
        <v>25</v>
      </c>
      <c r="J308">
        <v>50</v>
      </c>
    </row>
    <row r="309" spans="1:10" x14ac:dyDescent="0.35">
      <c r="A309">
        <v>308</v>
      </c>
      <c r="B309" s="1">
        <v>45143</v>
      </c>
      <c r="C309" t="s">
        <v>321</v>
      </c>
      <c r="D309" t="s">
        <v>13</v>
      </c>
      <c r="E309">
        <v>34</v>
      </c>
      <c r="F309" t="str">
        <f>IF(Table1[[#This Row],[Age]]&lt;=25,"Young",IF(Table1[[#This Row],[Age]]&gt;55,"Old",IF(Table1[[#This Row],[Age]]&gt;25,"Middle","Na")))</f>
        <v>Middle</v>
      </c>
      <c r="G309" t="s">
        <v>11</v>
      </c>
      <c r="H309">
        <v>4</v>
      </c>
      <c r="I309">
        <v>300</v>
      </c>
      <c r="J309">
        <v>1200</v>
      </c>
    </row>
    <row r="310" spans="1:10" x14ac:dyDescent="0.35">
      <c r="A310">
        <v>309</v>
      </c>
      <c r="B310" s="1">
        <v>45283</v>
      </c>
      <c r="C310" t="s">
        <v>322</v>
      </c>
      <c r="D310" t="s">
        <v>13</v>
      </c>
      <c r="E310">
        <v>26</v>
      </c>
      <c r="F310" t="str">
        <f>IF(Table1[[#This Row],[Age]]&lt;=25,"Young",IF(Table1[[#This Row],[Age]]&gt;55,"Old",IF(Table1[[#This Row],[Age]]&gt;25,"Middle","Na")))</f>
        <v>Middle</v>
      </c>
      <c r="G310" t="s">
        <v>11</v>
      </c>
      <c r="H310">
        <v>1</v>
      </c>
      <c r="I310">
        <v>25</v>
      </c>
      <c r="J310">
        <v>25</v>
      </c>
    </row>
    <row r="311" spans="1:10" x14ac:dyDescent="0.35">
      <c r="A311">
        <v>310</v>
      </c>
      <c r="B311" s="1">
        <v>45211</v>
      </c>
      <c r="C311" t="s">
        <v>323</v>
      </c>
      <c r="D311" t="s">
        <v>13</v>
      </c>
      <c r="E311">
        <v>28</v>
      </c>
      <c r="F311" t="str">
        <f>IF(Table1[[#This Row],[Age]]&lt;=25,"Young",IF(Table1[[#This Row],[Age]]&gt;55,"Old",IF(Table1[[#This Row],[Age]]&gt;25,"Middle","Na")))</f>
        <v>Middle</v>
      </c>
      <c r="G311" t="s">
        <v>11</v>
      </c>
      <c r="H311">
        <v>1</v>
      </c>
      <c r="I311">
        <v>25</v>
      </c>
      <c r="J311">
        <v>25</v>
      </c>
    </row>
    <row r="312" spans="1:10" x14ac:dyDescent="0.35">
      <c r="A312">
        <v>311</v>
      </c>
      <c r="B312" s="1">
        <v>45265</v>
      </c>
      <c r="C312" t="s">
        <v>324</v>
      </c>
      <c r="D312" t="s">
        <v>13</v>
      </c>
      <c r="E312">
        <v>32</v>
      </c>
      <c r="F312" t="str">
        <f>IF(Table1[[#This Row],[Age]]&lt;=25,"Young",IF(Table1[[#This Row],[Age]]&gt;55,"Old",IF(Table1[[#This Row],[Age]]&gt;25,"Middle","Na")))</f>
        <v>Middle</v>
      </c>
      <c r="G312" t="s">
        <v>11</v>
      </c>
      <c r="H312">
        <v>4</v>
      </c>
      <c r="I312">
        <v>25</v>
      </c>
      <c r="J312">
        <v>100</v>
      </c>
    </row>
    <row r="313" spans="1:10" x14ac:dyDescent="0.35">
      <c r="A313">
        <v>312</v>
      </c>
      <c r="B313" s="1">
        <v>45176</v>
      </c>
      <c r="C313" t="s">
        <v>325</v>
      </c>
      <c r="D313" t="s">
        <v>10</v>
      </c>
      <c r="E313">
        <v>41</v>
      </c>
      <c r="F313" t="str">
        <f>IF(Table1[[#This Row],[Age]]&lt;=25,"Young",IF(Table1[[#This Row],[Age]]&gt;55,"Old",IF(Table1[[#This Row],[Age]]&gt;25,"Middle","Na")))</f>
        <v>Middle</v>
      </c>
      <c r="G313" t="s">
        <v>14</v>
      </c>
      <c r="H313">
        <v>4</v>
      </c>
      <c r="I313">
        <v>30</v>
      </c>
      <c r="J313">
        <v>120</v>
      </c>
    </row>
    <row r="314" spans="1:10" x14ac:dyDescent="0.35">
      <c r="A314">
        <v>313</v>
      </c>
      <c r="B314" s="1">
        <v>45006</v>
      </c>
      <c r="C314" t="s">
        <v>326</v>
      </c>
      <c r="D314" t="s">
        <v>13</v>
      </c>
      <c r="E314">
        <v>55</v>
      </c>
      <c r="F314" t="str">
        <f>IF(Table1[[#This Row],[Age]]&lt;=25,"Young",IF(Table1[[#This Row],[Age]]&gt;55,"Old",IF(Table1[[#This Row],[Age]]&gt;25,"Middle","Na")))</f>
        <v>Middle</v>
      </c>
      <c r="G314" t="s">
        <v>11</v>
      </c>
      <c r="H314">
        <v>3</v>
      </c>
      <c r="I314">
        <v>500</v>
      </c>
      <c r="J314">
        <v>1500</v>
      </c>
    </row>
    <row r="315" spans="1:10" x14ac:dyDescent="0.35">
      <c r="A315">
        <v>314</v>
      </c>
      <c r="B315" s="1">
        <v>45024</v>
      </c>
      <c r="C315" t="s">
        <v>327</v>
      </c>
      <c r="D315" t="s">
        <v>10</v>
      </c>
      <c r="E315">
        <v>52</v>
      </c>
      <c r="F315" t="str">
        <f>IF(Table1[[#This Row],[Age]]&lt;=25,"Young",IF(Table1[[#This Row],[Age]]&gt;55,"Old",IF(Table1[[#This Row],[Age]]&gt;25,"Middle","Na")))</f>
        <v>Middle</v>
      </c>
      <c r="G315" t="s">
        <v>14</v>
      </c>
      <c r="H315">
        <v>4</v>
      </c>
      <c r="I315">
        <v>30</v>
      </c>
      <c r="J315">
        <v>120</v>
      </c>
    </row>
    <row r="316" spans="1:10" x14ac:dyDescent="0.35">
      <c r="A316">
        <v>315</v>
      </c>
      <c r="B316" s="1">
        <v>45078</v>
      </c>
      <c r="C316" t="s">
        <v>328</v>
      </c>
      <c r="D316" t="s">
        <v>10</v>
      </c>
      <c r="E316">
        <v>47</v>
      </c>
      <c r="F316" t="str">
        <f>IF(Table1[[#This Row],[Age]]&lt;=25,"Young",IF(Table1[[#This Row],[Age]]&gt;55,"Old",IF(Table1[[#This Row],[Age]]&gt;25,"Middle","Na")))</f>
        <v>Middle</v>
      </c>
      <c r="G316" t="s">
        <v>14</v>
      </c>
      <c r="H316">
        <v>2</v>
      </c>
      <c r="I316">
        <v>30</v>
      </c>
      <c r="J316">
        <v>60</v>
      </c>
    </row>
    <row r="317" spans="1:10" x14ac:dyDescent="0.35">
      <c r="A317">
        <v>316</v>
      </c>
      <c r="B317" s="1">
        <v>45038</v>
      </c>
      <c r="C317" t="s">
        <v>329</v>
      </c>
      <c r="D317" t="s">
        <v>13</v>
      </c>
      <c r="E317">
        <v>48</v>
      </c>
      <c r="F317" t="str">
        <f>IF(Table1[[#This Row],[Age]]&lt;=25,"Young",IF(Table1[[#This Row],[Age]]&gt;55,"Old",IF(Table1[[#This Row],[Age]]&gt;25,"Middle","Na")))</f>
        <v>Middle</v>
      </c>
      <c r="G317" t="s">
        <v>14</v>
      </c>
      <c r="H317">
        <v>2</v>
      </c>
      <c r="I317">
        <v>25</v>
      </c>
      <c r="J317">
        <v>50</v>
      </c>
    </row>
    <row r="318" spans="1:10" x14ac:dyDescent="0.35">
      <c r="A318">
        <v>317</v>
      </c>
      <c r="B318" s="1">
        <v>44956</v>
      </c>
      <c r="C318" t="s">
        <v>330</v>
      </c>
      <c r="D318" t="s">
        <v>10</v>
      </c>
      <c r="E318">
        <v>22</v>
      </c>
      <c r="F318" t="str">
        <f>IF(Table1[[#This Row],[Age]]&lt;=25,"Young",IF(Table1[[#This Row],[Age]]&gt;55,"Old",IF(Table1[[#This Row],[Age]]&gt;25,"Middle","Na")))</f>
        <v>Young</v>
      </c>
      <c r="G318" t="s">
        <v>16</v>
      </c>
      <c r="H318">
        <v>3</v>
      </c>
      <c r="I318">
        <v>30</v>
      </c>
      <c r="J318">
        <v>90</v>
      </c>
    </row>
    <row r="319" spans="1:10" x14ac:dyDescent="0.35">
      <c r="A319">
        <v>318</v>
      </c>
      <c r="B319" s="1">
        <v>45223</v>
      </c>
      <c r="C319" t="s">
        <v>331</v>
      </c>
      <c r="D319" t="s">
        <v>10</v>
      </c>
      <c r="E319">
        <v>61</v>
      </c>
      <c r="F319" t="str">
        <f>IF(Table1[[#This Row],[Age]]&lt;=25,"Young",IF(Table1[[#This Row],[Age]]&gt;55,"Old",IF(Table1[[#This Row],[Age]]&gt;25,"Middle","Na")))</f>
        <v>Old</v>
      </c>
      <c r="G319" t="s">
        <v>14</v>
      </c>
      <c r="H319">
        <v>1</v>
      </c>
      <c r="I319">
        <v>25</v>
      </c>
      <c r="J319">
        <v>25</v>
      </c>
    </row>
    <row r="320" spans="1:10" x14ac:dyDescent="0.35">
      <c r="A320">
        <v>319</v>
      </c>
      <c r="B320" s="1">
        <v>45204</v>
      </c>
      <c r="C320" t="s">
        <v>332</v>
      </c>
      <c r="D320" t="s">
        <v>10</v>
      </c>
      <c r="E320">
        <v>31</v>
      </c>
      <c r="F320" t="str">
        <f>IF(Table1[[#This Row],[Age]]&lt;=25,"Young",IF(Table1[[#This Row],[Age]]&gt;55,"Old",IF(Table1[[#This Row],[Age]]&gt;25,"Middle","Na")))</f>
        <v>Middle</v>
      </c>
      <c r="G320" t="s">
        <v>14</v>
      </c>
      <c r="H320">
        <v>1</v>
      </c>
      <c r="I320">
        <v>500</v>
      </c>
      <c r="J320">
        <v>500</v>
      </c>
    </row>
    <row r="321" spans="1:10" x14ac:dyDescent="0.35">
      <c r="A321">
        <v>320</v>
      </c>
      <c r="B321" s="1">
        <v>44958</v>
      </c>
      <c r="C321" t="s">
        <v>333</v>
      </c>
      <c r="D321" t="s">
        <v>13</v>
      </c>
      <c r="E321">
        <v>28</v>
      </c>
      <c r="F321" t="str">
        <f>IF(Table1[[#This Row],[Age]]&lt;=25,"Young",IF(Table1[[#This Row],[Age]]&gt;55,"Old",IF(Table1[[#This Row],[Age]]&gt;25,"Middle","Na")))</f>
        <v>Middle</v>
      </c>
      <c r="G321" t="s">
        <v>16</v>
      </c>
      <c r="H321">
        <v>4</v>
      </c>
      <c r="I321">
        <v>300</v>
      </c>
      <c r="J321">
        <v>1200</v>
      </c>
    </row>
    <row r="322" spans="1:10" x14ac:dyDescent="0.35">
      <c r="A322">
        <v>321</v>
      </c>
      <c r="B322" s="1">
        <v>45087</v>
      </c>
      <c r="C322" t="s">
        <v>334</v>
      </c>
      <c r="D322" t="s">
        <v>13</v>
      </c>
      <c r="E322">
        <v>26</v>
      </c>
      <c r="F322" t="str">
        <f>IF(Table1[[#This Row],[Age]]&lt;=25,"Young",IF(Table1[[#This Row],[Age]]&gt;55,"Old",IF(Table1[[#This Row],[Age]]&gt;25,"Middle","Na")))</f>
        <v>Middle</v>
      </c>
      <c r="G322" t="s">
        <v>16</v>
      </c>
      <c r="H322">
        <v>2</v>
      </c>
      <c r="I322">
        <v>25</v>
      </c>
      <c r="J322">
        <v>50</v>
      </c>
    </row>
    <row r="323" spans="1:10" x14ac:dyDescent="0.35">
      <c r="A323">
        <v>322</v>
      </c>
      <c r="B323" s="1">
        <v>44956</v>
      </c>
      <c r="C323" t="s">
        <v>335</v>
      </c>
      <c r="D323" t="s">
        <v>10</v>
      </c>
      <c r="E323">
        <v>51</v>
      </c>
      <c r="F323" t="str">
        <f>IF(Table1[[#This Row],[Age]]&lt;=25,"Young",IF(Table1[[#This Row],[Age]]&gt;55,"Old",IF(Table1[[#This Row],[Age]]&gt;25,"Middle","Na")))</f>
        <v>Middle</v>
      </c>
      <c r="G323" t="s">
        <v>16</v>
      </c>
      <c r="H323">
        <v>1</v>
      </c>
      <c r="I323">
        <v>500</v>
      </c>
      <c r="J323">
        <v>500</v>
      </c>
    </row>
    <row r="324" spans="1:10" x14ac:dyDescent="0.35">
      <c r="A324">
        <v>323</v>
      </c>
      <c r="B324" s="1">
        <v>44952</v>
      </c>
      <c r="C324" t="s">
        <v>336</v>
      </c>
      <c r="D324" t="s">
        <v>13</v>
      </c>
      <c r="E324">
        <v>29</v>
      </c>
      <c r="F324" t="str">
        <f>IF(Table1[[#This Row],[Age]]&lt;=25,"Young",IF(Table1[[#This Row],[Age]]&gt;55,"Old",IF(Table1[[#This Row],[Age]]&gt;25,"Middle","Na")))</f>
        <v>Middle</v>
      </c>
      <c r="G324" t="s">
        <v>11</v>
      </c>
      <c r="H324">
        <v>3</v>
      </c>
      <c r="I324">
        <v>300</v>
      </c>
      <c r="J324">
        <v>900</v>
      </c>
    </row>
    <row r="325" spans="1:10" x14ac:dyDescent="0.35">
      <c r="A325">
        <v>324</v>
      </c>
      <c r="B325" s="1">
        <v>45226</v>
      </c>
      <c r="C325" t="s">
        <v>337</v>
      </c>
      <c r="D325" t="s">
        <v>13</v>
      </c>
      <c r="E325">
        <v>52</v>
      </c>
      <c r="F325" t="str">
        <f>IF(Table1[[#This Row],[Age]]&lt;=25,"Young",IF(Table1[[#This Row],[Age]]&gt;55,"Old",IF(Table1[[#This Row],[Age]]&gt;25,"Middle","Na")))</f>
        <v>Middle</v>
      </c>
      <c r="G325" t="s">
        <v>16</v>
      </c>
      <c r="H325">
        <v>3</v>
      </c>
      <c r="I325">
        <v>50</v>
      </c>
      <c r="J325">
        <v>150</v>
      </c>
    </row>
    <row r="326" spans="1:10" x14ac:dyDescent="0.35">
      <c r="A326">
        <v>325</v>
      </c>
      <c r="B326" s="1">
        <v>45171</v>
      </c>
      <c r="C326" t="s">
        <v>338</v>
      </c>
      <c r="D326" t="s">
        <v>13</v>
      </c>
      <c r="E326">
        <v>52</v>
      </c>
      <c r="F326" t="str">
        <f>IF(Table1[[#This Row],[Age]]&lt;=25,"Young",IF(Table1[[#This Row],[Age]]&gt;55,"Old",IF(Table1[[#This Row],[Age]]&gt;25,"Middle","Na")))</f>
        <v>Middle</v>
      </c>
      <c r="G326" t="s">
        <v>16</v>
      </c>
      <c r="H326">
        <v>2</v>
      </c>
      <c r="I326">
        <v>25</v>
      </c>
      <c r="J326">
        <v>50</v>
      </c>
    </row>
    <row r="327" spans="1:10" x14ac:dyDescent="0.35">
      <c r="A327">
        <v>326</v>
      </c>
      <c r="B327" s="1">
        <v>45184</v>
      </c>
      <c r="C327" t="s">
        <v>339</v>
      </c>
      <c r="D327" t="s">
        <v>13</v>
      </c>
      <c r="E327">
        <v>18</v>
      </c>
      <c r="F327" t="str">
        <f>IF(Table1[[#This Row],[Age]]&lt;=25,"Young",IF(Table1[[#This Row],[Age]]&gt;55,"Old",IF(Table1[[#This Row],[Age]]&gt;25,"Middle","Na")))</f>
        <v>Young</v>
      </c>
      <c r="G327" t="s">
        <v>14</v>
      </c>
      <c r="H327">
        <v>3</v>
      </c>
      <c r="I327">
        <v>25</v>
      </c>
      <c r="J327">
        <v>75</v>
      </c>
    </row>
    <row r="328" spans="1:10" x14ac:dyDescent="0.35">
      <c r="A328">
        <v>327</v>
      </c>
      <c r="B328" s="1">
        <v>45198</v>
      </c>
      <c r="C328" t="s">
        <v>340</v>
      </c>
      <c r="D328" t="s">
        <v>10</v>
      </c>
      <c r="E328">
        <v>57</v>
      </c>
      <c r="F328" t="str">
        <f>IF(Table1[[#This Row],[Age]]&lt;=25,"Young",IF(Table1[[#This Row],[Age]]&gt;55,"Old",IF(Table1[[#This Row],[Age]]&gt;25,"Middle","Na")))</f>
        <v>Old</v>
      </c>
      <c r="G328" t="s">
        <v>16</v>
      </c>
      <c r="H328">
        <v>3</v>
      </c>
      <c r="I328">
        <v>50</v>
      </c>
      <c r="J328">
        <v>150</v>
      </c>
    </row>
    <row r="329" spans="1:10" x14ac:dyDescent="0.35">
      <c r="A329">
        <v>328</v>
      </c>
      <c r="B329" s="1">
        <v>45007</v>
      </c>
      <c r="C329" t="s">
        <v>341</v>
      </c>
      <c r="D329" t="s">
        <v>10</v>
      </c>
      <c r="E329">
        <v>39</v>
      </c>
      <c r="F329" t="str">
        <f>IF(Table1[[#This Row],[Age]]&lt;=25,"Young",IF(Table1[[#This Row],[Age]]&gt;55,"Old",IF(Table1[[#This Row],[Age]]&gt;25,"Middle","Na")))</f>
        <v>Middle</v>
      </c>
      <c r="G329" t="s">
        <v>11</v>
      </c>
      <c r="H329">
        <v>2</v>
      </c>
      <c r="I329">
        <v>50</v>
      </c>
      <c r="J329">
        <v>100</v>
      </c>
    </row>
    <row r="330" spans="1:10" x14ac:dyDescent="0.35">
      <c r="A330">
        <v>329</v>
      </c>
      <c r="B330" s="1">
        <v>44956</v>
      </c>
      <c r="C330" t="s">
        <v>342</v>
      </c>
      <c r="D330" t="s">
        <v>13</v>
      </c>
      <c r="E330">
        <v>46</v>
      </c>
      <c r="F330" t="str">
        <f>IF(Table1[[#This Row],[Age]]&lt;=25,"Young",IF(Table1[[#This Row],[Age]]&gt;55,"Old",IF(Table1[[#This Row],[Age]]&gt;25,"Middle","Na")))</f>
        <v>Middle</v>
      </c>
      <c r="G330" t="s">
        <v>16</v>
      </c>
      <c r="H330">
        <v>4</v>
      </c>
      <c r="I330">
        <v>25</v>
      </c>
      <c r="J330">
        <v>100</v>
      </c>
    </row>
    <row r="331" spans="1:10" x14ac:dyDescent="0.35">
      <c r="A331">
        <v>330</v>
      </c>
      <c r="B331" s="1">
        <v>45187</v>
      </c>
      <c r="C331" t="s">
        <v>343</v>
      </c>
      <c r="D331" t="s">
        <v>13</v>
      </c>
      <c r="E331">
        <v>25</v>
      </c>
      <c r="F331" t="str">
        <f>IF(Table1[[#This Row],[Age]]&lt;=25,"Young",IF(Table1[[#This Row],[Age]]&gt;55,"Old",IF(Table1[[#This Row],[Age]]&gt;25,"Middle","Na")))</f>
        <v>Young</v>
      </c>
      <c r="G331" t="s">
        <v>11</v>
      </c>
      <c r="H331">
        <v>4</v>
      </c>
      <c r="I331">
        <v>50</v>
      </c>
      <c r="J331">
        <v>200</v>
      </c>
    </row>
    <row r="332" spans="1:10" x14ac:dyDescent="0.35">
      <c r="A332">
        <v>331</v>
      </c>
      <c r="B332" s="1">
        <v>44968</v>
      </c>
      <c r="C332" t="s">
        <v>344</v>
      </c>
      <c r="D332" t="s">
        <v>10</v>
      </c>
      <c r="E332">
        <v>28</v>
      </c>
      <c r="F332" t="str">
        <f>IF(Table1[[#This Row],[Age]]&lt;=25,"Young",IF(Table1[[#This Row],[Age]]&gt;55,"Old",IF(Table1[[#This Row],[Age]]&gt;25,"Middle","Na")))</f>
        <v>Middle</v>
      </c>
      <c r="G332" t="s">
        <v>16</v>
      </c>
      <c r="H332">
        <v>3</v>
      </c>
      <c r="I332">
        <v>30</v>
      </c>
      <c r="J332">
        <v>90</v>
      </c>
    </row>
    <row r="333" spans="1:10" x14ac:dyDescent="0.35">
      <c r="A333">
        <v>332</v>
      </c>
      <c r="B333" s="1">
        <v>45022</v>
      </c>
      <c r="C333" t="s">
        <v>345</v>
      </c>
      <c r="D333" t="s">
        <v>10</v>
      </c>
      <c r="E333">
        <v>58</v>
      </c>
      <c r="F333" t="str">
        <f>IF(Table1[[#This Row],[Age]]&lt;=25,"Young",IF(Table1[[#This Row],[Age]]&gt;55,"Old",IF(Table1[[#This Row],[Age]]&gt;25,"Middle","Na")))</f>
        <v>Old</v>
      </c>
      <c r="G333" t="s">
        <v>16</v>
      </c>
      <c r="H333">
        <v>4</v>
      </c>
      <c r="I333">
        <v>300</v>
      </c>
      <c r="J333">
        <v>1200</v>
      </c>
    </row>
    <row r="334" spans="1:10" x14ac:dyDescent="0.35">
      <c r="A334">
        <v>333</v>
      </c>
      <c r="B334" s="1">
        <v>44962</v>
      </c>
      <c r="C334" t="s">
        <v>346</v>
      </c>
      <c r="D334" t="s">
        <v>13</v>
      </c>
      <c r="E334">
        <v>54</v>
      </c>
      <c r="F334" t="str">
        <f>IF(Table1[[#This Row],[Age]]&lt;=25,"Young",IF(Table1[[#This Row],[Age]]&gt;55,"Old",IF(Table1[[#This Row],[Age]]&gt;25,"Middle","Na")))</f>
        <v>Middle</v>
      </c>
      <c r="G334" t="s">
        <v>16</v>
      </c>
      <c r="H334">
        <v>4</v>
      </c>
      <c r="I334">
        <v>300</v>
      </c>
      <c r="J334">
        <v>1200</v>
      </c>
    </row>
    <row r="335" spans="1:10" x14ac:dyDescent="0.35">
      <c r="A335">
        <v>334</v>
      </c>
      <c r="B335" s="1">
        <v>45231</v>
      </c>
      <c r="C335" t="s">
        <v>347</v>
      </c>
      <c r="D335" t="s">
        <v>10</v>
      </c>
      <c r="E335">
        <v>31</v>
      </c>
      <c r="F335" t="str">
        <f>IF(Table1[[#This Row],[Age]]&lt;=25,"Young",IF(Table1[[#This Row],[Age]]&gt;55,"Old",IF(Table1[[#This Row],[Age]]&gt;25,"Middle","Na")))</f>
        <v>Middle</v>
      </c>
      <c r="G335" t="s">
        <v>16</v>
      </c>
      <c r="H335">
        <v>3</v>
      </c>
      <c r="I335">
        <v>300</v>
      </c>
      <c r="J335">
        <v>900</v>
      </c>
    </row>
    <row r="336" spans="1:10" x14ac:dyDescent="0.35">
      <c r="A336">
        <v>335</v>
      </c>
      <c r="B336" s="1">
        <v>44961</v>
      </c>
      <c r="C336" t="s">
        <v>348</v>
      </c>
      <c r="D336" t="s">
        <v>13</v>
      </c>
      <c r="E336">
        <v>47</v>
      </c>
      <c r="F336" t="str">
        <f>IF(Table1[[#This Row],[Age]]&lt;=25,"Young",IF(Table1[[#This Row],[Age]]&gt;55,"Old",IF(Table1[[#This Row],[Age]]&gt;25,"Middle","Na")))</f>
        <v>Middle</v>
      </c>
      <c r="G336" t="s">
        <v>11</v>
      </c>
      <c r="H336">
        <v>4</v>
      </c>
      <c r="I336">
        <v>30</v>
      </c>
      <c r="J336">
        <v>120</v>
      </c>
    </row>
    <row r="337" spans="1:10" x14ac:dyDescent="0.35">
      <c r="A337">
        <v>336</v>
      </c>
      <c r="B337" s="1">
        <v>45272</v>
      </c>
      <c r="C337" t="s">
        <v>349</v>
      </c>
      <c r="D337" t="s">
        <v>13</v>
      </c>
      <c r="E337">
        <v>52</v>
      </c>
      <c r="F337" t="str">
        <f>IF(Table1[[#This Row],[Age]]&lt;=25,"Young",IF(Table1[[#This Row],[Age]]&gt;55,"Old",IF(Table1[[#This Row],[Age]]&gt;25,"Middle","Na")))</f>
        <v>Middle</v>
      </c>
      <c r="G337" t="s">
        <v>11</v>
      </c>
      <c r="H337">
        <v>3</v>
      </c>
      <c r="I337">
        <v>50</v>
      </c>
      <c r="J337">
        <v>150</v>
      </c>
    </row>
    <row r="338" spans="1:10" x14ac:dyDescent="0.35">
      <c r="A338">
        <v>337</v>
      </c>
      <c r="B338" s="1">
        <v>45047</v>
      </c>
      <c r="C338" t="s">
        <v>350</v>
      </c>
      <c r="D338" t="s">
        <v>10</v>
      </c>
      <c r="E338">
        <v>38</v>
      </c>
      <c r="F338" t="str">
        <f>IF(Table1[[#This Row],[Age]]&lt;=25,"Young",IF(Table1[[#This Row],[Age]]&gt;55,"Old",IF(Table1[[#This Row],[Age]]&gt;25,"Middle","Na")))</f>
        <v>Middle</v>
      </c>
      <c r="G338" t="s">
        <v>14</v>
      </c>
      <c r="H338">
        <v>1</v>
      </c>
      <c r="I338">
        <v>500</v>
      </c>
      <c r="J338">
        <v>500</v>
      </c>
    </row>
    <row r="339" spans="1:10" x14ac:dyDescent="0.35">
      <c r="A339">
        <v>338</v>
      </c>
      <c r="B339" s="1">
        <v>45133</v>
      </c>
      <c r="C339" t="s">
        <v>351</v>
      </c>
      <c r="D339" t="s">
        <v>10</v>
      </c>
      <c r="E339">
        <v>54</v>
      </c>
      <c r="F339" t="str">
        <f>IF(Table1[[#This Row],[Age]]&lt;=25,"Young",IF(Table1[[#This Row],[Age]]&gt;55,"Old",IF(Table1[[#This Row],[Age]]&gt;25,"Middle","Na")))</f>
        <v>Middle</v>
      </c>
      <c r="G339" t="s">
        <v>11</v>
      </c>
      <c r="H339">
        <v>2</v>
      </c>
      <c r="I339">
        <v>50</v>
      </c>
      <c r="J339">
        <v>100</v>
      </c>
    </row>
    <row r="340" spans="1:10" x14ac:dyDescent="0.35">
      <c r="A340">
        <v>339</v>
      </c>
      <c r="B340" s="1">
        <v>44988</v>
      </c>
      <c r="C340" t="s">
        <v>352</v>
      </c>
      <c r="D340" t="s">
        <v>13</v>
      </c>
      <c r="E340">
        <v>22</v>
      </c>
      <c r="F340" t="str">
        <f>IF(Table1[[#This Row],[Age]]&lt;=25,"Young",IF(Table1[[#This Row],[Age]]&gt;55,"Old",IF(Table1[[#This Row],[Age]]&gt;25,"Middle","Na")))</f>
        <v>Young</v>
      </c>
      <c r="G340" t="s">
        <v>16</v>
      </c>
      <c r="H340">
        <v>2</v>
      </c>
      <c r="I340">
        <v>25</v>
      </c>
      <c r="J340">
        <v>50</v>
      </c>
    </row>
    <row r="341" spans="1:10" x14ac:dyDescent="0.35">
      <c r="A341">
        <v>340</v>
      </c>
      <c r="B341" s="1">
        <v>45218</v>
      </c>
      <c r="C341" t="s">
        <v>353</v>
      </c>
      <c r="D341" t="s">
        <v>13</v>
      </c>
      <c r="E341">
        <v>36</v>
      </c>
      <c r="F341" t="str">
        <f>IF(Table1[[#This Row],[Age]]&lt;=25,"Young",IF(Table1[[#This Row],[Age]]&gt;55,"Old",IF(Table1[[#This Row],[Age]]&gt;25,"Middle","Na")))</f>
        <v>Middle</v>
      </c>
      <c r="G341" t="s">
        <v>14</v>
      </c>
      <c r="H341">
        <v>4</v>
      </c>
      <c r="I341">
        <v>300</v>
      </c>
      <c r="J341">
        <v>1200</v>
      </c>
    </row>
    <row r="342" spans="1:10" x14ac:dyDescent="0.35">
      <c r="A342">
        <v>341</v>
      </c>
      <c r="B342" s="1">
        <v>45053</v>
      </c>
      <c r="C342" t="s">
        <v>354</v>
      </c>
      <c r="D342" t="s">
        <v>10</v>
      </c>
      <c r="E342">
        <v>31</v>
      </c>
      <c r="F342" t="str">
        <f>IF(Table1[[#This Row],[Age]]&lt;=25,"Young",IF(Table1[[#This Row],[Age]]&gt;55,"Old",IF(Table1[[#This Row],[Age]]&gt;25,"Middle","Na")))</f>
        <v>Middle</v>
      </c>
      <c r="G342" t="s">
        <v>14</v>
      </c>
      <c r="H342">
        <v>4</v>
      </c>
      <c r="I342">
        <v>50</v>
      </c>
      <c r="J342">
        <v>200</v>
      </c>
    </row>
    <row r="343" spans="1:10" x14ac:dyDescent="0.35">
      <c r="A343">
        <v>342</v>
      </c>
      <c r="B343" s="1">
        <v>45223</v>
      </c>
      <c r="C343" t="s">
        <v>355</v>
      </c>
      <c r="D343" t="s">
        <v>13</v>
      </c>
      <c r="E343">
        <v>43</v>
      </c>
      <c r="F343" t="str">
        <f>IF(Table1[[#This Row],[Age]]&lt;=25,"Young",IF(Table1[[#This Row],[Age]]&gt;55,"Old",IF(Table1[[#This Row],[Age]]&gt;25,"Middle","Na")))</f>
        <v>Middle</v>
      </c>
      <c r="G343" t="s">
        <v>14</v>
      </c>
      <c r="H343">
        <v>4</v>
      </c>
      <c r="I343">
        <v>500</v>
      </c>
      <c r="J343">
        <v>2000</v>
      </c>
    </row>
    <row r="344" spans="1:10" x14ac:dyDescent="0.35">
      <c r="A344">
        <v>343</v>
      </c>
      <c r="B344" s="1">
        <v>45231</v>
      </c>
      <c r="C344" t="s">
        <v>356</v>
      </c>
      <c r="D344" t="s">
        <v>10</v>
      </c>
      <c r="E344">
        <v>21</v>
      </c>
      <c r="F344" t="str">
        <f>IF(Table1[[#This Row],[Age]]&lt;=25,"Young",IF(Table1[[#This Row],[Age]]&gt;55,"Old",IF(Table1[[#This Row],[Age]]&gt;25,"Middle","Na")))</f>
        <v>Young</v>
      </c>
      <c r="G344" t="s">
        <v>16</v>
      </c>
      <c r="H344">
        <v>2</v>
      </c>
      <c r="I344">
        <v>25</v>
      </c>
      <c r="J344">
        <v>50</v>
      </c>
    </row>
    <row r="345" spans="1:10" x14ac:dyDescent="0.35">
      <c r="A345">
        <v>344</v>
      </c>
      <c r="B345" s="1">
        <v>44947</v>
      </c>
      <c r="C345" t="s">
        <v>357</v>
      </c>
      <c r="D345" t="s">
        <v>13</v>
      </c>
      <c r="E345">
        <v>42</v>
      </c>
      <c r="F345" t="str">
        <f>IF(Table1[[#This Row],[Age]]&lt;=25,"Young",IF(Table1[[#This Row],[Age]]&gt;55,"Old",IF(Table1[[#This Row],[Age]]&gt;25,"Middle","Na")))</f>
        <v>Middle</v>
      </c>
      <c r="G345" t="s">
        <v>11</v>
      </c>
      <c r="H345">
        <v>1</v>
      </c>
      <c r="I345">
        <v>30</v>
      </c>
      <c r="J345">
        <v>30</v>
      </c>
    </row>
    <row r="346" spans="1:10" x14ac:dyDescent="0.35">
      <c r="A346">
        <v>345</v>
      </c>
      <c r="B346" s="1">
        <v>45244</v>
      </c>
      <c r="C346" t="s">
        <v>358</v>
      </c>
      <c r="D346" t="s">
        <v>10</v>
      </c>
      <c r="E346">
        <v>62</v>
      </c>
      <c r="F346" t="str">
        <f>IF(Table1[[#This Row],[Age]]&lt;=25,"Young",IF(Table1[[#This Row],[Age]]&gt;55,"Old",IF(Table1[[#This Row],[Age]]&gt;25,"Middle","Na")))</f>
        <v>Old</v>
      </c>
      <c r="G346" t="s">
        <v>16</v>
      </c>
      <c r="H346">
        <v>1</v>
      </c>
      <c r="I346">
        <v>30</v>
      </c>
      <c r="J346">
        <v>30</v>
      </c>
    </row>
    <row r="347" spans="1:10" x14ac:dyDescent="0.35">
      <c r="A347">
        <v>346</v>
      </c>
      <c r="B347" s="1">
        <v>44968</v>
      </c>
      <c r="C347" t="s">
        <v>359</v>
      </c>
      <c r="D347" t="s">
        <v>10</v>
      </c>
      <c r="E347">
        <v>59</v>
      </c>
      <c r="F347" t="str">
        <f>IF(Table1[[#This Row],[Age]]&lt;=25,"Young",IF(Table1[[#This Row],[Age]]&gt;55,"Old",IF(Table1[[#This Row],[Age]]&gt;25,"Middle","Na")))</f>
        <v>Old</v>
      </c>
      <c r="G347" t="s">
        <v>14</v>
      </c>
      <c r="H347">
        <v>2</v>
      </c>
      <c r="I347">
        <v>500</v>
      </c>
      <c r="J347">
        <v>1000</v>
      </c>
    </row>
    <row r="348" spans="1:10" x14ac:dyDescent="0.35">
      <c r="A348">
        <v>347</v>
      </c>
      <c r="B348" s="1">
        <v>45141</v>
      </c>
      <c r="C348" t="s">
        <v>360</v>
      </c>
      <c r="D348" t="s">
        <v>10</v>
      </c>
      <c r="E348">
        <v>42</v>
      </c>
      <c r="F348" t="str">
        <f>IF(Table1[[#This Row],[Age]]&lt;=25,"Young",IF(Table1[[#This Row],[Age]]&gt;55,"Old",IF(Table1[[#This Row],[Age]]&gt;25,"Middle","Na")))</f>
        <v>Middle</v>
      </c>
      <c r="G348" t="s">
        <v>16</v>
      </c>
      <c r="H348">
        <v>1</v>
      </c>
      <c r="I348">
        <v>25</v>
      </c>
      <c r="J348">
        <v>25</v>
      </c>
    </row>
    <row r="349" spans="1:10" x14ac:dyDescent="0.35">
      <c r="A349">
        <v>348</v>
      </c>
      <c r="B349" s="1">
        <v>45263</v>
      </c>
      <c r="C349" t="s">
        <v>361</v>
      </c>
      <c r="D349" t="s">
        <v>13</v>
      </c>
      <c r="E349">
        <v>35</v>
      </c>
      <c r="F349" t="str">
        <f>IF(Table1[[#This Row],[Age]]&lt;=25,"Young",IF(Table1[[#This Row],[Age]]&gt;55,"Old",IF(Table1[[#This Row],[Age]]&gt;25,"Middle","Na")))</f>
        <v>Middle</v>
      </c>
      <c r="G349" t="s">
        <v>16</v>
      </c>
      <c r="H349">
        <v>2</v>
      </c>
      <c r="I349">
        <v>300</v>
      </c>
      <c r="J349">
        <v>600</v>
      </c>
    </row>
    <row r="350" spans="1:10" x14ac:dyDescent="0.35">
      <c r="A350">
        <v>349</v>
      </c>
      <c r="B350" s="1">
        <v>45225</v>
      </c>
      <c r="C350" t="s">
        <v>362</v>
      </c>
      <c r="D350" t="s">
        <v>13</v>
      </c>
      <c r="E350">
        <v>57</v>
      </c>
      <c r="F350" t="str">
        <f>IF(Table1[[#This Row],[Age]]&lt;=25,"Young",IF(Table1[[#This Row],[Age]]&gt;55,"Old",IF(Table1[[#This Row],[Age]]&gt;25,"Middle","Na")))</f>
        <v>Old</v>
      </c>
      <c r="G350" t="s">
        <v>11</v>
      </c>
      <c r="H350">
        <v>1</v>
      </c>
      <c r="I350">
        <v>50</v>
      </c>
      <c r="J350">
        <v>50</v>
      </c>
    </row>
    <row r="351" spans="1:10" x14ac:dyDescent="0.35">
      <c r="A351">
        <v>350</v>
      </c>
      <c r="B351" s="1">
        <v>45216</v>
      </c>
      <c r="C351" t="s">
        <v>363</v>
      </c>
      <c r="D351" t="s">
        <v>10</v>
      </c>
      <c r="E351">
        <v>25</v>
      </c>
      <c r="F351" t="str">
        <f>IF(Table1[[#This Row],[Age]]&lt;=25,"Young",IF(Table1[[#This Row],[Age]]&gt;55,"Old",IF(Table1[[#This Row],[Age]]&gt;25,"Middle","Na")))</f>
        <v>Young</v>
      </c>
      <c r="G351" t="s">
        <v>11</v>
      </c>
      <c r="H351">
        <v>3</v>
      </c>
      <c r="I351">
        <v>25</v>
      </c>
      <c r="J351">
        <v>75</v>
      </c>
    </row>
    <row r="352" spans="1:10" x14ac:dyDescent="0.35">
      <c r="A352">
        <v>351</v>
      </c>
      <c r="B352" s="1">
        <v>45194</v>
      </c>
      <c r="C352" t="s">
        <v>364</v>
      </c>
      <c r="D352" t="s">
        <v>13</v>
      </c>
      <c r="E352">
        <v>56</v>
      </c>
      <c r="F352" t="str">
        <f>IF(Table1[[#This Row],[Age]]&lt;=25,"Young",IF(Table1[[#This Row],[Age]]&gt;55,"Old",IF(Table1[[#This Row],[Age]]&gt;25,"Middle","Na")))</f>
        <v>Old</v>
      </c>
      <c r="G352" t="s">
        <v>14</v>
      </c>
      <c r="H352">
        <v>3</v>
      </c>
      <c r="I352">
        <v>30</v>
      </c>
      <c r="J352">
        <v>90</v>
      </c>
    </row>
    <row r="353" spans="1:10" x14ac:dyDescent="0.35">
      <c r="A353">
        <v>352</v>
      </c>
      <c r="B353" s="1">
        <v>45088</v>
      </c>
      <c r="C353" t="s">
        <v>365</v>
      </c>
      <c r="D353" t="s">
        <v>10</v>
      </c>
      <c r="E353">
        <v>57</v>
      </c>
      <c r="F353" t="str">
        <f>IF(Table1[[#This Row],[Age]]&lt;=25,"Young",IF(Table1[[#This Row],[Age]]&gt;55,"Old",IF(Table1[[#This Row],[Age]]&gt;25,"Middle","Na")))</f>
        <v>Old</v>
      </c>
      <c r="G353" t="s">
        <v>16</v>
      </c>
      <c r="H353">
        <v>2</v>
      </c>
      <c r="I353">
        <v>500</v>
      </c>
      <c r="J353">
        <v>1000</v>
      </c>
    </row>
    <row r="354" spans="1:10" x14ac:dyDescent="0.35">
      <c r="A354">
        <v>353</v>
      </c>
      <c r="B354" s="1">
        <v>45060</v>
      </c>
      <c r="C354" t="s">
        <v>366</v>
      </c>
      <c r="D354" t="s">
        <v>10</v>
      </c>
      <c r="E354">
        <v>31</v>
      </c>
      <c r="F354" t="str">
        <f>IF(Table1[[#This Row],[Age]]&lt;=25,"Young",IF(Table1[[#This Row],[Age]]&gt;55,"Old",IF(Table1[[#This Row],[Age]]&gt;25,"Middle","Na")))</f>
        <v>Middle</v>
      </c>
      <c r="G354" t="s">
        <v>16</v>
      </c>
      <c r="H354">
        <v>1</v>
      </c>
      <c r="I354">
        <v>500</v>
      </c>
      <c r="J354">
        <v>500</v>
      </c>
    </row>
    <row r="355" spans="1:10" x14ac:dyDescent="0.35">
      <c r="A355">
        <v>354</v>
      </c>
      <c r="B355" s="1">
        <v>45031</v>
      </c>
      <c r="C355" t="s">
        <v>367</v>
      </c>
      <c r="D355" t="s">
        <v>13</v>
      </c>
      <c r="E355">
        <v>49</v>
      </c>
      <c r="F355" t="str">
        <f>IF(Table1[[#This Row],[Age]]&lt;=25,"Young",IF(Table1[[#This Row],[Age]]&gt;55,"Old",IF(Table1[[#This Row],[Age]]&gt;25,"Middle","Na")))</f>
        <v>Middle</v>
      </c>
      <c r="G355" t="s">
        <v>11</v>
      </c>
      <c r="H355">
        <v>4</v>
      </c>
      <c r="I355">
        <v>50</v>
      </c>
      <c r="J355">
        <v>200</v>
      </c>
    </row>
    <row r="356" spans="1:10" x14ac:dyDescent="0.35">
      <c r="A356">
        <v>355</v>
      </c>
      <c r="B356" s="1">
        <v>45269</v>
      </c>
      <c r="C356" t="s">
        <v>368</v>
      </c>
      <c r="D356" t="s">
        <v>13</v>
      </c>
      <c r="E356">
        <v>55</v>
      </c>
      <c r="F356" t="str">
        <f>IF(Table1[[#This Row],[Age]]&lt;=25,"Young",IF(Table1[[#This Row],[Age]]&gt;55,"Old",IF(Table1[[#This Row],[Age]]&gt;25,"Middle","Na")))</f>
        <v>Middle</v>
      </c>
      <c r="G356" t="s">
        <v>16</v>
      </c>
      <c r="H356">
        <v>1</v>
      </c>
      <c r="I356">
        <v>500</v>
      </c>
      <c r="J356">
        <v>500</v>
      </c>
    </row>
    <row r="357" spans="1:10" x14ac:dyDescent="0.35">
      <c r="A357">
        <v>356</v>
      </c>
      <c r="B357" s="1">
        <v>45087</v>
      </c>
      <c r="C357" t="s">
        <v>369</v>
      </c>
      <c r="D357" t="s">
        <v>10</v>
      </c>
      <c r="E357">
        <v>50</v>
      </c>
      <c r="F357" t="str">
        <f>IF(Table1[[#This Row],[Age]]&lt;=25,"Young",IF(Table1[[#This Row],[Age]]&gt;55,"Old",IF(Table1[[#This Row],[Age]]&gt;25,"Middle","Na")))</f>
        <v>Middle</v>
      </c>
      <c r="G357" t="s">
        <v>16</v>
      </c>
      <c r="H357">
        <v>3</v>
      </c>
      <c r="I357">
        <v>500</v>
      </c>
      <c r="J357">
        <v>1500</v>
      </c>
    </row>
    <row r="358" spans="1:10" x14ac:dyDescent="0.35">
      <c r="A358">
        <v>357</v>
      </c>
      <c r="B358" s="1">
        <v>45049</v>
      </c>
      <c r="C358" t="s">
        <v>370</v>
      </c>
      <c r="D358" t="s">
        <v>13</v>
      </c>
      <c r="E358">
        <v>40</v>
      </c>
      <c r="F358" t="str">
        <f>IF(Table1[[#This Row],[Age]]&lt;=25,"Young",IF(Table1[[#This Row],[Age]]&gt;55,"Old",IF(Table1[[#This Row],[Age]]&gt;25,"Middle","Na")))</f>
        <v>Middle</v>
      </c>
      <c r="G358" t="s">
        <v>16</v>
      </c>
      <c r="H358">
        <v>3</v>
      </c>
      <c r="I358">
        <v>25</v>
      </c>
      <c r="J358">
        <v>75</v>
      </c>
    </row>
    <row r="359" spans="1:10" x14ac:dyDescent="0.35">
      <c r="A359">
        <v>358</v>
      </c>
      <c r="B359" s="1">
        <v>45062</v>
      </c>
      <c r="C359" t="s">
        <v>371</v>
      </c>
      <c r="D359" t="s">
        <v>13</v>
      </c>
      <c r="E359">
        <v>32</v>
      </c>
      <c r="F359" t="str">
        <f>IF(Table1[[#This Row],[Age]]&lt;=25,"Young",IF(Table1[[#This Row],[Age]]&gt;55,"Old",IF(Table1[[#This Row],[Age]]&gt;25,"Middle","Na")))</f>
        <v>Middle</v>
      </c>
      <c r="G359" t="s">
        <v>11</v>
      </c>
      <c r="H359">
        <v>1</v>
      </c>
      <c r="I359">
        <v>300</v>
      </c>
      <c r="J359">
        <v>300</v>
      </c>
    </row>
    <row r="360" spans="1:10" x14ac:dyDescent="0.35">
      <c r="A360">
        <v>359</v>
      </c>
      <c r="B360" s="1">
        <v>45129</v>
      </c>
      <c r="C360" t="s">
        <v>372</v>
      </c>
      <c r="D360" t="s">
        <v>10</v>
      </c>
      <c r="E360">
        <v>50</v>
      </c>
      <c r="F360" t="str">
        <f>IF(Table1[[#This Row],[Age]]&lt;=25,"Young",IF(Table1[[#This Row],[Age]]&gt;55,"Old",IF(Table1[[#This Row],[Age]]&gt;25,"Middle","Na")))</f>
        <v>Middle</v>
      </c>
      <c r="G360" t="s">
        <v>14</v>
      </c>
      <c r="H360">
        <v>1</v>
      </c>
      <c r="I360">
        <v>50</v>
      </c>
      <c r="J360">
        <v>50</v>
      </c>
    </row>
    <row r="361" spans="1:10" x14ac:dyDescent="0.35">
      <c r="A361">
        <v>360</v>
      </c>
      <c r="B361" s="1">
        <v>44994</v>
      </c>
      <c r="C361" t="s">
        <v>373</v>
      </c>
      <c r="D361" t="s">
        <v>10</v>
      </c>
      <c r="E361">
        <v>42</v>
      </c>
      <c r="F361" t="str">
        <f>IF(Table1[[#This Row],[Age]]&lt;=25,"Young",IF(Table1[[#This Row],[Age]]&gt;55,"Old",IF(Table1[[#This Row],[Age]]&gt;25,"Middle","Na")))</f>
        <v>Middle</v>
      </c>
      <c r="G361" t="s">
        <v>14</v>
      </c>
      <c r="H361">
        <v>4</v>
      </c>
      <c r="I361">
        <v>25</v>
      </c>
      <c r="J361">
        <v>100</v>
      </c>
    </row>
    <row r="362" spans="1:10" x14ac:dyDescent="0.35">
      <c r="A362">
        <v>361</v>
      </c>
      <c r="B362" s="1">
        <v>45270</v>
      </c>
      <c r="C362" t="s">
        <v>374</v>
      </c>
      <c r="D362" t="s">
        <v>13</v>
      </c>
      <c r="E362">
        <v>34</v>
      </c>
      <c r="F362" t="str">
        <f>IF(Table1[[#This Row],[Age]]&lt;=25,"Young",IF(Table1[[#This Row],[Age]]&gt;55,"Old",IF(Table1[[#This Row],[Age]]&gt;25,"Middle","Na")))</f>
        <v>Middle</v>
      </c>
      <c r="G362" t="s">
        <v>16</v>
      </c>
      <c r="H362">
        <v>4</v>
      </c>
      <c r="I362">
        <v>300</v>
      </c>
      <c r="J362">
        <v>1200</v>
      </c>
    </row>
    <row r="363" spans="1:10" x14ac:dyDescent="0.35">
      <c r="A363">
        <v>362</v>
      </c>
      <c r="B363" s="1">
        <v>45257</v>
      </c>
      <c r="C363" t="s">
        <v>375</v>
      </c>
      <c r="D363" t="s">
        <v>10</v>
      </c>
      <c r="E363">
        <v>50</v>
      </c>
      <c r="F363" t="str">
        <f>IF(Table1[[#This Row],[Age]]&lt;=25,"Young",IF(Table1[[#This Row],[Age]]&gt;55,"Old",IF(Table1[[#This Row],[Age]]&gt;25,"Middle","Na")))</f>
        <v>Middle</v>
      </c>
      <c r="G363" t="s">
        <v>14</v>
      </c>
      <c r="H363">
        <v>1</v>
      </c>
      <c r="I363">
        <v>25</v>
      </c>
      <c r="J363">
        <v>25</v>
      </c>
    </row>
    <row r="364" spans="1:10" x14ac:dyDescent="0.35">
      <c r="A364">
        <v>363</v>
      </c>
      <c r="B364" s="1">
        <v>45080</v>
      </c>
      <c r="C364" t="s">
        <v>376</v>
      </c>
      <c r="D364" t="s">
        <v>10</v>
      </c>
      <c r="E364">
        <v>64</v>
      </c>
      <c r="F364" t="str">
        <f>IF(Table1[[#This Row],[Age]]&lt;=25,"Young",IF(Table1[[#This Row],[Age]]&gt;55,"Old",IF(Table1[[#This Row],[Age]]&gt;25,"Middle","Na")))</f>
        <v>Old</v>
      </c>
      <c r="G364" t="s">
        <v>11</v>
      </c>
      <c r="H364">
        <v>1</v>
      </c>
      <c r="I364">
        <v>25</v>
      </c>
      <c r="J364">
        <v>25</v>
      </c>
    </row>
    <row r="365" spans="1:10" x14ac:dyDescent="0.35">
      <c r="A365">
        <v>364</v>
      </c>
      <c r="B365" s="1">
        <v>45161</v>
      </c>
      <c r="C365" t="s">
        <v>377</v>
      </c>
      <c r="D365" t="s">
        <v>13</v>
      </c>
      <c r="E365">
        <v>19</v>
      </c>
      <c r="F365" t="str">
        <f>IF(Table1[[#This Row],[Age]]&lt;=25,"Young",IF(Table1[[#This Row],[Age]]&gt;55,"Old",IF(Table1[[#This Row],[Age]]&gt;25,"Middle","Na")))</f>
        <v>Young</v>
      </c>
      <c r="G365" t="s">
        <v>11</v>
      </c>
      <c r="H365">
        <v>1</v>
      </c>
      <c r="I365">
        <v>500</v>
      </c>
      <c r="J365">
        <v>500</v>
      </c>
    </row>
    <row r="366" spans="1:10" x14ac:dyDescent="0.35">
      <c r="A366">
        <v>365</v>
      </c>
      <c r="B366" s="1">
        <v>45088</v>
      </c>
      <c r="C366" t="s">
        <v>378</v>
      </c>
      <c r="D366" t="s">
        <v>10</v>
      </c>
      <c r="E366">
        <v>31</v>
      </c>
      <c r="F366" t="str">
        <f>IF(Table1[[#This Row],[Age]]&lt;=25,"Young",IF(Table1[[#This Row],[Age]]&gt;55,"Old",IF(Table1[[#This Row],[Age]]&gt;25,"Middle","Na")))</f>
        <v>Middle</v>
      </c>
      <c r="G366" t="s">
        <v>14</v>
      </c>
      <c r="H366">
        <v>1</v>
      </c>
      <c r="I366">
        <v>300</v>
      </c>
      <c r="J366">
        <v>300</v>
      </c>
    </row>
    <row r="367" spans="1:10" x14ac:dyDescent="0.35">
      <c r="A367">
        <v>366</v>
      </c>
      <c r="B367" s="1">
        <v>44964</v>
      </c>
      <c r="C367" t="s">
        <v>379</v>
      </c>
      <c r="D367" t="s">
        <v>10</v>
      </c>
      <c r="E367">
        <v>57</v>
      </c>
      <c r="F367" t="str">
        <f>IF(Table1[[#This Row],[Age]]&lt;=25,"Young",IF(Table1[[#This Row],[Age]]&gt;55,"Old",IF(Table1[[#This Row],[Age]]&gt;25,"Middle","Na")))</f>
        <v>Old</v>
      </c>
      <c r="G367" t="s">
        <v>14</v>
      </c>
      <c r="H367">
        <v>2</v>
      </c>
      <c r="I367">
        <v>50</v>
      </c>
      <c r="J367">
        <v>100</v>
      </c>
    </row>
    <row r="368" spans="1:10" x14ac:dyDescent="0.35">
      <c r="A368">
        <v>367</v>
      </c>
      <c r="B368" s="1">
        <v>44931</v>
      </c>
      <c r="C368" t="s">
        <v>380</v>
      </c>
      <c r="D368" t="s">
        <v>13</v>
      </c>
      <c r="E368">
        <v>57</v>
      </c>
      <c r="F368" t="str">
        <f>IF(Table1[[#This Row],[Age]]&lt;=25,"Young",IF(Table1[[#This Row],[Age]]&gt;55,"Old",IF(Table1[[#This Row],[Age]]&gt;25,"Middle","Na")))</f>
        <v>Old</v>
      </c>
      <c r="G368" t="s">
        <v>16</v>
      </c>
      <c r="H368">
        <v>1</v>
      </c>
      <c r="I368">
        <v>50</v>
      </c>
      <c r="J368">
        <v>50</v>
      </c>
    </row>
    <row r="369" spans="1:10" x14ac:dyDescent="0.35">
      <c r="A369">
        <v>368</v>
      </c>
      <c r="B369" s="1">
        <v>45161</v>
      </c>
      <c r="C369" t="s">
        <v>381</v>
      </c>
      <c r="D369" t="s">
        <v>13</v>
      </c>
      <c r="E369">
        <v>56</v>
      </c>
      <c r="F369" t="str">
        <f>IF(Table1[[#This Row],[Age]]&lt;=25,"Young",IF(Table1[[#This Row],[Age]]&gt;55,"Old",IF(Table1[[#This Row],[Age]]&gt;25,"Middle","Na")))</f>
        <v>Old</v>
      </c>
      <c r="G369" t="s">
        <v>14</v>
      </c>
      <c r="H369">
        <v>4</v>
      </c>
      <c r="I369">
        <v>300</v>
      </c>
      <c r="J369">
        <v>1200</v>
      </c>
    </row>
    <row r="370" spans="1:10" x14ac:dyDescent="0.35">
      <c r="A370">
        <v>369</v>
      </c>
      <c r="B370" s="1">
        <v>45245</v>
      </c>
      <c r="C370" t="s">
        <v>382</v>
      </c>
      <c r="D370" t="s">
        <v>10</v>
      </c>
      <c r="E370">
        <v>23</v>
      </c>
      <c r="F370" t="str">
        <f>IF(Table1[[#This Row],[Age]]&lt;=25,"Young",IF(Table1[[#This Row],[Age]]&gt;55,"Old",IF(Table1[[#This Row],[Age]]&gt;25,"Middle","Na")))</f>
        <v>Young</v>
      </c>
      <c r="G370" t="s">
        <v>16</v>
      </c>
      <c r="H370">
        <v>3</v>
      </c>
      <c r="I370">
        <v>500</v>
      </c>
      <c r="J370">
        <v>1500</v>
      </c>
    </row>
    <row r="371" spans="1:10" x14ac:dyDescent="0.35">
      <c r="A371">
        <v>370</v>
      </c>
      <c r="B371" s="1">
        <v>45215</v>
      </c>
      <c r="C371" t="s">
        <v>383</v>
      </c>
      <c r="D371" t="s">
        <v>10</v>
      </c>
      <c r="E371">
        <v>23</v>
      </c>
      <c r="F371" t="str">
        <f>IF(Table1[[#This Row],[Age]]&lt;=25,"Young",IF(Table1[[#This Row],[Age]]&gt;55,"Old",IF(Table1[[#This Row],[Age]]&gt;25,"Middle","Na")))</f>
        <v>Young</v>
      </c>
      <c r="G371" t="s">
        <v>16</v>
      </c>
      <c r="H371">
        <v>2</v>
      </c>
      <c r="I371">
        <v>30</v>
      </c>
      <c r="J371">
        <v>60</v>
      </c>
    </row>
    <row r="372" spans="1:10" x14ac:dyDescent="0.35">
      <c r="A372">
        <v>371</v>
      </c>
      <c r="B372" s="1">
        <v>44978</v>
      </c>
      <c r="C372" t="s">
        <v>384</v>
      </c>
      <c r="D372" t="s">
        <v>13</v>
      </c>
      <c r="E372">
        <v>20</v>
      </c>
      <c r="F372" t="str">
        <f>IF(Table1[[#This Row],[Age]]&lt;=25,"Young",IF(Table1[[#This Row],[Age]]&gt;55,"Old",IF(Table1[[#This Row],[Age]]&gt;25,"Middle","Na")))</f>
        <v>Young</v>
      </c>
      <c r="G372" t="s">
        <v>11</v>
      </c>
      <c r="H372">
        <v>1</v>
      </c>
      <c r="I372">
        <v>25</v>
      </c>
      <c r="J372">
        <v>25</v>
      </c>
    </row>
    <row r="373" spans="1:10" x14ac:dyDescent="0.35">
      <c r="A373">
        <v>372</v>
      </c>
      <c r="B373" s="1">
        <v>44964</v>
      </c>
      <c r="C373" t="s">
        <v>385</v>
      </c>
      <c r="D373" t="s">
        <v>13</v>
      </c>
      <c r="E373">
        <v>24</v>
      </c>
      <c r="F373" t="str">
        <f>IF(Table1[[#This Row],[Age]]&lt;=25,"Young",IF(Table1[[#This Row],[Age]]&gt;55,"Old",IF(Table1[[#This Row],[Age]]&gt;25,"Middle","Na")))</f>
        <v>Young</v>
      </c>
      <c r="G373" t="s">
        <v>11</v>
      </c>
      <c r="H373">
        <v>3</v>
      </c>
      <c r="I373">
        <v>500</v>
      </c>
      <c r="J373">
        <v>1500</v>
      </c>
    </row>
    <row r="374" spans="1:10" x14ac:dyDescent="0.35">
      <c r="A374">
        <v>373</v>
      </c>
      <c r="B374" s="1">
        <v>45202</v>
      </c>
      <c r="C374" t="s">
        <v>386</v>
      </c>
      <c r="D374" t="s">
        <v>13</v>
      </c>
      <c r="E374">
        <v>25</v>
      </c>
      <c r="F374" t="str">
        <f>IF(Table1[[#This Row],[Age]]&lt;=25,"Young",IF(Table1[[#This Row],[Age]]&gt;55,"Old",IF(Table1[[#This Row],[Age]]&gt;25,"Middle","Na")))</f>
        <v>Young</v>
      </c>
      <c r="G374" t="s">
        <v>11</v>
      </c>
      <c r="H374">
        <v>2</v>
      </c>
      <c r="I374">
        <v>300</v>
      </c>
      <c r="J374">
        <v>600</v>
      </c>
    </row>
    <row r="375" spans="1:10" x14ac:dyDescent="0.35">
      <c r="A375">
        <v>374</v>
      </c>
      <c r="B375" s="1">
        <v>45036</v>
      </c>
      <c r="C375" t="s">
        <v>387</v>
      </c>
      <c r="D375" t="s">
        <v>13</v>
      </c>
      <c r="E375">
        <v>59</v>
      </c>
      <c r="F375" t="str">
        <f>IF(Table1[[#This Row],[Age]]&lt;=25,"Young",IF(Table1[[#This Row],[Age]]&gt;55,"Old",IF(Table1[[#This Row],[Age]]&gt;25,"Middle","Na")))</f>
        <v>Old</v>
      </c>
      <c r="G375" t="s">
        <v>11</v>
      </c>
      <c r="H375">
        <v>3</v>
      </c>
      <c r="I375">
        <v>25</v>
      </c>
      <c r="J375">
        <v>75</v>
      </c>
    </row>
    <row r="376" spans="1:10" x14ac:dyDescent="0.35">
      <c r="A376">
        <v>375</v>
      </c>
      <c r="B376" s="1">
        <v>45186</v>
      </c>
      <c r="C376" t="s">
        <v>388</v>
      </c>
      <c r="D376" t="s">
        <v>10</v>
      </c>
      <c r="E376">
        <v>32</v>
      </c>
      <c r="F376" t="str">
        <f>IF(Table1[[#This Row],[Age]]&lt;=25,"Young",IF(Table1[[#This Row],[Age]]&gt;55,"Old",IF(Table1[[#This Row],[Age]]&gt;25,"Middle","Na")))</f>
        <v>Middle</v>
      </c>
      <c r="G376" t="s">
        <v>14</v>
      </c>
      <c r="H376">
        <v>1</v>
      </c>
      <c r="I376">
        <v>50</v>
      </c>
      <c r="J376">
        <v>50</v>
      </c>
    </row>
    <row r="377" spans="1:10" x14ac:dyDescent="0.35">
      <c r="A377">
        <v>376</v>
      </c>
      <c r="B377" s="1">
        <v>45062</v>
      </c>
      <c r="C377" t="s">
        <v>389</v>
      </c>
      <c r="D377" t="s">
        <v>13</v>
      </c>
      <c r="E377">
        <v>64</v>
      </c>
      <c r="F377" t="str">
        <f>IF(Table1[[#This Row],[Age]]&lt;=25,"Young",IF(Table1[[#This Row],[Age]]&gt;55,"Old",IF(Table1[[#This Row],[Age]]&gt;25,"Middle","Na")))</f>
        <v>Old</v>
      </c>
      <c r="G377" t="s">
        <v>11</v>
      </c>
      <c r="H377">
        <v>1</v>
      </c>
      <c r="I377">
        <v>30</v>
      </c>
      <c r="J377">
        <v>30</v>
      </c>
    </row>
    <row r="378" spans="1:10" x14ac:dyDescent="0.35">
      <c r="A378">
        <v>377</v>
      </c>
      <c r="B378" s="1">
        <v>44994</v>
      </c>
      <c r="C378" t="s">
        <v>390</v>
      </c>
      <c r="D378" t="s">
        <v>13</v>
      </c>
      <c r="E378">
        <v>46</v>
      </c>
      <c r="F378" t="str">
        <f>IF(Table1[[#This Row],[Age]]&lt;=25,"Young",IF(Table1[[#This Row],[Age]]&gt;55,"Old",IF(Table1[[#This Row],[Age]]&gt;25,"Middle","Na")))</f>
        <v>Middle</v>
      </c>
      <c r="G378" t="s">
        <v>14</v>
      </c>
      <c r="H378">
        <v>4</v>
      </c>
      <c r="I378">
        <v>50</v>
      </c>
      <c r="J378">
        <v>200</v>
      </c>
    </row>
    <row r="379" spans="1:10" x14ac:dyDescent="0.35">
      <c r="A379">
        <v>378</v>
      </c>
      <c r="B379" s="1">
        <v>45105</v>
      </c>
      <c r="C379" t="s">
        <v>391</v>
      </c>
      <c r="D379" t="s">
        <v>10</v>
      </c>
      <c r="E379">
        <v>50</v>
      </c>
      <c r="F379" t="str">
        <f>IF(Table1[[#This Row],[Age]]&lt;=25,"Young",IF(Table1[[#This Row],[Age]]&gt;55,"Old",IF(Table1[[#This Row],[Age]]&gt;25,"Middle","Na")))</f>
        <v>Middle</v>
      </c>
      <c r="G379" t="s">
        <v>11</v>
      </c>
      <c r="H379">
        <v>1</v>
      </c>
      <c r="I379">
        <v>300</v>
      </c>
      <c r="J379">
        <v>300</v>
      </c>
    </row>
    <row r="380" spans="1:10" x14ac:dyDescent="0.35">
      <c r="A380">
        <v>379</v>
      </c>
      <c r="B380" s="1">
        <v>44962</v>
      </c>
      <c r="C380" t="s">
        <v>392</v>
      </c>
      <c r="D380" t="s">
        <v>13</v>
      </c>
      <c r="E380">
        <v>47</v>
      </c>
      <c r="F380" t="str">
        <f>IF(Table1[[#This Row],[Age]]&lt;=25,"Young",IF(Table1[[#This Row],[Age]]&gt;55,"Old",IF(Table1[[#This Row],[Age]]&gt;25,"Middle","Na")))</f>
        <v>Middle</v>
      </c>
      <c r="G380" t="s">
        <v>14</v>
      </c>
      <c r="H380">
        <v>1</v>
      </c>
      <c r="I380">
        <v>25</v>
      </c>
      <c r="J380">
        <v>25</v>
      </c>
    </row>
    <row r="381" spans="1:10" x14ac:dyDescent="0.35">
      <c r="A381">
        <v>380</v>
      </c>
      <c r="B381" s="1">
        <v>45052</v>
      </c>
      <c r="C381" t="s">
        <v>393</v>
      </c>
      <c r="D381" t="s">
        <v>10</v>
      </c>
      <c r="E381">
        <v>56</v>
      </c>
      <c r="F381" t="str">
        <f>IF(Table1[[#This Row],[Age]]&lt;=25,"Young",IF(Table1[[#This Row],[Age]]&gt;55,"Old",IF(Table1[[#This Row],[Age]]&gt;25,"Middle","Na")))</f>
        <v>Old</v>
      </c>
      <c r="G381" t="s">
        <v>16</v>
      </c>
      <c r="H381">
        <v>2</v>
      </c>
      <c r="I381">
        <v>300</v>
      </c>
      <c r="J381">
        <v>600</v>
      </c>
    </row>
    <row r="382" spans="1:10" x14ac:dyDescent="0.35">
      <c r="A382">
        <v>381</v>
      </c>
      <c r="B382" s="1">
        <v>45116</v>
      </c>
      <c r="C382" t="s">
        <v>394</v>
      </c>
      <c r="D382" t="s">
        <v>13</v>
      </c>
      <c r="E382">
        <v>44</v>
      </c>
      <c r="F382" t="str">
        <f>IF(Table1[[#This Row],[Age]]&lt;=25,"Young",IF(Table1[[#This Row],[Age]]&gt;55,"Old",IF(Table1[[#This Row],[Age]]&gt;25,"Middle","Na")))</f>
        <v>Middle</v>
      </c>
      <c r="G382" t="s">
        <v>14</v>
      </c>
      <c r="H382">
        <v>4</v>
      </c>
      <c r="I382">
        <v>25</v>
      </c>
      <c r="J382">
        <v>100</v>
      </c>
    </row>
    <row r="383" spans="1:10" x14ac:dyDescent="0.35">
      <c r="A383">
        <v>382</v>
      </c>
      <c r="B383" s="1">
        <v>45072</v>
      </c>
      <c r="C383" t="s">
        <v>395</v>
      </c>
      <c r="D383" t="s">
        <v>13</v>
      </c>
      <c r="E383">
        <v>53</v>
      </c>
      <c r="F383" t="str">
        <f>IF(Table1[[#This Row],[Age]]&lt;=25,"Young",IF(Table1[[#This Row],[Age]]&gt;55,"Old",IF(Table1[[#This Row],[Age]]&gt;25,"Middle","Na")))</f>
        <v>Middle</v>
      </c>
      <c r="G383" t="s">
        <v>14</v>
      </c>
      <c r="H383">
        <v>2</v>
      </c>
      <c r="I383">
        <v>500</v>
      </c>
      <c r="J383">
        <v>1000</v>
      </c>
    </row>
    <row r="384" spans="1:10" x14ac:dyDescent="0.35">
      <c r="A384">
        <v>383</v>
      </c>
      <c r="B384" s="1">
        <v>45007</v>
      </c>
      <c r="C384" t="s">
        <v>396</v>
      </c>
      <c r="D384" t="s">
        <v>13</v>
      </c>
      <c r="E384">
        <v>46</v>
      </c>
      <c r="F384" t="str">
        <f>IF(Table1[[#This Row],[Age]]&lt;=25,"Young",IF(Table1[[#This Row],[Age]]&gt;55,"Old",IF(Table1[[#This Row],[Age]]&gt;25,"Middle","Na")))</f>
        <v>Middle</v>
      </c>
      <c r="G384" t="s">
        <v>11</v>
      </c>
      <c r="H384">
        <v>3</v>
      </c>
      <c r="I384">
        <v>30</v>
      </c>
      <c r="J384">
        <v>90</v>
      </c>
    </row>
    <row r="385" spans="1:10" x14ac:dyDescent="0.35">
      <c r="A385">
        <v>384</v>
      </c>
      <c r="B385" s="1">
        <v>45151</v>
      </c>
      <c r="C385" t="s">
        <v>397</v>
      </c>
      <c r="D385" t="s">
        <v>10</v>
      </c>
      <c r="E385">
        <v>55</v>
      </c>
      <c r="F385" t="str">
        <f>IF(Table1[[#This Row],[Age]]&lt;=25,"Young",IF(Table1[[#This Row],[Age]]&gt;55,"Old",IF(Table1[[#This Row],[Age]]&gt;25,"Middle","Na")))</f>
        <v>Middle</v>
      </c>
      <c r="G385" t="s">
        <v>14</v>
      </c>
      <c r="H385">
        <v>1</v>
      </c>
      <c r="I385">
        <v>500</v>
      </c>
      <c r="J385">
        <v>500</v>
      </c>
    </row>
    <row r="386" spans="1:10" x14ac:dyDescent="0.35">
      <c r="A386">
        <v>385</v>
      </c>
      <c r="B386" s="1">
        <v>45205</v>
      </c>
      <c r="C386" t="s">
        <v>398</v>
      </c>
      <c r="D386" t="s">
        <v>10</v>
      </c>
      <c r="E386">
        <v>50</v>
      </c>
      <c r="F386" t="str">
        <f>IF(Table1[[#This Row],[Age]]&lt;=25,"Young",IF(Table1[[#This Row],[Age]]&gt;55,"Old",IF(Table1[[#This Row],[Age]]&gt;25,"Middle","Na")))</f>
        <v>Middle</v>
      </c>
      <c r="G386" t="s">
        <v>16</v>
      </c>
      <c r="H386">
        <v>3</v>
      </c>
      <c r="I386">
        <v>500</v>
      </c>
      <c r="J386">
        <v>1500</v>
      </c>
    </row>
    <row r="387" spans="1:10" x14ac:dyDescent="0.35">
      <c r="A387">
        <v>386</v>
      </c>
      <c r="B387" s="1">
        <v>45287</v>
      </c>
      <c r="C387" t="s">
        <v>399</v>
      </c>
      <c r="D387" t="s">
        <v>13</v>
      </c>
      <c r="E387">
        <v>54</v>
      </c>
      <c r="F387" t="str">
        <f>IF(Table1[[#This Row],[Age]]&lt;=25,"Young",IF(Table1[[#This Row],[Age]]&gt;55,"Old",IF(Table1[[#This Row],[Age]]&gt;25,"Middle","Na")))</f>
        <v>Middle</v>
      </c>
      <c r="G387" t="s">
        <v>16</v>
      </c>
      <c r="H387">
        <v>2</v>
      </c>
      <c r="I387">
        <v>300</v>
      </c>
      <c r="J387">
        <v>600</v>
      </c>
    </row>
    <row r="388" spans="1:10" x14ac:dyDescent="0.35">
      <c r="A388">
        <v>387</v>
      </c>
      <c r="B388" s="1">
        <v>45081</v>
      </c>
      <c r="C388" t="s">
        <v>400</v>
      </c>
      <c r="D388" t="s">
        <v>10</v>
      </c>
      <c r="E388">
        <v>44</v>
      </c>
      <c r="F388" t="str">
        <f>IF(Table1[[#This Row],[Age]]&lt;=25,"Young",IF(Table1[[#This Row],[Age]]&gt;55,"Old",IF(Table1[[#This Row],[Age]]&gt;25,"Middle","Na")))</f>
        <v>Middle</v>
      </c>
      <c r="G388" t="s">
        <v>11</v>
      </c>
      <c r="H388">
        <v>1</v>
      </c>
      <c r="I388">
        <v>30</v>
      </c>
      <c r="J388">
        <v>30</v>
      </c>
    </row>
    <row r="389" spans="1:10" x14ac:dyDescent="0.35">
      <c r="A389">
        <v>388</v>
      </c>
      <c r="B389" s="1">
        <v>45240</v>
      </c>
      <c r="C389" t="s">
        <v>401</v>
      </c>
      <c r="D389" t="s">
        <v>10</v>
      </c>
      <c r="E389">
        <v>50</v>
      </c>
      <c r="F389" t="str">
        <f>IF(Table1[[#This Row],[Age]]&lt;=25,"Young",IF(Table1[[#This Row],[Age]]&gt;55,"Old",IF(Table1[[#This Row],[Age]]&gt;25,"Middle","Na")))</f>
        <v>Middle</v>
      </c>
      <c r="G389" t="s">
        <v>16</v>
      </c>
      <c r="H389">
        <v>1</v>
      </c>
      <c r="I389">
        <v>25</v>
      </c>
      <c r="J389">
        <v>25</v>
      </c>
    </row>
    <row r="390" spans="1:10" x14ac:dyDescent="0.35">
      <c r="A390">
        <v>389</v>
      </c>
      <c r="B390" s="1">
        <v>45261</v>
      </c>
      <c r="C390" t="s">
        <v>402</v>
      </c>
      <c r="D390" t="s">
        <v>10</v>
      </c>
      <c r="E390">
        <v>21</v>
      </c>
      <c r="F390" t="str">
        <f>IF(Table1[[#This Row],[Age]]&lt;=25,"Young",IF(Table1[[#This Row],[Age]]&gt;55,"Old",IF(Table1[[#This Row],[Age]]&gt;25,"Middle","Na")))</f>
        <v>Young</v>
      </c>
      <c r="G390" t="s">
        <v>14</v>
      </c>
      <c r="H390">
        <v>2</v>
      </c>
      <c r="I390">
        <v>25</v>
      </c>
      <c r="J390">
        <v>50</v>
      </c>
    </row>
    <row r="391" spans="1:10" x14ac:dyDescent="0.35">
      <c r="A391">
        <v>390</v>
      </c>
      <c r="B391" s="1">
        <v>45197</v>
      </c>
      <c r="C391" t="s">
        <v>403</v>
      </c>
      <c r="D391" t="s">
        <v>10</v>
      </c>
      <c r="E391">
        <v>39</v>
      </c>
      <c r="F391" t="str">
        <f>IF(Table1[[#This Row],[Age]]&lt;=25,"Young",IF(Table1[[#This Row],[Age]]&gt;55,"Old",IF(Table1[[#This Row],[Age]]&gt;25,"Middle","Na")))</f>
        <v>Middle</v>
      </c>
      <c r="G391" t="s">
        <v>16</v>
      </c>
      <c r="H391">
        <v>2</v>
      </c>
      <c r="I391">
        <v>50</v>
      </c>
      <c r="J391">
        <v>100</v>
      </c>
    </row>
    <row r="392" spans="1:10" x14ac:dyDescent="0.35">
      <c r="A392">
        <v>391</v>
      </c>
      <c r="B392" s="1">
        <v>44931</v>
      </c>
      <c r="C392" t="s">
        <v>404</v>
      </c>
      <c r="D392" t="s">
        <v>10</v>
      </c>
      <c r="E392">
        <v>19</v>
      </c>
      <c r="F392" t="str">
        <f>IF(Table1[[#This Row],[Age]]&lt;=25,"Young",IF(Table1[[#This Row],[Age]]&gt;55,"Old",IF(Table1[[#This Row],[Age]]&gt;25,"Middle","Na")))</f>
        <v>Young</v>
      </c>
      <c r="G392" t="s">
        <v>11</v>
      </c>
      <c r="H392">
        <v>2</v>
      </c>
      <c r="I392">
        <v>25</v>
      </c>
      <c r="J392">
        <v>50</v>
      </c>
    </row>
    <row r="393" spans="1:10" x14ac:dyDescent="0.35">
      <c r="A393">
        <v>392</v>
      </c>
      <c r="B393" s="1">
        <v>45268</v>
      </c>
      <c r="C393" t="s">
        <v>405</v>
      </c>
      <c r="D393" t="s">
        <v>10</v>
      </c>
      <c r="E393">
        <v>27</v>
      </c>
      <c r="F393" t="str">
        <f>IF(Table1[[#This Row],[Age]]&lt;=25,"Young",IF(Table1[[#This Row],[Age]]&gt;55,"Old",IF(Table1[[#This Row],[Age]]&gt;25,"Middle","Na")))</f>
        <v>Middle</v>
      </c>
      <c r="G393" t="s">
        <v>14</v>
      </c>
      <c r="H393">
        <v>2</v>
      </c>
      <c r="I393">
        <v>300</v>
      </c>
      <c r="J393">
        <v>600</v>
      </c>
    </row>
    <row r="394" spans="1:10" x14ac:dyDescent="0.35">
      <c r="A394">
        <v>393</v>
      </c>
      <c r="B394" s="1">
        <v>45210</v>
      </c>
      <c r="C394" t="s">
        <v>406</v>
      </c>
      <c r="D394" t="s">
        <v>13</v>
      </c>
      <c r="E394">
        <v>22</v>
      </c>
      <c r="F394" t="str">
        <f>IF(Table1[[#This Row],[Age]]&lt;=25,"Young",IF(Table1[[#This Row],[Age]]&gt;55,"Old",IF(Table1[[#This Row],[Age]]&gt;25,"Middle","Na")))</f>
        <v>Young</v>
      </c>
      <c r="G394" t="s">
        <v>11</v>
      </c>
      <c r="H394">
        <v>2</v>
      </c>
      <c r="I394">
        <v>500</v>
      </c>
      <c r="J394">
        <v>1000</v>
      </c>
    </row>
    <row r="395" spans="1:10" x14ac:dyDescent="0.35">
      <c r="A395">
        <v>394</v>
      </c>
      <c r="B395" s="1">
        <v>45080</v>
      </c>
      <c r="C395" t="s">
        <v>407</v>
      </c>
      <c r="D395" t="s">
        <v>13</v>
      </c>
      <c r="E395">
        <v>27</v>
      </c>
      <c r="F395" t="str">
        <f>IF(Table1[[#This Row],[Age]]&lt;=25,"Young",IF(Table1[[#This Row],[Age]]&gt;55,"Old",IF(Table1[[#This Row],[Age]]&gt;25,"Middle","Na")))</f>
        <v>Middle</v>
      </c>
      <c r="G395" t="s">
        <v>14</v>
      </c>
      <c r="H395">
        <v>1</v>
      </c>
      <c r="I395">
        <v>500</v>
      </c>
      <c r="J395">
        <v>500</v>
      </c>
    </row>
    <row r="396" spans="1:10" x14ac:dyDescent="0.35">
      <c r="A396">
        <v>395</v>
      </c>
      <c r="B396" s="1">
        <v>45266</v>
      </c>
      <c r="C396" t="s">
        <v>408</v>
      </c>
      <c r="D396" t="s">
        <v>10</v>
      </c>
      <c r="E396">
        <v>50</v>
      </c>
      <c r="F396" t="str">
        <f>IF(Table1[[#This Row],[Age]]&lt;=25,"Young",IF(Table1[[#This Row],[Age]]&gt;55,"Old",IF(Table1[[#This Row],[Age]]&gt;25,"Middle","Na")))</f>
        <v>Middle</v>
      </c>
      <c r="G396" t="s">
        <v>16</v>
      </c>
      <c r="H396">
        <v>2</v>
      </c>
      <c r="I396">
        <v>500</v>
      </c>
      <c r="J396">
        <v>1000</v>
      </c>
    </row>
    <row r="397" spans="1:10" x14ac:dyDescent="0.35">
      <c r="A397">
        <v>396</v>
      </c>
      <c r="B397" s="1">
        <v>44980</v>
      </c>
      <c r="C397" t="s">
        <v>409</v>
      </c>
      <c r="D397" t="s">
        <v>13</v>
      </c>
      <c r="E397">
        <v>55</v>
      </c>
      <c r="F397" t="str">
        <f>IF(Table1[[#This Row],[Age]]&lt;=25,"Young",IF(Table1[[#This Row],[Age]]&gt;55,"Old",IF(Table1[[#This Row],[Age]]&gt;25,"Middle","Na")))</f>
        <v>Middle</v>
      </c>
      <c r="G397" t="s">
        <v>11</v>
      </c>
      <c r="H397">
        <v>1</v>
      </c>
      <c r="I397">
        <v>30</v>
      </c>
      <c r="J397">
        <v>30</v>
      </c>
    </row>
    <row r="398" spans="1:10" x14ac:dyDescent="0.35">
      <c r="A398">
        <v>397</v>
      </c>
      <c r="B398" s="1">
        <v>44995</v>
      </c>
      <c r="C398" t="s">
        <v>410</v>
      </c>
      <c r="D398" t="s">
        <v>13</v>
      </c>
      <c r="E398">
        <v>30</v>
      </c>
      <c r="F398" t="str">
        <f>IF(Table1[[#This Row],[Age]]&lt;=25,"Young",IF(Table1[[#This Row],[Age]]&gt;55,"Old",IF(Table1[[#This Row],[Age]]&gt;25,"Middle","Na")))</f>
        <v>Middle</v>
      </c>
      <c r="G398" t="s">
        <v>11</v>
      </c>
      <c r="H398">
        <v>1</v>
      </c>
      <c r="I398">
        <v>25</v>
      </c>
      <c r="J398">
        <v>25</v>
      </c>
    </row>
    <row r="399" spans="1:10" x14ac:dyDescent="0.35">
      <c r="A399">
        <v>398</v>
      </c>
      <c r="B399" s="1">
        <v>45062</v>
      </c>
      <c r="C399" t="s">
        <v>411</v>
      </c>
      <c r="D399" t="s">
        <v>13</v>
      </c>
      <c r="E399">
        <v>48</v>
      </c>
      <c r="F399" t="str">
        <f>IF(Table1[[#This Row],[Age]]&lt;=25,"Young",IF(Table1[[#This Row],[Age]]&gt;55,"Old",IF(Table1[[#This Row],[Age]]&gt;25,"Middle","Na")))</f>
        <v>Middle</v>
      </c>
      <c r="G399" t="s">
        <v>14</v>
      </c>
      <c r="H399">
        <v>2</v>
      </c>
      <c r="I399">
        <v>300</v>
      </c>
      <c r="J399">
        <v>600</v>
      </c>
    </row>
    <row r="400" spans="1:10" x14ac:dyDescent="0.35">
      <c r="A400">
        <v>399</v>
      </c>
      <c r="B400" s="1">
        <v>44986</v>
      </c>
      <c r="C400" t="s">
        <v>412</v>
      </c>
      <c r="D400" t="s">
        <v>13</v>
      </c>
      <c r="E400">
        <v>64</v>
      </c>
      <c r="F400" t="str">
        <f>IF(Table1[[#This Row],[Age]]&lt;=25,"Young",IF(Table1[[#This Row],[Age]]&gt;55,"Old",IF(Table1[[#This Row],[Age]]&gt;25,"Middle","Na")))</f>
        <v>Old</v>
      </c>
      <c r="G400" t="s">
        <v>11</v>
      </c>
      <c r="H400">
        <v>2</v>
      </c>
      <c r="I400">
        <v>30</v>
      </c>
      <c r="J400">
        <v>60</v>
      </c>
    </row>
    <row r="401" spans="1:10" x14ac:dyDescent="0.35">
      <c r="A401">
        <v>400</v>
      </c>
      <c r="B401" s="1">
        <v>44981</v>
      </c>
      <c r="C401" t="s">
        <v>413</v>
      </c>
      <c r="D401" t="s">
        <v>10</v>
      </c>
      <c r="E401">
        <v>53</v>
      </c>
      <c r="F401" t="str">
        <f>IF(Table1[[#This Row],[Age]]&lt;=25,"Young",IF(Table1[[#This Row],[Age]]&gt;55,"Old",IF(Table1[[#This Row],[Age]]&gt;25,"Middle","Na")))</f>
        <v>Middle</v>
      </c>
      <c r="G401" t="s">
        <v>14</v>
      </c>
      <c r="H401">
        <v>4</v>
      </c>
      <c r="I401">
        <v>50</v>
      </c>
      <c r="J401">
        <v>200</v>
      </c>
    </row>
    <row r="402" spans="1:10" x14ac:dyDescent="0.35">
      <c r="A402">
        <v>401</v>
      </c>
      <c r="B402" s="1">
        <v>45210</v>
      </c>
      <c r="C402" t="s">
        <v>414</v>
      </c>
      <c r="D402" t="s">
        <v>13</v>
      </c>
      <c r="E402">
        <v>62</v>
      </c>
      <c r="F402" t="str">
        <f>IF(Table1[[#This Row],[Age]]&lt;=25,"Young",IF(Table1[[#This Row],[Age]]&gt;55,"Old",IF(Table1[[#This Row],[Age]]&gt;25,"Middle","Na")))</f>
        <v>Old</v>
      </c>
      <c r="G402" t="s">
        <v>14</v>
      </c>
      <c r="H402">
        <v>1</v>
      </c>
      <c r="I402">
        <v>300</v>
      </c>
      <c r="J402">
        <v>300</v>
      </c>
    </row>
    <row r="403" spans="1:10" x14ac:dyDescent="0.35">
      <c r="A403">
        <v>402</v>
      </c>
      <c r="B403" s="1">
        <v>45006</v>
      </c>
      <c r="C403" t="s">
        <v>415</v>
      </c>
      <c r="D403" t="s">
        <v>13</v>
      </c>
      <c r="E403">
        <v>41</v>
      </c>
      <c r="F403" t="str">
        <f>IF(Table1[[#This Row],[Age]]&lt;=25,"Young",IF(Table1[[#This Row],[Age]]&gt;55,"Old",IF(Table1[[#This Row],[Age]]&gt;25,"Middle","Na")))</f>
        <v>Middle</v>
      </c>
      <c r="G403" t="s">
        <v>14</v>
      </c>
      <c r="H403">
        <v>2</v>
      </c>
      <c r="I403">
        <v>300</v>
      </c>
      <c r="J403">
        <v>600</v>
      </c>
    </row>
    <row r="404" spans="1:10" x14ac:dyDescent="0.35">
      <c r="A404">
        <v>403</v>
      </c>
      <c r="B404" s="1">
        <v>45066</v>
      </c>
      <c r="C404" t="s">
        <v>416</v>
      </c>
      <c r="D404" t="s">
        <v>10</v>
      </c>
      <c r="E404">
        <v>32</v>
      </c>
      <c r="F404" t="str">
        <f>IF(Table1[[#This Row],[Age]]&lt;=25,"Young",IF(Table1[[#This Row],[Age]]&gt;55,"Old",IF(Table1[[#This Row],[Age]]&gt;25,"Middle","Na")))</f>
        <v>Middle</v>
      </c>
      <c r="G404" t="s">
        <v>14</v>
      </c>
      <c r="H404">
        <v>2</v>
      </c>
      <c r="I404">
        <v>300</v>
      </c>
      <c r="J404">
        <v>600</v>
      </c>
    </row>
    <row r="405" spans="1:10" x14ac:dyDescent="0.35">
      <c r="A405">
        <v>404</v>
      </c>
      <c r="B405" s="1">
        <v>45071</v>
      </c>
      <c r="C405" t="s">
        <v>417</v>
      </c>
      <c r="D405" t="s">
        <v>10</v>
      </c>
      <c r="E405">
        <v>46</v>
      </c>
      <c r="F405" t="str">
        <f>IF(Table1[[#This Row],[Age]]&lt;=25,"Young",IF(Table1[[#This Row],[Age]]&gt;55,"Old",IF(Table1[[#This Row],[Age]]&gt;25,"Middle","Na")))</f>
        <v>Middle</v>
      </c>
      <c r="G405" t="s">
        <v>16</v>
      </c>
      <c r="H405">
        <v>2</v>
      </c>
      <c r="I405">
        <v>500</v>
      </c>
      <c r="J405">
        <v>1000</v>
      </c>
    </row>
    <row r="406" spans="1:10" x14ac:dyDescent="0.35">
      <c r="A406">
        <v>405</v>
      </c>
      <c r="B406" s="1">
        <v>45236</v>
      </c>
      <c r="C406" t="s">
        <v>418</v>
      </c>
      <c r="D406" t="s">
        <v>13</v>
      </c>
      <c r="E406">
        <v>25</v>
      </c>
      <c r="F406" t="str">
        <f>IF(Table1[[#This Row],[Age]]&lt;=25,"Young",IF(Table1[[#This Row],[Age]]&gt;55,"Old",IF(Table1[[#This Row],[Age]]&gt;25,"Middle","Na")))</f>
        <v>Young</v>
      </c>
      <c r="G406" t="s">
        <v>14</v>
      </c>
      <c r="H406">
        <v>4</v>
      </c>
      <c r="I406">
        <v>300</v>
      </c>
      <c r="J406">
        <v>1200</v>
      </c>
    </row>
    <row r="407" spans="1:10" x14ac:dyDescent="0.35">
      <c r="A407">
        <v>406</v>
      </c>
      <c r="B407" s="1">
        <v>45034</v>
      </c>
      <c r="C407" t="s">
        <v>419</v>
      </c>
      <c r="D407" t="s">
        <v>13</v>
      </c>
      <c r="E407">
        <v>22</v>
      </c>
      <c r="F407" t="str">
        <f>IF(Table1[[#This Row],[Age]]&lt;=25,"Young",IF(Table1[[#This Row],[Age]]&gt;55,"Old",IF(Table1[[#This Row],[Age]]&gt;25,"Middle","Na")))</f>
        <v>Young</v>
      </c>
      <c r="G407" t="s">
        <v>11</v>
      </c>
      <c r="H407">
        <v>4</v>
      </c>
      <c r="I407">
        <v>25</v>
      </c>
      <c r="J407">
        <v>100</v>
      </c>
    </row>
    <row r="408" spans="1:10" x14ac:dyDescent="0.35">
      <c r="A408">
        <v>407</v>
      </c>
      <c r="B408" s="1">
        <v>45102</v>
      </c>
      <c r="C408" t="s">
        <v>420</v>
      </c>
      <c r="D408" t="s">
        <v>13</v>
      </c>
      <c r="E408">
        <v>46</v>
      </c>
      <c r="F408" t="str">
        <f>IF(Table1[[#This Row],[Age]]&lt;=25,"Young",IF(Table1[[#This Row],[Age]]&gt;55,"Old",IF(Table1[[#This Row],[Age]]&gt;25,"Middle","Na")))</f>
        <v>Middle</v>
      </c>
      <c r="G408" t="s">
        <v>16</v>
      </c>
      <c r="H408">
        <v>3</v>
      </c>
      <c r="I408">
        <v>300</v>
      </c>
      <c r="J408">
        <v>900</v>
      </c>
    </row>
    <row r="409" spans="1:10" x14ac:dyDescent="0.35">
      <c r="A409">
        <v>408</v>
      </c>
      <c r="B409" s="1">
        <v>45031</v>
      </c>
      <c r="C409" t="s">
        <v>421</v>
      </c>
      <c r="D409" t="s">
        <v>13</v>
      </c>
      <c r="E409">
        <v>64</v>
      </c>
      <c r="F409" t="str">
        <f>IF(Table1[[#This Row],[Age]]&lt;=25,"Young",IF(Table1[[#This Row],[Age]]&gt;55,"Old",IF(Table1[[#This Row],[Age]]&gt;25,"Middle","Na")))</f>
        <v>Old</v>
      </c>
      <c r="G409" t="s">
        <v>11</v>
      </c>
      <c r="H409">
        <v>1</v>
      </c>
      <c r="I409">
        <v>500</v>
      </c>
      <c r="J409">
        <v>500</v>
      </c>
    </row>
    <row r="410" spans="1:10" x14ac:dyDescent="0.35">
      <c r="A410">
        <v>409</v>
      </c>
      <c r="B410" s="1">
        <v>45278</v>
      </c>
      <c r="C410" t="s">
        <v>422</v>
      </c>
      <c r="D410" t="s">
        <v>13</v>
      </c>
      <c r="E410">
        <v>21</v>
      </c>
      <c r="F410" t="str">
        <f>IF(Table1[[#This Row],[Age]]&lt;=25,"Young",IF(Table1[[#This Row],[Age]]&gt;55,"Old",IF(Table1[[#This Row],[Age]]&gt;25,"Middle","Na")))</f>
        <v>Young</v>
      </c>
      <c r="G410" t="s">
        <v>16</v>
      </c>
      <c r="H410">
        <v>3</v>
      </c>
      <c r="I410">
        <v>300</v>
      </c>
      <c r="J410">
        <v>900</v>
      </c>
    </row>
    <row r="411" spans="1:10" x14ac:dyDescent="0.35">
      <c r="A411">
        <v>410</v>
      </c>
      <c r="B411" s="1">
        <v>45251</v>
      </c>
      <c r="C411" t="s">
        <v>423</v>
      </c>
      <c r="D411" t="s">
        <v>13</v>
      </c>
      <c r="E411">
        <v>29</v>
      </c>
      <c r="F411" t="str">
        <f>IF(Table1[[#This Row],[Age]]&lt;=25,"Young",IF(Table1[[#This Row],[Age]]&gt;55,"Old",IF(Table1[[#This Row],[Age]]&gt;25,"Middle","Na")))</f>
        <v>Middle</v>
      </c>
      <c r="G411" t="s">
        <v>14</v>
      </c>
      <c r="H411">
        <v>2</v>
      </c>
      <c r="I411">
        <v>50</v>
      </c>
      <c r="J411">
        <v>100</v>
      </c>
    </row>
    <row r="412" spans="1:10" x14ac:dyDescent="0.35">
      <c r="A412">
        <v>411</v>
      </c>
      <c r="B412" s="1">
        <v>45062</v>
      </c>
      <c r="C412" t="s">
        <v>424</v>
      </c>
      <c r="D412" t="s">
        <v>10</v>
      </c>
      <c r="E412">
        <v>62</v>
      </c>
      <c r="F412" t="str">
        <f>IF(Table1[[#This Row],[Age]]&lt;=25,"Young",IF(Table1[[#This Row],[Age]]&gt;55,"Old",IF(Table1[[#This Row],[Age]]&gt;25,"Middle","Na")))</f>
        <v>Old</v>
      </c>
      <c r="G412" t="s">
        <v>16</v>
      </c>
      <c r="H412">
        <v>4</v>
      </c>
      <c r="I412">
        <v>50</v>
      </c>
      <c r="J412">
        <v>200</v>
      </c>
    </row>
    <row r="413" spans="1:10" x14ac:dyDescent="0.35">
      <c r="A413">
        <v>412</v>
      </c>
      <c r="B413" s="1">
        <v>45185</v>
      </c>
      <c r="C413" t="s">
        <v>425</v>
      </c>
      <c r="D413" t="s">
        <v>13</v>
      </c>
      <c r="E413">
        <v>19</v>
      </c>
      <c r="F413" t="str">
        <f>IF(Table1[[#This Row],[Age]]&lt;=25,"Young",IF(Table1[[#This Row],[Age]]&gt;55,"Old",IF(Table1[[#This Row],[Age]]&gt;25,"Middle","Na")))</f>
        <v>Young</v>
      </c>
      <c r="G413" t="s">
        <v>16</v>
      </c>
      <c r="H413">
        <v>4</v>
      </c>
      <c r="I413">
        <v>500</v>
      </c>
      <c r="J413">
        <v>2000</v>
      </c>
    </row>
    <row r="414" spans="1:10" x14ac:dyDescent="0.35">
      <c r="A414">
        <v>413</v>
      </c>
      <c r="B414" s="1">
        <v>45177</v>
      </c>
      <c r="C414" t="s">
        <v>426</v>
      </c>
      <c r="D414" t="s">
        <v>13</v>
      </c>
      <c r="E414">
        <v>44</v>
      </c>
      <c r="F414" t="str">
        <f>IF(Table1[[#This Row],[Age]]&lt;=25,"Young",IF(Table1[[#This Row],[Age]]&gt;55,"Old",IF(Table1[[#This Row],[Age]]&gt;25,"Middle","Na")))</f>
        <v>Middle</v>
      </c>
      <c r="G414" t="s">
        <v>11</v>
      </c>
      <c r="H414">
        <v>3</v>
      </c>
      <c r="I414">
        <v>25</v>
      </c>
      <c r="J414">
        <v>75</v>
      </c>
    </row>
    <row r="415" spans="1:10" x14ac:dyDescent="0.35">
      <c r="A415">
        <v>414</v>
      </c>
      <c r="B415" s="1">
        <v>45055</v>
      </c>
      <c r="C415" t="s">
        <v>427</v>
      </c>
      <c r="D415" t="s">
        <v>10</v>
      </c>
      <c r="E415">
        <v>48</v>
      </c>
      <c r="F415" t="str">
        <f>IF(Table1[[#This Row],[Age]]&lt;=25,"Young",IF(Table1[[#This Row],[Age]]&gt;55,"Old",IF(Table1[[#This Row],[Age]]&gt;25,"Middle","Na")))</f>
        <v>Middle</v>
      </c>
      <c r="G415" t="s">
        <v>11</v>
      </c>
      <c r="H415">
        <v>4</v>
      </c>
      <c r="I415">
        <v>25</v>
      </c>
      <c r="J415">
        <v>100</v>
      </c>
    </row>
    <row r="416" spans="1:10" x14ac:dyDescent="0.35">
      <c r="A416">
        <v>415</v>
      </c>
      <c r="B416" s="1">
        <v>44953</v>
      </c>
      <c r="C416" t="s">
        <v>428</v>
      </c>
      <c r="D416" t="s">
        <v>10</v>
      </c>
      <c r="E416">
        <v>53</v>
      </c>
      <c r="F416" t="str">
        <f>IF(Table1[[#This Row],[Age]]&lt;=25,"Young",IF(Table1[[#This Row],[Age]]&gt;55,"Old",IF(Table1[[#This Row],[Age]]&gt;25,"Middle","Na")))</f>
        <v>Middle</v>
      </c>
      <c r="G416" t="s">
        <v>14</v>
      </c>
      <c r="H416">
        <v>2</v>
      </c>
      <c r="I416">
        <v>30</v>
      </c>
      <c r="J416">
        <v>60</v>
      </c>
    </row>
    <row r="417" spans="1:10" x14ac:dyDescent="0.35">
      <c r="A417">
        <v>416</v>
      </c>
      <c r="B417" s="1">
        <v>44974</v>
      </c>
      <c r="C417" t="s">
        <v>429</v>
      </c>
      <c r="D417" t="s">
        <v>10</v>
      </c>
      <c r="E417">
        <v>53</v>
      </c>
      <c r="F417" t="str">
        <f>IF(Table1[[#This Row],[Age]]&lt;=25,"Young",IF(Table1[[#This Row],[Age]]&gt;55,"Old",IF(Table1[[#This Row],[Age]]&gt;25,"Middle","Na")))</f>
        <v>Middle</v>
      </c>
      <c r="G417" t="s">
        <v>16</v>
      </c>
      <c r="H417">
        <v>4</v>
      </c>
      <c r="I417">
        <v>500</v>
      </c>
      <c r="J417">
        <v>2000</v>
      </c>
    </row>
    <row r="418" spans="1:10" x14ac:dyDescent="0.35">
      <c r="A418">
        <v>417</v>
      </c>
      <c r="B418" s="1">
        <v>45251</v>
      </c>
      <c r="C418" t="s">
        <v>430</v>
      </c>
      <c r="D418" t="s">
        <v>10</v>
      </c>
      <c r="E418">
        <v>43</v>
      </c>
      <c r="F418" t="str">
        <f>IF(Table1[[#This Row],[Age]]&lt;=25,"Young",IF(Table1[[#This Row],[Age]]&gt;55,"Old",IF(Table1[[#This Row],[Age]]&gt;25,"Middle","Na")))</f>
        <v>Middle</v>
      </c>
      <c r="G418" t="s">
        <v>16</v>
      </c>
      <c r="H418">
        <v>3</v>
      </c>
      <c r="I418">
        <v>300</v>
      </c>
      <c r="J418">
        <v>900</v>
      </c>
    </row>
    <row r="419" spans="1:10" x14ac:dyDescent="0.35">
      <c r="A419">
        <v>418</v>
      </c>
      <c r="B419" s="1">
        <v>45143</v>
      </c>
      <c r="C419" t="s">
        <v>431</v>
      </c>
      <c r="D419" t="s">
        <v>13</v>
      </c>
      <c r="E419">
        <v>60</v>
      </c>
      <c r="F419" t="str">
        <f>IF(Table1[[#This Row],[Age]]&lt;=25,"Young",IF(Table1[[#This Row],[Age]]&gt;55,"Old",IF(Table1[[#This Row],[Age]]&gt;25,"Middle","Na")))</f>
        <v>Old</v>
      </c>
      <c r="G419" t="s">
        <v>16</v>
      </c>
      <c r="H419">
        <v>2</v>
      </c>
      <c r="I419">
        <v>500</v>
      </c>
      <c r="J419">
        <v>1000</v>
      </c>
    </row>
    <row r="420" spans="1:10" x14ac:dyDescent="0.35">
      <c r="A420">
        <v>419</v>
      </c>
      <c r="B420" s="1">
        <v>45068</v>
      </c>
      <c r="C420" t="s">
        <v>432</v>
      </c>
      <c r="D420" t="s">
        <v>13</v>
      </c>
      <c r="E420">
        <v>44</v>
      </c>
      <c r="F420" t="str">
        <f>IF(Table1[[#This Row],[Age]]&lt;=25,"Young",IF(Table1[[#This Row],[Age]]&gt;55,"Old",IF(Table1[[#This Row],[Age]]&gt;25,"Middle","Na")))</f>
        <v>Middle</v>
      </c>
      <c r="G420" t="s">
        <v>14</v>
      </c>
      <c r="H420">
        <v>3</v>
      </c>
      <c r="I420">
        <v>30</v>
      </c>
      <c r="J420">
        <v>90</v>
      </c>
    </row>
    <row r="421" spans="1:10" x14ac:dyDescent="0.35">
      <c r="A421">
        <v>420</v>
      </c>
      <c r="B421" s="1">
        <v>44949</v>
      </c>
      <c r="C421" t="s">
        <v>433</v>
      </c>
      <c r="D421" t="s">
        <v>13</v>
      </c>
      <c r="E421">
        <v>22</v>
      </c>
      <c r="F421" t="str">
        <f>IF(Table1[[#This Row],[Age]]&lt;=25,"Young",IF(Table1[[#This Row],[Age]]&gt;55,"Old",IF(Table1[[#This Row],[Age]]&gt;25,"Middle","Na")))</f>
        <v>Young</v>
      </c>
      <c r="G421" t="s">
        <v>14</v>
      </c>
      <c r="H421">
        <v>4</v>
      </c>
      <c r="I421">
        <v>500</v>
      </c>
      <c r="J421">
        <v>2000</v>
      </c>
    </row>
    <row r="422" spans="1:10" x14ac:dyDescent="0.35">
      <c r="A422">
        <v>421</v>
      </c>
      <c r="B422" s="1">
        <v>44928</v>
      </c>
      <c r="C422" t="s">
        <v>434</v>
      </c>
      <c r="D422" t="s">
        <v>13</v>
      </c>
      <c r="E422">
        <v>37</v>
      </c>
      <c r="F422" t="str">
        <f>IF(Table1[[#This Row],[Age]]&lt;=25,"Young",IF(Table1[[#This Row],[Age]]&gt;55,"Old",IF(Table1[[#This Row],[Age]]&gt;25,"Middle","Na")))</f>
        <v>Middle</v>
      </c>
      <c r="G422" t="s">
        <v>14</v>
      </c>
      <c r="H422">
        <v>3</v>
      </c>
      <c r="I422">
        <v>500</v>
      </c>
      <c r="J422">
        <v>1500</v>
      </c>
    </row>
    <row r="423" spans="1:10" x14ac:dyDescent="0.35">
      <c r="A423">
        <v>422</v>
      </c>
      <c r="B423" s="1">
        <v>45097</v>
      </c>
      <c r="C423" t="s">
        <v>435</v>
      </c>
      <c r="D423" t="s">
        <v>13</v>
      </c>
      <c r="E423">
        <v>28</v>
      </c>
      <c r="F423" t="str">
        <f>IF(Table1[[#This Row],[Age]]&lt;=25,"Young",IF(Table1[[#This Row],[Age]]&gt;55,"Old",IF(Table1[[#This Row],[Age]]&gt;25,"Middle","Na")))</f>
        <v>Middle</v>
      </c>
      <c r="G423" t="s">
        <v>14</v>
      </c>
      <c r="H423">
        <v>3</v>
      </c>
      <c r="I423">
        <v>30</v>
      </c>
      <c r="J423">
        <v>90</v>
      </c>
    </row>
    <row r="424" spans="1:10" x14ac:dyDescent="0.35">
      <c r="A424">
        <v>423</v>
      </c>
      <c r="B424" s="1">
        <v>44993</v>
      </c>
      <c r="C424" t="s">
        <v>436</v>
      </c>
      <c r="D424" t="s">
        <v>13</v>
      </c>
      <c r="E424">
        <v>27</v>
      </c>
      <c r="F424" t="str">
        <f>IF(Table1[[#This Row],[Age]]&lt;=25,"Young",IF(Table1[[#This Row],[Age]]&gt;55,"Old",IF(Table1[[#This Row],[Age]]&gt;25,"Middle","Na")))</f>
        <v>Middle</v>
      </c>
      <c r="G424" t="s">
        <v>14</v>
      </c>
      <c r="H424">
        <v>1</v>
      </c>
      <c r="I424">
        <v>25</v>
      </c>
      <c r="J424">
        <v>25</v>
      </c>
    </row>
    <row r="425" spans="1:10" x14ac:dyDescent="0.35">
      <c r="A425">
        <v>424</v>
      </c>
      <c r="B425" s="1">
        <v>45253</v>
      </c>
      <c r="C425" t="s">
        <v>437</v>
      </c>
      <c r="D425" t="s">
        <v>10</v>
      </c>
      <c r="E425">
        <v>57</v>
      </c>
      <c r="F425" t="str">
        <f>IF(Table1[[#This Row],[Age]]&lt;=25,"Young",IF(Table1[[#This Row],[Age]]&gt;55,"Old",IF(Table1[[#This Row],[Age]]&gt;25,"Middle","Na")))</f>
        <v>Old</v>
      </c>
      <c r="G425" t="s">
        <v>11</v>
      </c>
      <c r="H425">
        <v>4</v>
      </c>
      <c r="I425">
        <v>300</v>
      </c>
      <c r="J425">
        <v>1200</v>
      </c>
    </row>
    <row r="426" spans="1:10" x14ac:dyDescent="0.35">
      <c r="A426">
        <v>425</v>
      </c>
      <c r="B426" s="1">
        <v>45061</v>
      </c>
      <c r="C426" t="s">
        <v>438</v>
      </c>
      <c r="D426" t="s">
        <v>13</v>
      </c>
      <c r="E426">
        <v>55</v>
      </c>
      <c r="F426" t="str">
        <f>IF(Table1[[#This Row],[Age]]&lt;=25,"Young",IF(Table1[[#This Row],[Age]]&gt;55,"Old",IF(Table1[[#This Row],[Age]]&gt;25,"Middle","Na")))</f>
        <v>Middle</v>
      </c>
      <c r="G426" t="s">
        <v>16</v>
      </c>
      <c r="H426">
        <v>4</v>
      </c>
      <c r="I426">
        <v>30</v>
      </c>
      <c r="J426">
        <v>120</v>
      </c>
    </row>
    <row r="427" spans="1:10" x14ac:dyDescent="0.35">
      <c r="A427">
        <v>426</v>
      </c>
      <c r="B427" s="1">
        <v>45009</v>
      </c>
      <c r="C427" t="s">
        <v>439</v>
      </c>
      <c r="D427" t="s">
        <v>10</v>
      </c>
      <c r="E427">
        <v>23</v>
      </c>
      <c r="F427" t="str">
        <f>IF(Table1[[#This Row],[Age]]&lt;=25,"Young",IF(Table1[[#This Row],[Age]]&gt;55,"Old",IF(Table1[[#This Row],[Age]]&gt;25,"Middle","Na")))</f>
        <v>Young</v>
      </c>
      <c r="G427" t="s">
        <v>16</v>
      </c>
      <c r="H427">
        <v>3</v>
      </c>
      <c r="I427">
        <v>50</v>
      </c>
      <c r="J427">
        <v>150</v>
      </c>
    </row>
    <row r="428" spans="1:10" x14ac:dyDescent="0.35">
      <c r="A428">
        <v>427</v>
      </c>
      <c r="B428" s="1">
        <v>45153</v>
      </c>
      <c r="C428" t="s">
        <v>440</v>
      </c>
      <c r="D428" t="s">
        <v>10</v>
      </c>
      <c r="E428">
        <v>25</v>
      </c>
      <c r="F428" t="str">
        <f>IF(Table1[[#This Row],[Age]]&lt;=25,"Young",IF(Table1[[#This Row],[Age]]&gt;55,"Old",IF(Table1[[#This Row],[Age]]&gt;25,"Middle","Na")))</f>
        <v>Young</v>
      </c>
      <c r="G428" t="s">
        <v>16</v>
      </c>
      <c r="H428">
        <v>1</v>
      </c>
      <c r="I428">
        <v>25</v>
      </c>
      <c r="J428">
        <v>25</v>
      </c>
    </row>
    <row r="429" spans="1:10" x14ac:dyDescent="0.35">
      <c r="A429">
        <v>428</v>
      </c>
      <c r="B429" s="1">
        <v>45209</v>
      </c>
      <c r="C429" t="s">
        <v>441</v>
      </c>
      <c r="D429" t="s">
        <v>13</v>
      </c>
      <c r="E429">
        <v>40</v>
      </c>
      <c r="F429" t="str">
        <f>IF(Table1[[#This Row],[Age]]&lt;=25,"Young",IF(Table1[[#This Row],[Age]]&gt;55,"Old",IF(Table1[[#This Row],[Age]]&gt;25,"Middle","Na")))</f>
        <v>Middle</v>
      </c>
      <c r="G429" t="s">
        <v>16</v>
      </c>
      <c r="H429">
        <v>4</v>
      </c>
      <c r="I429">
        <v>50</v>
      </c>
      <c r="J429">
        <v>200</v>
      </c>
    </row>
    <row r="430" spans="1:10" x14ac:dyDescent="0.35">
      <c r="A430">
        <v>429</v>
      </c>
      <c r="B430" s="1">
        <v>45288</v>
      </c>
      <c r="C430" t="s">
        <v>442</v>
      </c>
      <c r="D430" t="s">
        <v>10</v>
      </c>
      <c r="E430">
        <v>64</v>
      </c>
      <c r="F430" t="str">
        <f>IF(Table1[[#This Row],[Age]]&lt;=25,"Young",IF(Table1[[#This Row],[Age]]&gt;55,"Old",IF(Table1[[#This Row],[Age]]&gt;25,"Middle","Na")))</f>
        <v>Old</v>
      </c>
      <c r="G430" t="s">
        <v>16</v>
      </c>
      <c r="H430">
        <v>2</v>
      </c>
      <c r="I430">
        <v>25</v>
      </c>
      <c r="J430">
        <v>50</v>
      </c>
    </row>
    <row r="431" spans="1:10" x14ac:dyDescent="0.35">
      <c r="A431">
        <v>430</v>
      </c>
      <c r="B431" s="1">
        <v>45145</v>
      </c>
      <c r="C431" t="s">
        <v>443</v>
      </c>
      <c r="D431" t="s">
        <v>13</v>
      </c>
      <c r="E431">
        <v>43</v>
      </c>
      <c r="F431" t="str">
        <f>IF(Table1[[#This Row],[Age]]&lt;=25,"Young",IF(Table1[[#This Row],[Age]]&gt;55,"Old",IF(Table1[[#This Row],[Age]]&gt;25,"Middle","Na")))</f>
        <v>Middle</v>
      </c>
      <c r="G431" t="s">
        <v>16</v>
      </c>
      <c r="H431">
        <v>3</v>
      </c>
      <c r="I431">
        <v>300</v>
      </c>
      <c r="J431">
        <v>900</v>
      </c>
    </row>
    <row r="432" spans="1:10" x14ac:dyDescent="0.35">
      <c r="A432">
        <v>431</v>
      </c>
      <c r="B432" s="1">
        <v>45214</v>
      </c>
      <c r="C432" t="s">
        <v>444</v>
      </c>
      <c r="D432" t="s">
        <v>10</v>
      </c>
      <c r="E432">
        <v>63</v>
      </c>
      <c r="F432" t="str">
        <f>IF(Table1[[#This Row],[Age]]&lt;=25,"Young",IF(Table1[[#This Row],[Age]]&gt;55,"Old",IF(Table1[[#This Row],[Age]]&gt;25,"Middle","Na")))</f>
        <v>Old</v>
      </c>
      <c r="G432" t="s">
        <v>16</v>
      </c>
      <c r="H432">
        <v>4</v>
      </c>
      <c r="I432">
        <v>300</v>
      </c>
      <c r="J432">
        <v>1200</v>
      </c>
    </row>
    <row r="433" spans="1:10" x14ac:dyDescent="0.35">
      <c r="A433">
        <v>432</v>
      </c>
      <c r="B433" s="1">
        <v>44931</v>
      </c>
      <c r="C433" t="s">
        <v>445</v>
      </c>
      <c r="D433" t="s">
        <v>13</v>
      </c>
      <c r="E433">
        <v>60</v>
      </c>
      <c r="F433" t="str">
        <f>IF(Table1[[#This Row],[Age]]&lt;=25,"Young",IF(Table1[[#This Row],[Age]]&gt;55,"Old",IF(Table1[[#This Row],[Age]]&gt;25,"Middle","Na")))</f>
        <v>Old</v>
      </c>
      <c r="G433" t="s">
        <v>16</v>
      </c>
      <c r="H433">
        <v>2</v>
      </c>
      <c r="I433">
        <v>500</v>
      </c>
      <c r="J433">
        <v>1000</v>
      </c>
    </row>
    <row r="434" spans="1:10" x14ac:dyDescent="0.35">
      <c r="A434">
        <v>433</v>
      </c>
      <c r="B434" s="1">
        <v>44984</v>
      </c>
      <c r="C434" t="s">
        <v>446</v>
      </c>
      <c r="D434" t="s">
        <v>10</v>
      </c>
      <c r="E434">
        <v>29</v>
      </c>
      <c r="F434" t="str">
        <f>IF(Table1[[#This Row],[Age]]&lt;=25,"Young",IF(Table1[[#This Row],[Age]]&gt;55,"Old",IF(Table1[[#This Row],[Age]]&gt;25,"Middle","Na")))</f>
        <v>Middle</v>
      </c>
      <c r="G434" t="s">
        <v>11</v>
      </c>
      <c r="H434">
        <v>4</v>
      </c>
      <c r="I434">
        <v>50</v>
      </c>
      <c r="J434">
        <v>200</v>
      </c>
    </row>
    <row r="435" spans="1:10" x14ac:dyDescent="0.35">
      <c r="A435">
        <v>434</v>
      </c>
      <c r="B435" s="1">
        <v>44965</v>
      </c>
      <c r="C435" t="s">
        <v>447</v>
      </c>
      <c r="D435" t="s">
        <v>13</v>
      </c>
      <c r="E435">
        <v>43</v>
      </c>
      <c r="F435" t="str">
        <f>IF(Table1[[#This Row],[Age]]&lt;=25,"Young",IF(Table1[[#This Row],[Age]]&gt;55,"Old",IF(Table1[[#This Row],[Age]]&gt;25,"Middle","Na")))</f>
        <v>Middle</v>
      </c>
      <c r="G435" t="s">
        <v>16</v>
      </c>
      <c r="H435">
        <v>2</v>
      </c>
      <c r="I435">
        <v>25</v>
      </c>
      <c r="J435">
        <v>50</v>
      </c>
    </row>
    <row r="436" spans="1:10" x14ac:dyDescent="0.35">
      <c r="A436">
        <v>435</v>
      </c>
      <c r="B436" s="1">
        <v>45280</v>
      </c>
      <c r="C436" t="s">
        <v>448</v>
      </c>
      <c r="D436" t="s">
        <v>13</v>
      </c>
      <c r="E436">
        <v>30</v>
      </c>
      <c r="F436" t="str">
        <f>IF(Table1[[#This Row],[Age]]&lt;=25,"Young",IF(Table1[[#This Row],[Age]]&gt;55,"Old",IF(Table1[[#This Row],[Age]]&gt;25,"Middle","Na")))</f>
        <v>Middle</v>
      </c>
      <c r="G436" t="s">
        <v>11</v>
      </c>
      <c r="H436">
        <v>3</v>
      </c>
      <c r="I436">
        <v>300</v>
      </c>
      <c r="J436">
        <v>900</v>
      </c>
    </row>
    <row r="437" spans="1:10" x14ac:dyDescent="0.35">
      <c r="A437">
        <v>436</v>
      </c>
      <c r="B437" s="1">
        <v>45003</v>
      </c>
      <c r="C437" t="s">
        <v>449</v>
      </c>
      <c r="D437" t="s">
        <v>13</v>
      </c>
      <c r="E437">
        <v>57</v>
      </c>
      <c r="F437" t="str">
        <f>IF(Table1[[#This Row],[Age]]&lt;=25,"Young",IF(Table1[[#This Row],[Age]]&gt;55,"Old",IF(Table1[[#This Row],[Age]]&gt;25,"Middle","Na")))</f>
        <v>Old</v>
      </c>
      <c r="G437" t="s">
        <v>14</v>
      </c>
      <c r="H437">
        <v>4</v>
      </c>
      <c r="I437">
        <v>30</v>
      </c>
      <c r="J437">
        <v>120</v>
      </c>
    </row>
    <row r="438" spans="1:10" x14ac:dyDescent="0.35">
      <c r="A438">
        <v>437</v>
      </c>
      <c r="B438" s="1">
        <v>45206</v>
      </c>
      <c r="C438" t="s">
        <v>450</v>
      </c>
      <c r="D438" t="s">
        <v>13</v>
      </c>
      <c r="E438">
        <v>35</v>
      </c>
      <c r="F438" t="str">
        <f>IF(Table1[[#This Row],[Age]]&lt;=25,"Young",IF(Table1[[#This Row],[Age]]&gt;55,"Old",IF(Table1[[#This Row],[Age]]&gt;25,"Middle","Na")))</f>
        <v>Middle</v>
      </c>
      <c r="G438" t="s">
        <v>16</v>
      </c>
      <c r="H438">
        <v>4</v>
      </c>
      <c r="I438">
        <v>300</v>
      </c>
      <c r="J438">
        <v>1200</v>
      </c>
    </row>
    <row r="439" spans="1:10" x14ac:dyDescent="0.35">
      <c r="A439">
        <v>438</v>
      </c>
      <c r="B439" s="1">
        <v>44945</v>
      </c>
      <c r="C439" t="s">
        <v>451</v>
      </c>
      <c r="D439" t="s">
        <v>13</v>
      </c>
      <c r="E439">
        <v>42</v>
      </c>
      <c r="F439" t="str">
        <f>IF(Table1[[#This Row],[Age]]&lt;=25,"Young",IF(Table1[[#This Row],[Age]]&gt;55,"Old",IF(Table1[[#This Row],[Age]]&gt;25,"Middle","Na")))</f>
        <v>Middle</v>
      </c>
      <c r="G439" t="s">
        <v>14</v>
      </c>
      <c r="H439">
        <v>1</v>
      </c>
      <c r="I439">
        <v>30</v>
      </c>
      <c r="J439">
        <v>30</v>
      </c>
    </row>
    <row r="440" spans="1:10" x14ac:dyDescent="0.35">
      <c r="A440">
        <v>439</v>
      </c>
      <c r="B440" s="1">
        <v>45116</v>
      </c>
      <c r="C440" t="s">
        <v>452</v>
      </c>
      <c r="D440" t="s">
        <v>10</v>
      </c>
      <c r="E440">
        <v>50</v>
      </c>
      <c r="F440" t="str">
        <f>IF(Table1[[#This Row],[Age]]&lt;=25,"Young",IF(Table1[[#This Row],[Age]]&gt;55,"Old",IF(Table1[[#This Row],[Age]]&gt;25,"Middle","Na")))</f>
        <v>Middle</v>
      </c>
      <c r="G440" t="s">
        <v>14</v>
      </c>
      <c r="H440">
        <v>3</v>
      </c>
      <c r="I440">
        <v>25</v>
      </c>
      <c r="J440">
        <v>75</v>
      </c>
    </row>
    <row r="441" spans="1:10" x14ac:dyDescent="0.35">
      <c r="A441">
        <v>440</v>
      </c>
      <c r="B441" s="1">
        <v>45225</v>
      </c>
      <c r="C441" t="s">
        <v>453</v>
      </c>
      <c r="D441" t="s">
        <v>10</v>
      </c>
      <c r="E441">
        <v>64</v>
      </c>
      <c r="F441" t="str">
        <f>IF(Table1[[#This Row],[Age]]&lt;=25,"Young",IF(Table1[[#This Row],[Age]]&gt;55,"Old",IF(Table1[[#This Row],[Age]]&gt;25,"Middle","Na")))</f>
        <v>Old</v>
      </c>
      <c r="G441" t="s">
        <v>14</v>
      </c>
      <c r="H441">
        <v>2</v>
      </c>
      <c r="I441">
        <v>300</v>
      </c>
      <c r="J441">
        <v>600</v>
      </c>
    </row>
    <row r="442" spans="1:10" x14ac:dyDescent="0.35">
      <c r="A442">
        <v>441</v>
      </c>
      <c r="B442" s="1">
        <v>45209</v>
      </c>
      <c r="C442" t="s">
        <v>454</v>
      </c>
      <c r="D442" t="s">
        <v>10</v>
      </c>
      <c r="E442">
        <v>57</v>
      </c>
      <c r="F442" t="str">
        <f>IF(Table1[[#This Row],[Age]]&lt;=25,"Young",IF(Table1[[#This Row],[Age]]&gt;55,"Old",IF(Table1[[#This Row],[Age]]&gt;25,"Middle","Na")))</f>
        <v>Old</v>
      </c>
      <c r="G442" t="s">
        <v>11</v>
      </c>
      <c r="H442">
        <v>4</v>
      </c>
      <c r="I442">
        <v>300</v>
      </c>
      <c r="J442">
        <v>1200</v>
      </c>
    </row>
    <row r="443" spans="1:10" x14ac:dyDescent="0.35">
      <c r="A443">
        <v>442</v>
      </c>
      <c r="B443" s="1">
        <v>45002</v>
      </c>
      <c r="C443" t="s">
        <v>455</v>
      </c>
      <c r="D443" t="s">
        <v>13</v>
      </c>
      <c r="E443">
        <v>60</v>
      </c>
      <c r="F443" t="str">
        <f>IF(Table1[[#This Row],[Age]]&lt;=25,"Young",IF(Table1[[#This Row],[Age]]&gt;55,"Old",IF(Table1[[#This Row],[Age]]&gt;25,"Middle","Na")))</f>
        <v>Old</v>
      </c>
      <c r="G443" t="s">
        <v>14</v>
      </c>
      <c r="H443">
        <v>4</v>
      </c>
      <c r="I443">
        <v>25</v>
      </c>
      <c r="J443">
        <v>100</v>
      </c>
    </row>
    <row r="444" spans="1:10" x14ac:dyDescent="0.35">
      <c r="A444">
        <v>443</v>
      </c>
      <c r="B444" s="1">
        <v>45147</v>
      </c>
      <c r="C444" t="s">
        <v>456</v>
      </c>
      <c r="D444" t="s">
        <v>10</v>
      </c>
      <c r="E444">
        <v>29</v>
      </c>
      <c r="F444" t="str">
        <f>IF(Table1[[#This Row],[Age]]&lt;=25,"Young",IF(Table1[[#This Row],[Age]]&gt;55,"Old",IF(Table1[[#This Row],[Age]]&gt;25,"Middle","Na")))</f>
        <v>Middle</v>
      </c>
      <c r="G444" t="s">
        <v>14</v>
      </c>
      <c r="H444">
        <v>2</v>
      </c>
      <c r="I444">
        <v>300</v>
      </c>
      <c r="J444">
        <v>600</v>
      </c>
    </row>
    <row r="445" spans="1:10" x14ac:dyDescent="0.35">
      <c r="A445">
        <v>444</v>
      </c>
      <c r="B445" s="1">
        <v>44992</v>
      </c>
      <c r="C445" t="s">
        <v>457</v>
      </c>
      <c r="D445" t="s">
        <v>13</v>
      </c>
      <c r="E445">
        <v>61</v>
      </c>
      <c r="F445" t="str">
        <f>IF(Table1[[#This Row],[Age]]&lt;=25,"Young",IF(Table1[[#This Row],[Age]]&gt;55,"Old",IF(Table1[[#This Row],[Age]]&gt;25,"Middle","Na")))</f>
        <v>Old</v>
      </c>
      <c r="G445" t="s">
        <v>14</v>
      </c>
      <c r="H445">
        <v>3</v>
      </c>
      <c r="I445">
        <v>30</v>
      </c>
      <c r="J445">
        <v>90</v>
      </c>
    </row>
    <row r="446" spans="1:10" x14ac:dyDescent="0.35">
      <c r="A446">
        <v>445</v>
      </c>
      <c r="B446" s="1">
        <v>44948</v>
      </c>
      <c r="C446" t="s">
        <v>458</v>
      </c>
      <c r="D446" t="s">
        <v>13</v>
      </c>
      <c r="E446">
        <v>53</v>
      </c>
      <c r="F446" t="str">
        <f>IF(Table1[[#This Row],[Age]]&lt;=25,"Young",IF(Table1[[#This Row],[Age]]&gt;55,"Old",IF(Table1[[#This Row],[Age]]&gt;25,"Middle","Na")))</f>
        <v>Middle</v>
      </c>
      <c r="G446" t="s">
        <v>16</v>
      </c>
      <c r="H446">
        <v>1</v>
      </c>
      <c r="I446">
        <v>300</v>
      </c>
      <c r="J446">
        <v>300</v>
      </c>
    </row>
    <row r="447" spans="1:10" x14ac:dyDescent="0.35">
      <c r="A447">
        <v>446</v>
      </c>
      <c r="B447" s="1">
        <v>45084</v>
      </c>
      <c r="C447" t="s">
        <v>459</v>
      </c>
      <c r="D447" t="s">
        <v>10</v>
      </c>
      <c r="E447">
        <v>21</v>
      </c>
      <c r="F447" t="str">
        <f>IF(Table1[[#This Row],[Age]]&lt;=25,"Young",IF(Table1[[#This Row],[Age]]&gt;55,"Old",IF(Table1[[#This Row],[Age]]&gt;25,"Middle","Na")))</f>
        <v>Young</v>
      </c>
      <c r="G447" t="s">
        <v>16</v>
      </c>
      <c r="H447">
        <v>1</v>
      </c>
      <c r="I447">
        <v>50</v>
      </c>
      <c r="J447">
        <v>50</v>
      </c>
    </row>
    <row r="448" spans="1:10" x14ac:dyDescent="0.35">
      <c r="A448">
        <v>447</v>
      </c>
      <c r="B448" s="1">
        <v>45113</v>
      </c>
      <c r="C448" t="s">
        <v>460</v>
      </c>
      <c r="D448" t="s">
        <v>10</v>
      </c>
      <c r="E448">
        <v>22</v>
      </c>
      <c r="F448" t="str">
        <f>IF(Table1[[#This Row],[Age]]&lt;=25,"Young",IF(Table1[[#This Row],[Age]]&gt;55,"Old",IF(Table1[[#This Row],[Age]]&gt;25,"Middle","Na")))</f>
        <v>Young</v>
      </c>
      <c r="G448" t="s">
        <v>11</v>
      </c>
      <c r="H448">
        <v>4</v>
      </c>
      <c r="I448">
        <v>500</v>
      </c>
      <c r="J448">
        <v>2000</v>
      </c>
    </row>
    <row r="449" spans="1:10" x14ac:dyDescent="0.35">
      <c r="A449">
        <v>448</v>
      </c>
      <c r="B449" s="1">
        <v>44947</v>
      </c>
      <c r="C449" t="s">
        <v>461</v>
      </c>
      <c r="D449" t="s">
        <v>13</v>
      </c>
      <c r="E449">
        <v>54</v>
      </c>
      <c r="F449" t="str">
        <f>IF(Table1[[#This Row],[Age]]&lt;=25,"Young",IF(Table1[[#This Row],[Age]]&gt;55,"Old",IF(Table1[[#This Row],[Age]]&gt;25,"Middle","Na")))</f>
        <v>Middle</v>
      </c>
      <c r="G449" t="s">
        <v>11</v>
      </c>
      <c r="H449">
        <v>2</v>
      </c>
      <c r="I449">
        <v>30</v>
      </c>
      <c r="J449">
        <v>60</v>
      </c>
    </row>
    <row r="450" spans="1:10" x14ac:dyDescent="0.35">
      <c r="A450">
        <v>449</v>
      </c>
      <c r="B450" s="1">
        <v>45110</v>
      </c>
      <c r="C450" t="s">
        <v>462</v>
      </c>
      <c r="D450" t="s">
        <v>10</v>
      </c>
      <c r="E450">
        <v>25</v>
      </c>
      <c r="F450" t="str">
        <f>IF(Table1[[#This Row],[Age]]&lt;=25,"Young",IF(Table1[[#This Row],[Age]]&gt;55,"Old",IF(Table1[[#This Row],[Age]]&gt;25,"Middle","Na")))</f>
        <v>Young</v>
      </c>
      <c r="G450" t="s">
        <v>16</v>
      </c>
      <c r="H450">
        <v>4</v>
      </c>
      <c r="I450">
        <v>50</v>
      </c>
      <c r="J450">
        <v>200</v>
      </c>
    </row>
    <row r="451" spans="1:10" x14ac:dyDescent="0.35">
      <c r="A451">
        <v>450</v>
      </c>
      <c r="B451" s="1">
        <v>45034</v>
      </c>
      <c r="C451" t="s">
        <v>463</v>
      </c>
      <c r="D451" t="s">
        <v>13</v>
      </c>
      <c r="E451">
        <v>59</v>
      </c>
      <c r="F451" t="str">
        <f>IF(Table1[[#This Row],[Age]]&lt;=25,"Young",IF(Table1[[#This Row],[Age]]&gt;55,"Old",IF(Table1[[#This Row],[Age]]&gt;25,"Middle","Na")))</f>
        <v>Old</v>
      </c>
      <c r="G451" t="s">
        <v>11</v>
      </c>
      <c r="H451">
        <v>2</v>
      </c>
      <c r="I451">
        <v>25</v>
      </c>
      <c r="J451">
        <v>50</v>
      </c>
    </row>
    <row r="452" spans="1:10" x14ac:dyDescent="0.35">
      <c r="A452">
        <v>451</v>
      </c>
      <c r="B452" s="1">
        <v>45276</v>
      </c>
      <c r="C452" t="s">
        <v>464</v>
      </c>
      <c r="D452" t="s">
        <v>13</v>
      </c>
      <c r="E452">
        <v>45</v>
      </c>
      <c r="F452" t="str">
        <f>IF(Table1[[#This Row],[Age]]&lt;=25,"Young",IF(Table1[[#This Row],[Age]]&gt;55,"Old",IF(Table1[[#This Row],[Age]]&gt;25,"Middle","Na")))</f>
        <v>Middle</v>
      </c>
      <c r="G452" t="s">
        <v>16</v>
      </c>
      <c r="H452">
        <v>1</v>
      </c>
      <c r="I452">
        <v>30</v>
      </c>
      <c r="J452">
        <v>30</v>
      </c>
    </row>
    <row r="453" spans="1:10" x14ac:dyDescent="0.35">
      <c r="A453">
        <v>452</v>
      </c>
      <c r="B453" s="1">
        <v>45054</v>
      </c>
      <c r="C453" t="s">
        <v>465</v>
      </c>
      <c r="D453" t="s">
        <v>13</v>
      </c>
      <c r="E453">
        <v>48</v>
      </c>
      <c r="F453" t="str">
        <f>IF(Table1[[#This Row],[Age]]&lt;=25,"Young",IF(Table1[[#This Row],[Age]]&gt;55,"Old",IF(Table1[[#This Row],[Age]]&gt;25,"Middle","Na")))</f>
        <v>Middle</v>
      </c>
      <c r="G453" t="s">
        <v>14</v>
      </c>
      <c r="H453">
        <v>3</v>
      </c>
      <c r="I453">
        <v>500</v>
      </c>
      <c r="J453">
        <v>1500</v>
      </c>
    </row>
    <row r="454" spans="1:10" x14ac:dyDescent="0.35">
      <c r="A454">
        <v>453</v>
      </c>
      <c r="B454" s="1">
        <v>45268</v>
      </c>
      <c r="C454" t="s">
        <v>466</v>
      </c>
      <c r="D454" t="s">
        <v>13</v>
      </c>
      <c r="E454">
        <v>26</v>
      </c>
      <c r="F454" t="str">
        <f>IF(Table1[[#This Row],[Age]]&lt;=25,"Young",IF(Table1[[#This Row],[Age]]&gt;55,"Old",IF(Table1[[#This Row],[Age]]&gt;25,"Middle","Na")))</f>
        <v>Middle</v>
      </c>
      <c r="G454" t="s">
        <v>14</v>
      </c>
      <c r="H454">
        <v>2</v>
      </c>
      <c r="I454">
        <v>500</v>
      </c>
      <c r="J454">
        <v>1000</v>
      </c>
    </row>
    <row r="455" spans="1:10" x14ac:dyDescent="0.35">
      <c r="A455">
        <v>454</v>
      </c>
      <c r="B455" s="1">
        <v>44979</v>
      </c>
      <c r="C455" t="s">
        <v>467</v>
      </c>
      <c r="D455" t="s">
        <v>13</v>
      </c>
      <c r="E455">
        <v>46</v>
      </c>
      <c r="F455" t="str">
        <f>IF(Table1[[#This Row],[Age]]&lt;=25,"Young",IF(Table1[[#This Row],[Age]]&gt;55,"Old",IF(Table1[[#This Row],[Age]]&gt;25,"Middle","Na")))</f>
        <v>Middle</v>
      </c>
      <c r="G455" t="s">
        <v>11</v>
      </c>
      <c r="H455">
        <v>1</v>
      </c>
      <c r="I455">
        <v>25</v>
      </c>
      <c r="J455">
        <v>25</v>
      </c>
    </row>
    <row r="456" spans="1:10" x14ac:dyDescent="0.35">
      <c r="A456">
        <v>455</v>
      </c>
      <c r="B456" s="1">
        <v>45108</v>
      </c>
      <c r="C456" t="s">
        <v>468</v>
      </c>
      <c r="D456" t="s">
        <v>10</v>
      </c>
      <c r="E456">
        <v>31</v>
      </c>
      <c r="F456" t="str">
        <f>IF(Table1[[#This Row],[Age]]&lt;=25,"Young",IF(Table1[[#This Row],[Age]]&gt;55,"Old",IF(Table1[[#This Row],[Age]]&gt;25,"Middle","Na")))</f>
        <v>Middle</v>
      </c>
      <c r="G456" t="s">
        <v>16</v>
      </c>
      <c r="H456">
        <v>4</v>
      </c>
      <c r="I456">
        <v>25</v>
      </c>
      <c r="J456">
        <v>100</v>
      </c>
    </row>
    <row r="457" spans="1:10" x14ac:dyDescent="0.35">
      <c r="A457">
        <v>456</v>
      </c>
      <c r="B457" s="1">
        <v>45213</v>
      </c>
      <c r="C457" t="s">
        <v>469</v>
      </c>
      <c r="D457" t="s">
        <v>10</v>
      </c>
      <c r="E457">
        <v>57</v>
      </c>
      <c r="F457" t="str">
        <f>IF(Table1[[#This Row],[Age]]&lt;=25,"Young",IF(Table1[[#This Row],[Age]]&gt;55,"Old",IF(Table1[[#This Row],[Age]]&gt;25,"Middle","Na")))</f>
        <v>Old</v>
      </c>
      <c r="G457" t="s">
        <v>16</v>
      </c>
      <c r="H457">
        <v>2</v>
      </c>
      <c r="I457">
        <v>30</v>
      </c>
      <c r="J457">
        <v>60</v>
      </c>
    </row>
    <row r="458" spans="1:10" x14ac:dyDescent="0.35">
      <c r="A458">
        <v>457</v>
      </c>
      <c r="B458" s="1">
        <v>45135</v>
      </c>
      <c r="C458" t="s">
        <v>470</v>
      </c>
      <c r="D458" t="s">
        <v>13</v>
      </c>
      <c r="E458">
        <v>58</v>
      </c>
      <c r="F458" t="str">
        <f>IF(Table1[[#This Row],[Age]]&lt;=25,"Young",IF(Table1[[#This Row],[Age]]&gt;55,"Old",IF(Table1[[#This Row],[Age]]&gt;25,"Middle","Na")))</f>
        <v>Old</v>
      </c>
      <c r="G458" t="s">
        <v>11</v>
      </c>
      <c r="H458">
        <v>3</v>
      </c>
      <c r="I458">
        <v>300</v>
      </c>
      <c r="J458">
        <v>900</v>
      </c>
    </row>
    <row r="459" spans="1:10" x14ac:dyDescent="0.35">
      <c r="A459">
        <v>458</v>
      </c>
      <c r="B459" s="1">
        <v>45244</v>
      </c>
      <c r="C459" t="s">
        <v>471</v>
      </c>
      <c r="D459" t="s">
        <v>13</v>
      </c>
      <c r="E459">
        <v>39</v>
      </c>
      <c r="F459" t="str">
        <f>IF(Table1[[#This Row],[Age]]&lt;=25,"Young",IF(Table1[[#This Row],[Age]]&gt;55,"Old",IF(Table1[[#This Row],[Age]]&gt;25,"Middle","Na")))</f>
        <v>Middle</v>
      </c>
      <c r="G459" t="s">
        <v>16</v>
      </c>
      <c r="H459">
        <v>4</v>
      </c>
      <c r="I459">
        <v>25</v>
      </c>
      <c r="J459">
        <v>100</v>
      </c>
    </row>
    <row r="460" spans="1:10" x14ac:dyDescent="0.35">
      <c r="A460">
        <v>459</v>
      </c>
      <c r="B460" s="1">
        <v>45006</v>
      </c>
      <c r="C460" t="s">
        <v>472</v>
      </c>
      <c r="D460" t="s">
        <v>10</v>
      </c>
      <c r="E460">
        <v>28</v>
      </c>
      <c r="F460" t="str">
        <f>IF(Table1[[#This Row],[Age]]&lt;=25,"Young",IF(Table1[[#This Row],[Age]]&gt;55,"Old",IF(Table1[[#This Row],[Age]]&gt;25,"Middle","Na")))</f>
        <v>Middle</v>
      </c>
      <c r="G460" t="s">
        <v>14</v>
      </c>
      <c r="H460">
        <v>4</v>
      </c>
      <c r="I460">
        <v>300</v>
      </c>
      <c r="J460">
        <v>1200</v>
      </c>
    </row>
    <row r="461" spans="1:10" x14ac:dyDescent="0.35">
      <c r="A461">
        <v>460</v>
      </c>
      <c r="B461" s="1">
        <v>45048</v>
      </c>
      <c r="C461" t="s">
        <v>473</v>
      </c>
      <c r="D461" t="s">
        <v>10</v>
      </c>
      <c r="E461">
        <v>40</v>
      </c>
      <c r="F461" t="str">
        <f>IF(Table1[[#This Row],[Age]]&lt;=25,"Young",IF(Table1[[#This Row],[Age]]&gt;55,"Old",IF(Table1[[#This Row],[Age]]&gt;25,"Middle","Na")))</f>
        <v>Middle</v>
      </c>
      <c r="G461" t="s">
        <v>11</v>
      </c>
      <c r="H461">
        <v>1</v>
      </c>
      <c r="I461">
        <v>50</v>
      </c>
      <c r="J461">
        <v>50</v>
      </c>
    </row>
    <row r="462" spans="1:10" x14ac:dyDescent="0.35">
      <c r="A462">
        <v>461</v>
      </c>
      <c r="B462" s="1">
        <v>45010</v>
      </c>
      <c r="C462" t="s">
        <v>474</v>
      </c>
      <c r="D462" t="s">
        <v>13</v>
      </c>
      <c r="E462">
        <v>18</v>
      </c>
      <c r="F462" t="str">
        <f>IF(Table1[[#This Row],[Age]]&lt;=25,"Young",IF(Table1[[#This Row],[Age]]&gt;55,"Old",IF(Table1[[#This Row],[Age]]&gt;25,"Middle","Na")))</f>
        <v>Young</v>
      </c>
      <c r="G462" t="s">
        <v>11</v>
      </c>
      <c r="H462">
        <v>2</v>
      </c>
      <c r="I462">
        <v>500</v>
      </c>
      <c r="J462">
        <v>1000</v>
      </c>
    </row>
    <row r="463" spans="1:10" x14ac:dyDescent="0.35">
      <c r="A463">
        <v>462</v>
      </c>
      <c r="B463" s="1">
        <v>45017</v>
      </c>
      <c r="C463" t="s">
        <v>475</v>
      </c>
      <c r="D463" t="s">
        <v>10</v>
      </c>
      <c r="E463">
        <v>63</v>
      </c>
      <c r="F463" t="str">
        <f>IF(Table1[[#This Row],[Age]]&lt;=25,"Young",IF(Table1[[#This Row],[Age]]&gt;55,"Old",IF(Table1[[#This Row],[Age]]&gt;25,"Middle","Na")))</f>
        <v>Old</v>
      </c>
      <c r="G463" t="s">
        <v>16</v>
      </c>
      <c r="H463">
        <v>4</v>
      </c>
      <c r="I463">
        <v>300</v>
      </c>
      <c r="J463">
        <v>1200</v>
      </c>
    </row>
    <row r="464" spans="1:10" x14ac:dyDescent="0.35">
      <c r="A464">
        <v>463</v>
      </c>
      <c r="B464" s="1">
        <v>45138</v>
      </c>
      <c r="C464" t="s">
        <v>476</v>
      </c>
      <c r="D464" t="s">
        <v>13</v>
      </c>
      <c r="E464">
        <v>54</v>
      </c>
      <c r="F464" t="str">
        <f>IF(Table1[[#This Row],[Age]]&lt;=25,"Young",IF(Table1[[#This Row],[Age]]&gt;55,"Old",IF(Table1[[#This Row],[Age]]&gt;25,"Middle","Na")))</f>
        <v>Middle</v>
      </c>
      <c r="G464" t="s">
        <v>11</v>
      </c>
      <c r="H464">
        <v>3</v>
      </c>
      <c r="I464">
        <v>500</v>
      </c>
      <c r="J464">
        <v>1500</v>
      </c>
    </row>
    <row r="465" spans="1:10" x14ac:dyDescent="0.35">
      <c r="A465">
        <v>464</v>
      </c>
      <c r="B465" s="1">
        <v>44939</v>
      </c>
      <c r="C465" t="s">
        <v>477</v>
      </c>
      <c r="D465" t="s">
        <v>10</v>
      </c>
      <c r="E465">
        <v>38</v>
      </c>
      <c r="F465" t="str">
        <f>IF(Table1[[#This Row],[Age]]&lt;=25,"Young",IF(Table1[[#This Row],[Age]]&gt;55,"Old",IF(Table1[[#This Row],[Age]]&gt;25,"Middle","Na")))</f>
        <v>Middle</v>
      </c>
      <c r="G465" t="s">
        <v>16</v>
      </c>
      <c r="H465">
        <v>2</v>
      </c>
      <c r="I465">
        <v>300</v>
      </c>
      <c r="J465">
        <v>600</v>
      </c>
    </row>
    <row r="466" spans="1:10" x14ac:dyDescent="0.35">
      <c r="A466">
        <v>465</v>
      </c>
      <c r="B466" s="1">
        <v>45018</v>
      </c>
      <c r="C466" t="s">
        <v>478</v>
      </c>
      <c r="D466" t="s">
        <v>13</v>
      </c>
      <c r="E466">
        <v>43</v>
      </c>
      <c r="F466" t="str">
        <f>IF(Table1[[#This Row],[Age]]&lt;=25,"Young",IF(Table1[[#This Row],[Age]]&gt;55,"Old",IF(Table1[[#This Row],[Age]]&gt;25,"Middle","Na")))</f>
        <v>Middle</v>
      </c>
      <c r="G466" t="s">
        <v>16</v>
      </c>
      <c r="H466">
        <v>3</v>
      </c>
      <c r="I466">
        <v>50</v>
      </c>
      <c r="J466">
        <v>150</v>
      </c>
    </row>
    <row r="467" spans="1:10" x14ac:dyDescent="0.35">
      <c r="A467">
        <v>466</v>
      </c>
      <c r="B467" s="1">
        <v>45097</v>
      </c>
      <c r="C467" t="s">
        <v>479</v>
      </c>
      <c r="D467" t="s">
        <v>10</v>
      </c>
      <c r="E467">
        <v>63</v>
      </c>
      <c r="F467" t="str">
        <f>IF(Table1[[#This Row],[Age]]&lt;=25,"Young",IF(Table1[[#This Row],[Age]]&gt;55,"Old",IF(Table1[[#This Row],[Age]]&gt;25,"Middle","Na")))</f>
        <v>Old</v>
      </c>
      <c r="G467" t="s">
        <v>16</v>
      </c>
      <c r="H467">
        <v>4</v>
      </c>
      <c r="I467">
        <v>25</v>
      </c>
      <c r="J467">
        <v>100</v>
      </c>
    </row>
    <row r="468" spans="1:10" x14ac:dyDescent="0.35">
      <c r="A468">
        <v>467</v>
      </c>
      <c r="B468" s="1">
        <v>45137</v>
      </c>
      <c r="C468" t="s">
        <v>480</v>
      </c>
      <c r="D468" t="s">
        <v>13</v>
      </c>
      <c r="E468">
        <v>53</v>
      </c>
      <c r="F468" t="str">
        <f>IF(Table1[[#This Row],[Age]]&lt;=25,"Young",IF(Table1[[#This Row],[Age]]&gt;55,"Old",IF(Table1[[#This Row],[Age]]&gt;25,"Middle","Na")))</f>
        <v>Middle</v>
      </c>
      <c r="G468" t="s">
        <v>16</v>
      </c>
      <c r="H468">
        <v>3</v>
      </c>
      <c r="I468">
        <v>50</v>
      </c>
      <c r="J468">
        <v>150</v>
      </c>
    </row>
    <row r="469" spans="1:10" x14ac:dyDescent="0.35">
      <c r="A469">
        <v>468</v>
      </c>
      <c r="B469" s="1">
        <v>45269</v>
      </c>
      <c r="C469" t="s">
        <v>481</v>
      </c>
      <c r="D469" t="s">
        <v>10</v>
      </c>
      <c r="E469">
        <v>40</v>
      </c>
      <c r="F469" t="str">
        <f>IF(Table1[[#This Row],[Age]]&lt;=25,"Young",IF(Table1[[#This Row],[Age]]&gt;55,"Old",IF(Table1[[#This Row],[Age]]&gt;25,"Middle","Na")))</f>
        <v>Middle</v>
      </c>
      <c r="G469" t="s">
        <v>16</v>
      </c>
      <c r="H469">
        <v>1</v>
      </c>
      <c r="I469">
        <v>25</v>
      </c>
      <c r="J469">
        <v>25</v>
      </c>
    </row>
    <row r="470" spans="1:10" x14ac:dyDescent="0.35">
      <c r="A470">
        <v>469</v>
      </c>
      <c r="B470" s="1">
        <v>45054</v>
      </c>
      <c r="C470" t="s">
        <v>482</v>
      </c>
      <c r="D470" t="s">
        <v>10</v>
      </c>
      <c r="E470">
        <v>18</v>
      </c>
      <c r="F470" t="str">
        <f>IF(Table1[[#This Row],[Age]]&lt;=25,"Young",IF(Table1[[#This Row],[Age]]&gt;55,"Old",IF(Table1[[#This Row],[Age]]&gt;25,"Middle","Na")))</f>
        <v>Young</v>
      </c>
      <c r="G470" t="s">
        <v>11</v>
      </c>
      <c r="H470">
        <v>3</v>
      </c>
      <c r="I470">
        <v>25</v>
      </c>
      <c r="J470">
        <v>75</v>
      </c>
    </row>
    <row r="471" spans="1:10" x14ac:dyDescent="0.35">
      <c r="A471">
        <v>470</v>
      </c>
      <c r="B471" s="1">
        <v>45063</v>
      </c>
      <c r="C471" t="s">
        <v>483</v>
      </c>
      <c r="D471" t="s">
        <v>13</v>
      </c>
      <c r="E471">
        <v>57</v>
      </c>
      <c r="F471" t="str">
        <f>IF(Table1[[#This Row],[Age]]&lt;=25,"Young",IF(Table1[[#This Row],[Age]]&gt;55,"Old",IF(Table1[[#This Row],[Age]]&gt;25,"Middle","Na")))</f>
        <v>Old</v>
      </c>
      <c r="G471" t="s">
        <v>14</v>
      </c>
      <c r="H471">
        <v>2</v>
      </c>
      <c r="I471">
        <v>500</v>
      </c>
      <c r="J471">
        <v>1000</v>
      </c>
    </row>
    <row r="472" spans="1:10" x14ac:dyDescent="0.35">
      <c r="A472">
        <v>471</v>
      </c>
      <c r="B472" s="1">
        <v>45008</v>
      </c>
      <c r="C472" t="s">
        <v>484</v>
      </c>
      <c r="D472" t="s">
        <v>10</v>
      </c>
      <c r="E472">
        <v>32</v>
      </c>
      <c r="F472" t="str">
        <f>IF(Table1[[#This Row],[Age]]&lt;=25,"Young",IF(Table1[[#This Row],[Age]]&gt;55,"Old",IF(Table1[[#This Row],[Age]]&gt;25,"Middle","Na")))</f>
        <v>Middle</v>
      </c>
      <c r="G472" t="s">
        <v>14</v>
      </c>
      <c r="H472">
        <v>3</v>
      </c>
      <c r="I472">
        <v>50</v>
      </c>
      <c r="J472">
        <v>150</v>
      </c>
    </row>
    <row r="473" spans="1:10" x14ac:dyDescent="0.35">
      <c r="A473">
        <v>472</v>
      </c>
      <c r="B473" s="1">
        <v>45286</v>
      </c>
      <c r="C473" t="s">
        <v>485</v>
      </c>
      <c r="D473" t="s">
        <v>13</v>
      </c>
      <c r="E473">
        <v>38</v>
      </c>
      <c r="F473" t="str">
        <f>IF(Table1[[#This Row],[Age]]&lt;=25,"Young",IF(Table1[[#This Row],[Age]]&gt;55,"Old",IF(Table1[[#This Row],[Age]]&gt;25,"Middle","Na")))</f>
        <v>Middle</v>
      </c>
      <c r="G473" t="s">
        <v>11</v>
      </c>
      <c r="H473">
        <v>3</v>
      </c>
      <c r="I473">
        <v>300</v>
      </c>
      <c r="J473">
        <v>900</v>
      </c>
    </row>
    <row r="474" spans="1:10" x14ac:dyDescent="0.35">
      <c r="A474">
        <v>473</v>
      </c>
      <c r="B474" s="1">
        <v>44982</v>
      </c>
      <c r="C474" t="s">
        <v>486</v>
      </c>
      <c r="D474" t="s">
        <v>10</v>
      </c>
      <c r="E474">
        <v>64</v>
      </c>
      <c r="F474" t="str">
        <f>IF(Table1[[#This Row],[Age]]&lt;=25,"Young",IF(Table1[[#This Row],[Age]]&gt;55,"Old",IF(Table1[[#This Row],[Age]]&gt;25,"Middle","Na")))</f>
        <v>Old</v>
      </c>
      <c r="G474" t="s">
        <v>11</v>
      </c>
      <c r="H474">
        <v>1</v>
      </c>
      <c r="I474">
        <v>50</v>
      </c>
      <c r="J474">
        <v>50</v>
      </c>
    </row>
    <row r="475" spans="1:10" x14ac:dyDescent="0.35">
      <c r="A475">
        <v>474</v>
      </c>
      <c r="B475" s="1">
        <v>45122</v>
      </c>
      <c r="C475" t="s">
        <v>487</v>
      </c>
      <c r="D475" t="s">
        <v>13</v>
      </c>
      <c r="E475">
        <v>26</v>
      </c>
      <c r="F475" t="str">
        <f>IF(Table1[[#This Row],[Age]]&lt;=25,"Young",IF(Table1[[#This Row],[Age]]&gt;55,"Old",IF(Table1[[#This Row],[Age]]&gt;25,"Middle","Na")))</f>
        <v>Middle</v>
      </c>
      <c r="G475" t="s">
        <v>14</v>
      </c>
      <c r="H475">
        <v>3</v>
      </c>
      <c r="I475">
        <v>500</v>
      </c>
      <c r="J475">
        <v>1500</v>
      </c>
    </row>
    <row r="476" spans="1:10" x14ac:dyDescent="0.35">
      <c r="A476">
        <v>475</v>
      </c>
      <c r="B476" s="1">
        <v>44946</v>
      </c>
      <c r="C476" t="s">
        <v>488</v>
      </c>
      <c r="D476" t="s">
        <v>10</v>
      </c>
      <c r="E476">
        <v>26</v>
      </c>
      <c r="F476" t="str">
        <f>IF(Table1[[#This Row],[Age]]&lt;=25,"Young",IF(Table1[[#This Row],[Age]]&gt;55,"Old",IF(Table1[[#This Row],[Age]]&gt;25,"Middle","Na")))</f>
        <v>Middle</v>
      </c>
      <c r="G476" t="s">
        <v>14</v>
      </c>
      <c r="H476">
        <v>3</v>
      </c>
      <c r="I476">
        <v>25</v>
      </c>
      <c r="J476">
        <v>75</v>
      </c>
    </row>
    <row r="477" spans="1:10" x14ac:dyDescent="0.35">
      <c r="A477">
        <v>476</v>
      </c>
      <c r="B477" s="1">
        <v>45167</v>
      </c>
      <c r="C477" t="s">
        <v>489</v>
      </c>
      <c r="D477" t="s">
        <v>13</v>
      </c>
      <c r="E477">
        <v>27</v>
      </c>
      <c r="F477" t="str">
        <f>IF(Table1[[#This Row],[Age]]&lt;=25,"Young",IF(Table1[[#This Row],[Age]]&gt;55,"Old",IF(Table1[[#This Row],[Age]]&gt;25,"Middle","Na")))</f>
        <v>Middle</v>
      </c>
      <c r="G477" t="s">
        <v>14</v>
      </c>
      <c r="H477">
        <v>4</v>
      </c>
      <c r="I477">
        <v>500</v>
      </c>
      <c r="J477">
        <v>2000</v>
      </c>
    </row>
    <row r="478" spans="1:10" x14ac:dyDescent="0.35">
      <c r="A478">
        <v>477</v>
      </c>
      <c r="B478" s="1">
        <v>45040</v>
      </c>
      <c r="C478" t="s">
        <v>490</v>
      </c>
      <c r="D478" t="s">
        <v>10</v>
      </c>
      <c r="E478">
        <v>43</v>
      </c>
      <c r="F478" t="str">
        <f>IF(Table1[[#This Row],[Age]]&lt;=25,"Young",IF(Table1[[#This Row],[Age]]&gt;55,"Old",IF(Table1[[#This Row],[Age]]&gt;25,"Middle","Na")))</f>
        <v>Middle</v>
      </c>
      <c r="G478" t="s">
        <v>14</v>
      </c>
      <c r="H478">
        <v>4</v>
      </c>
      <c r="I478">
        <v>30</v>
      </c>
      <c r="J478">
        <v>120</v>
      </c>
    </row>
    <row r="479" spans="1:10" x14ac:dyDescent="0.35">
      <c r="A479">
        <v>478</v>
      </c>
      <c r="B479" s="1">
        <v>45029</v>
      </c>
      <c r="C479" t="s">
        <v>491</v>
      </c>
      <c r="D479" t="s">
        <v>13</v>
      </c>
      <c r="E479">
        <v>58</v>
      </c>
      <c r="F479" t="str">
        <f>IF(Table1[[#This Row],[Age]]&lt;=25,"Young",IF(Table1[[#This Row],[Age]]&gt;55,"Old",IF(Table1[[#This Row],[Age]]&gt;25,"Middle","Na")))</f>
        <v>Old</v>
      </c>
      <c r="G479" t="s">
        <v>14</v>
      </c>
      <c r="H479">
        <v>2</v>
      </c>
      <c r="I479">
        <v>30</v>
      </c>
      <c r="J479">
        <v>60</v>
      </c>
    </row>
    <row r="480" spans="1:10" x14ac:dyDescent="0.35">
      <c r="A480">
        <v>479</v>
      </c>
      <c r="B480" s="1">
        <v>45162</v>
      </c>
      <c r="C480" t="s">
        <v>492</v>
      </c>
      <c r="D480" t="s">
        <v>10</v>
      </c>
      <c r="E480">
        <v>52</v>
      </c>
      <c r="F480" t="str">
        <f>IF(Table1[[#This Row],[Age]]&lt;=25,"Young",IF(Table1[[#This Row],[Age]]&gt;55,"Old",IF(Table1[[#This Row],[Age]]&gt;25,"Middle","Na")))</f>
        <v>Middle</v>
      </c>
      <c r="G480" t="s">
        <v>16</v>
      </c>
      <c r="H480">
        <v>4</v>
      </c>
      <c r="I480">
        <v>300</v>
      </c>
      <c r="J480">
        <v>1200</v>
      </c>
    </row>
    <row r="481" spans="1:10" x14ac:dyDescent="0.35">
      <c r="A481">
        <v>480</v>
      </c>
      <c r="B481" s="1">
        <v>45106</v>
      </c>
      <c r="C481" t="s">
        <v>493</v>
      </c>
      <c r="D481" t="s">
        <v>13</v>
      </c>
      <c r="E481">
        <v>42</v>
      </c>
      <c r="F481" t="str">
        <f>IF(Table1[[#This Row],[Age]]&lt;=25,"Young",IF(Table1[[#This Row],[Age]]&gt;55,"Old",IF(Table1[[#This Row],[Age]]&gt;25,"Middle","Na")))</f>
        <v>Middle</v>
      </c>
      <c r="G481" t="s">
        <v>11</v>
      </c>
      <c r="H481">
        <v>4</v>
      </c>
      <c r="I481">
        <v>500</v>
      </c>
      <c r="J481">
        <v>2000</v>
      </c>
    </row>
    <row r="482" spans="1:10" x14ac:dyDescent="0.35">
      <c r="A482">
        <v>481</v>
      </c>
      <c r="B482" s="1">
        <v>45083</v>
      </c>
      <c r="C482" t="s">
        <v>494</v>
      </c>
      <c r="D482" t="s">
        <v>13</v>
      </c>
      <c r="E482">
        <v>43</v>
      </c>
      <c r="F482" t="str">
        <f>IF(Table1[[#This Row],[Age]]&lt;=25,"Young",IF(Table1[[#This Row],[Age]]&gt;55,"Old",IF(Table1[[#This Row],[Age]]&gt;25,"Middle","Na")))</f>
        <v>Middle</v>
      </c>
      <c r="G482" t="s">
        <v>16</v>
      </c>
      <c r="H482">
        <v>4</v>
      </c>
      <c r="I482">
        <v>300</v>
      </c>
      <c r="J482">
        <v>1200</v>
      </c>
    </row>
    <row r="483" spans="1:10" x14ac:dyDescent="0.35">
      <c r="A483">
        <v>482</v>
      </c>
      <c r="B483" s="1">
        <v>45043</v>
      </c>
      <c r="C483" t="s">
        <v>495</v>
      </c>
      <c r="D483" t="s">
        <v>13</v>
      </c>
      <c r="E483">
        <v>28</v>
      </c>
      <c r="F483" t="str">
        <f>IF(Table1[[#This Row],[Age]]&lt;=25,"Young",IF(Table1[[#This Row],[Age]]&gt;55,"Old",IF(Table1[[#This Row],[Age]]&gt;25,"Middle","Na")))</f>
        <v>Middle</v>
      </c>
      <c r="G483" t="s">
        <v>14</v>
      </c>
      <c r="H483">
        <v>4</v>
      </c>
      <c r="I483">
        <v>300</v>
      </c>
      <c r="J483">
        <v>1200</v>
      </c>
    </row>
    <row r="484" spans="1:10" x14ac:dyDescent="0.35">
      <c r="A484">
        <v>483</v>
      </c>
      <c r="B484" s="1">
        <v>45041</v>
      </c>
      <c r="C484" t="s">
        <v>496</v>
      </c>
      <c r="D484" t="s">
        <v>10</v>
      </c>
      <c r="E484">
        <v>55</v>
      </c>
      <c r="F484" t="str">
        <f>IF(Table1[[#This Row],[Age]]&lt;=25,"Young",IF(Table1[[#This Row],[Age]]&gt;55,"Old",IF(Table1[[#This Row],[Age]]&gt;25,"Middle","Na")))</f>
        <v>Middle</v>
      </c>
      <c r="G484" t="s">
        <v>14</v>
      </c>
      <c r="H484">
        <v>1</v>
      </c>
      <c r="I484">
        <v>30</v>
      </c>
      <c r="J484">
        <v>30</v>
      </c>
    </row>
    <row r="485" spans="1:10" x14ac:dyDescent="0.35">
      <c r="A485">
        <v>484</v>
      </c>
      <c r="B485" s="1">
        <v>44939</v>
      </c>
      <c r="C485" t="s">
        <v>497</v>
      </c>
      <c r="D485" t="s">
        <v>13</v>
      </c>
      <c r="E485">
        <v>19</v>
      </c>
      <c r="F485" t="str">
        <f>IF(Table1[[#This Row],[Age]]&lt;=25,"Young",IF(Table1[[#This Row],[Age]]&gt;55,"Old",IF(Table1[[#This Row],[Age]]&gt;25,"Middle","Na")))</f>
        <v>Young</v>
      </c>
      <c r="G485" t="s">
        <v>14</v>
      </c>
      <c r="H485">
        <v>4</v>
      </c>
      <c r="I485">
        <v>300</v>
      </c>
      <c r="J485">
        <v>1200</v>
      </c>
    </row>
    <row r="486" spans="1:10" x14ac:dyDescent="0.35">
      <c r="A486">
        <v>485</v>
      </c>
      <c r="B486" s="1">
        <v>45264</v>
      </c>
      <c r="C486" t="s">
        <v>498</v>
      </c>
      <c r="D486" t="s">
        <v>10</v>
      </c>
      <c r="E486">
        <v>24</v>
      </c>
      <c r="F486" t="str">
        <f>IF(Table1[[#This Row],[Age]]&lt;=25,"Young",IF(Table1[[#This Row],[Age]]&gt;55,"Old",IF(Table1[[#This Row],[Age]]&gt;25,"Middle","Na")))</f>
        <v>Young</v>
      </c>
      <c r="G486" t="s">
        <v>16</v>
      </c>
      <c r="H486">
        <v>1</v>
      </c>
      <c r="I486">
        <v>30</v>
      </c>
      <c r="J486">
        <v>30</v>
      </c>
    </row>
    <row r="487" spans="1:10" x14ac:dyDescent="0.35">
      <c r="A487">
        <v>486</v>
      </c>
      <c r="B487" s="1">
        <v>45025</v>
      </c>
      <c r="C487" t="s">
        <v>499</v>
      </c>
      <c r="D487" t="s">
        <v>13</v>
      </c>
      <c r="E487">
        <v>35</v>
      </c>
      <c r="F487" t="str">
        <f>IF(Table1[[#This Row],[Age]]&lt;=25,"Young",IF(Table1[[#This Row],[Age]]&gt;55,"Old",IF(Table1[[#This Row],[Age]]&gt;25,"Middle","Na")))</f>
        <v>Middle</v>
      </c>
      <c r="G487" t="s">
        <v>16</v>
      </c>
      <c r="H487">
        <v>1</v>
      </c>
      <c r="I487">
        <v>25</v>
      </c>
      <c r="J487">
        <v>25</v>
      </c>
    </row>
    <row r="488" spans="1:10" x14ac:dyDescent="0.35">
      <c r="A488">
        <v>487</v>
      </c>
      <c r="B488" s="1">
        <v>45131</v>
      </c>
      <c r="C488" t="s">
        <v>500</v>
      </c>
      <c r="D488" t="s">
        <v>10</v>
      </c>
      <c r="E488">
        <v>44</v>
      </c>
      <c r="F488" t="str">
        <f>IF(Table1[[#This Row],[Age]]&lt;=25,"Young",IF(Table1[[#This Row],[Age]]&gt;55,"Old",IF(Table1[[#This Row],[Age]]&gt;25,"Middle","Na")))</f>
        <v>Middle</v>
      </c>
      <c r="G488" t="s">
        <v>14</v>
      </c>
      <c r="H488">
        <v>4</v>
      </c>
      <c r="I488">
        <v>500</v>
      </c>
      <c r="J488">
        <v>2000</v>
      </c>
    </row>
    <row r="489" spans="1:10" x14ac:dyDescent="0.35">
      <c r="A489">
        <v>488</v>
      </c>
      <c r="B489" s="1">
        <v>45095</v>
      </c>
      <c r="C489" t="s">
        <v>501</v>
      </c>
      <c r="D489" t="s">
        <v>13</v>
      </c>
      <c r="E489">
        <v>51</v>
      </c>
      <c r="F489" t="str">
        <f>IF(Table1[[#This Row],[Age]]&lt;=25,"Young",IF(Table1[[#This Row],[Age]]&gt;55,"Old",IF(Table1[[#This Row],[Age]]&gt;25,"Middle","Na")))</f>
        <v>Middle</v>
      </c>
      <c r="G489" t="s">
        <v>16</v>
      </c>
      <c r="H489">
        <v>3</v>
      </c>
      <c r="I489">
        <v>300</v>
      </c>
      <c r="J489">
        <v>900</v>
      </c>
    </row>
    <row r="490" spans="1:10" x14ac:dyDescent="0.35">
      <c r="A490">
        <v>489</v>
      </c>
      <c r="B490" s="1">
        <v>45069</v>
      </c>
      <c r="C490" t="s">
        <v>502</v>
      </c>
      <c r="D490" t="s">
        <v>10</v>
      </c>
      <c r="E490">
        <v>44</v>
      </c>
      <c r="F490" t="str">
        <f>IF(Table1[[#This Row],[Age]]&lt;=25,"Young",IF(Table1[[#This Row],[Age]]&gt;55,"Old",IF(Table1[[#This Row],[Age]]&gt;25,"Middle","Na")))</f>
        <v>Middle</v>
      </c>
      <c r="G490" t="s">
        <v>16</v>
      </c>
      <c r="H490">
        <v>1</v>
      </c>
      <c r="I490">
        <v>30</v>
      </c>
      <c r="J490">
        <v>30</v>
      </c>
    </row>
    <row r="491" spans="1:10" x14ac:dyDescent="0.35">
      <c r="A491">
        <v>490</v>
      </c>
      <c r="B491" s="1">
        <v>44962</v>
      </c>
      <c r="C491" t="s">
        <v>503</v>
      </c>
      <c r="D491" t="s">
        <v>10</v>
      </c>
      <c r="E491">
        <v>34</v>
      </c>
      <c r="F491" t="str">
        <f>IF(Table1[[#This Row],[Age]]&lt;=25,"Young",IF(Table1[[#This Row],[Age]]&gt;55,"Old",IF(Table1[[#This Row],[Age]]&gt;25,"Middle","Na")))</f>
        <v>Middle</v>
      </c>
      <c r="G491" t="s">
        <v>14</v>
      </c>
      <c r="H491">
        <v>3</v>
      </c>
      <c r="I491">
        <v>50</v>
      </c>
      <c r="J491">
        <v>150</v>
      </c>
    </row>
    <row r="492" spans="1:10" x14ac:dyDescent="0.35">
      <c r="A492">
        <v>491</v>
      </c>
      <c r="B492" s="1">
        <v>45069</v>
      </c>
      <c r="C492" t="s">
        <v>504</v>
      </c>
      <c r="D492" t="s">
        <v>13</v>
      </c>
      <c r="E492">
        <v>60</v>
      </c>
      <c r="F492" t="str">
        <f>IF(Table1[[#This Row],[Age]]&lt;=25,"Young",IF(Table1[[#This Row],[Age]]&gt;55,"Old",IF(Table1[[#This Row],[Age]]&gt;25,"Middle","Na")))</f>
        <v>Old</v>
      </c>
      <c r="G492" t="s">
        <v>16</v>
      </c>
      <c r="H492">
        <v>3</v>
      </c>
      <c r="I492">
        <v>300</v>
      </c>
      <c r="J492">
        <v>900</v>
      </c>
    </row>
    <row r="493" spans="1:10" x14ac:dyDescent="0.35">
      <c r="A493">
        <v>492</v>
      </c>
      <c r="B493" s="1">
        <v>45106</v>
      </c>
      <c r="C493" t="s">
        <v>505</v>
      </c>
      <c r="D493" t="s">
        <v>10</v>
      </c>
      <c r="E493">
        <v>61</v>
      </c>
      <c r="F493" t="str">
        <f>IF(Table1[[#This Row],[Age]]&lt;=25,"Young",IF(Table1[[#This Row],[Age]]&gt;55,"Old",IF(Table1[[#This Row],[Age]]&gt;25,"Middle","Na")))</f>
        <v>Old</v>
      </c>
      <c r="G493" t="s">
        <v>11</v>
      </c>
      <c r="H493">
        <v>4</v>
      </c>
      <c r="I493">
        <v>25</v>
      </c>
      <c r="J493">
        <v>100</v>
      </c>
    </row>
    <row r="494" spans="1:10" x14ac:dyDescent="0.35">
      <c r="A494">
        <v>493</v>
      </c>
      <c r="B494" s="1">
        <v>45255</v>
      </c>
      <c r="C494" t="s">
        <v>506</v>
      </c>
      <c r="D494" t="s">
        <v>10</v>
      </c>
      <c r="E494">
        <v>41</v>
      </c>
      <c r="F494" t="str">
        <f>IF(Table1[[#This Row],[Age]]&lt;=25,"Young",IF(Table1[[#This Row],[Age]]&gt;55,"Old",IF(Table1[[#This Row],[Age]]&gt;25,"Middle","Na")))</f>
        <v>Middle</v>
      </c>
      <c r="G494" t="s">
        <v>11</v>
      </c>
      <c r="H494">
        <v>2</v>
      </c>
      <c r="I494">
        <v>25</v>
      </c>
      <c r="J494">
        <v>50</v>
      </c>
    </row>
    <row r="495" spans="1:10" x14ac:dyDescent="0.35">
      <c r="A495">
        <v>494</v>
      </c>
      <c r="B495" s="1">
        <v>45187</v>
      </c>
      <c r="C495" t="s">
        <v>507</v>
      </c>
      <c r="D495" t="s">
        <v>13</v>
      </c>
      <c r="E495">
        <v>42</v>
      </c>
      <c r="F495" t="str">
        <f>IF(Table1[[#This Row],[Age]]&lt;=25,"Young",IF(Table1[[#This Row],[Age]]&gt;55,"Old",IF(Table1[[#This Row],[Age]]&gt;25,"Middle","Na")))</f>
        <v>Middle</v>
      </c>
      <c r="G495" t="s">
        <v>11</v>
      </c>
      <c r="H495">
        <v>4</v>
      </c>
      <c r="I495">
        <v>50</v>
      </c>
      <c r="J495">
        <v>200</v>
      </c>
    </row>
    <row r="496" spans="1:10" x14ac:dyDescent="0.35">
      <c r="A496">
        <v>495</v>
      </c>
      <c r="B496" s="1">
        <v>45131</v>
      </c>
      <c r="C496" t="s">
        <v>508</v>
      </c>
      <c r="D496" t="s">
        <v>10</v>
      </c>
      <c r="E496">
        <v>24</v>
      </c>
      <c r="F496" t="str">
        <f>IF(Table1[[#This Row],[Age]]&lt;=25,"Young",IF(Table1[[#This Row],[Age]]&gt;55,"Old",IF(Table1[[#This Row],[Age]]&gt;25,"Middle","Na")))</f>
        <v>Young</v>
      </c>
      <c r="G496" t="s">
        <v>11</v>
      </c>
      <c r="H496">
        <v>2</v>
      </c>
      <c r="I496">
        <v>30</v>
      </c>
      <c r="J496">
        <v>60</v>
      </c>
    </row>
    <row r="497" spans="1:10" x14ac:dyDescent="0.35">
      <c r="A497">
        <v>496</v>
      </c>
      <c r="B497" s="1">
        <v>45274</v>
      </c>
      <c r="C497" t="s">
        <v>509</v>
      </c>
      <c r="D497" t="s">
        <v>10</v>
      </c>
      <c r="E497">
        <v>23</v>
      </c>
      <c r="F497" t="str">
        <f>IF(Table1[[#This Row],[Age]]&lt;=25,"Young",IF(Table1[[#This Row],[Age]]&gt;55,"Old",IF(Table1[[#This Row],[Age]]&gt;25,"Middle","Na")))</f>
        <v>Young</v>
      </c>
      <c r="G497" t="s">
        <v>14</v>
      </c>
      <c r="H497">
        <v>2</v>
      </c>
      <c r="I497">
        <v>300</v>
      </c>
      <c r="J497">
        <v>600</v>
      </c>
    </row>
    <row r="498" spans="1:10" x14ac:dyDescent="0.35">
      <c r="A498">
        <v>497</v>
      </c>
      <c r="B498" s="1">
        <v>45201</v>
      </c>
      <c r="C498" t="s">
        <v>510</v>
      </c>
      <c r="D498" t="s">
        <v>10</v>
      </c>
      <c r="E498">
        <v>41</v>
      </c>
      <c r="F498" t="str">
        <f>IF(Table1[[#This Row],[Age]]&lt;=25,"Young",IF(Table1[[#This Row],[Age]]&gt;55,"Old",IF(Table1[[#This Row],[Age]]&gt;25,"Middle","Na")))</f>
        <v>Middle</v>
      </c>
      <c r="G498" t="s">
        <v>14</v>
      </c>
      <c r="H498">
        <v>4</v>
      </c>
      <c r="I498">
        <v>30</v>
      </c>
      <c r="J498">
        <v>120</v>
      </c>
    </row>
    <row r="499" spans="1:10" x14ac:dyDescent="0.35">
      <c r="A499">
        <v>498</v>
      </c>
      <c r="B499" s="1">
        <v>45096</v>
      </c>
      <c r="C499" t="s">
        <v>511</v>
      </c>
      <c r="D499" t="s">
        <v>13</v>
      </c>
      <c r="E499">
        <v>50</v>
      </c>
      <c r="F499" t="str">
        <f>IF(Table1[[#This Row],[Age]]&lt;=25,"Young",IF(Table1[[#This Row],[Age]]&gt;55,"Old",IF(Table1[[#This Row],[Age]]&gt;25,"Middle","Na")))</f>
        <v>Middle</v>
      </c>
      <c r="G499" t="s">
        <v>14</v>
      </c>
      <c r="H499">
        <v>4</v>
      </c>
      <c r="I499">
        <v>25</v>
      </c>
      <c r="J499">
        <v>100</v>
      </c>
    </row>
    <row r="500" spans="1:10" x14ac:dyDescent="0.35">
      <c r="A500">
        <v>499</v>
      </c>
      <c r="B500" s="1">
        <v>44941</v>
      </c>
      <c r="C500" t="s">
        <v>512</v>
      </c>
      <c r="D500" t="s">
        <v>10</v>
      </c>
      <c r="E500">
        <v>46</v>
      </c>
      <c r="F500" t="str">
        <f>IF(Table1[[#This Row],[Age]]&lt;=25,"Young",IF(Table1[[#This Row],[Age]]&gt;55,"Old",IF(Table1[[#This Row],[Age]]&gt;25,"Middle","Na")))</f>
        <v>Middle</v>
      </c>
      <c r="G500" t="s">
        <v>11</v>
      </c>
      <c r="H500">
        <v>2</v>
      </c>
      <c r="I500">
        <v>30</v>
      </c>
      <c r="J500">
        <v>60</v>
      </c>
    </row>
    <row r="501" spans="1:10" x14ac:dyDescent="0.35">
      <c r="A501">
        <v>500</v>
      </c>
      <c r="B501" s="1">
        <v>44986</v>
      </c>
      <c r="C501" t="s">
        <v>513</v>
      </c>
      <c r="D501" t="s">
        <v>13</v>
      </c>
      <c r="E501">
        <v>60</v>
      </c>
      <c r="F501" t="str">
        <f>IF(Table1[[#This Row],[Age]]&lt;=25,"Young",IF(Table1[[#This Row],[Age]]&gt;55,"Old",IF(Table1[[#This Row],[Age]]&gt;25,"Middle","Na")))</f>
        <v>Old</v>
      </c>
      <c r="G501" t="s">
        <v>11</v>
      </c>
      <c r="H501">
        <v>4</v>
      </c>
      <c r="I501">
        <v>25</v>
      </c>
      <c r="J501">
        <v>100</v>
      </c>
    </row>
    <row r="502" spans="1:10" x14ac:dyDescent="0.35">
      <c r="A502">
        <v>501</v>
      </c>
      <c r="B502" s="1">
        <v>45060</v>
      </c>
      <c r="C502" t="s">
        <v>514</v>
      </c>
      <c r="D502" t="s">
        <v>10</v>
      </c>
      <c r="E502">
        <v>39</v>
      </c>
      <c r="F502" t="str">
        <f>IF(Table1[[#This Row],[Age]]&lt;=25,"Young",IF(Table1[[#This Row],[Age]]&gt;55,"Old",IF(Table1[[#This Row],[Age]]&gt;25,"Middle","Na")))</f>
        <v>Middle</v>
      </c>
      <c r="G502" t="s">
        <v>16</v>
      </c>
      <c r="H502">
        <v>2</v>
      </c>
      <c r="I502">
        <v>30</v>
      </c>
      <c r="J502">
        <v>60</v>
      </c>
    </row>
    <row r="503" spans="1:10" x14ac:dyDescent="0.35">
      <c r="A503">
        <v>502</v>
      </c>
      <c r="B503" s="1">
        <v>45018</v>
      </c>
      <c r="C503" t="s">
        <v>515</v>
      </c>
      <c r="D503" t="s">
        <v>10</v>
      </c>
      <c r="E503">
        <v>43</v>
      </c>
      <c r="F503" t="str">
        <f>IF(Table1[[#This Row],[Age]]&lt;=25,"Young",IF(Table1[[#This Row],[Age]]&gt;55,"Old",IF(Table1[[#This Row],[Age]]&gt;25,"Middle","Na")))</f>
        <v>Middle</v>
      </c>
      <c r="G503" t="s">
        <v>16</v>
      </c>
      <c r="H503">
        <v>3</v>
      </c>
      <c r="I503">
        <v>50</v>
      </c>
      <c r="J503">
        <v>150</v>
      </c>
    </row>
    <row r="504" spans="1:10" x14ac:dyDescent="0.35">
      <c r="A504">
        <v>503</v>
      </c>
      <c r="B504" s="1">
        <v>45224</v>
      </c>
      <c r="C504" t="s">
        <v>516</v>
      </c>
      <c r="D504" t="s">
        <v>10</v>
      </c>
      <c r="E504">
        <v>45</v>
      </c>
      <c r="F504" t="str">
        <f>IF(Table1[[#This Row],[Age]]&lt;=25,"Young",IF(Table1[[#This Row],[Age]]&gt;55,"Old",IF(Table1[[#This Row],[Age]]&gt;25,"Middle","Na")))</f>
        <v>Middle</v>
      </c>
      <c r="G504" t="s">
        <v>11</v>
      </c>
      <c r="H504">
        <v>4</v>
      </c>
      <c r="I504">
        <v>500</v>
      </c>
      <c r="J504">
        <v>2000</v>
      </c>
    </row>
    <row r="505" spans="1:10" x14ac:dyDescent="0.35">
      <c r="A505">
        <v>504</v>
      </c>
      <c r="B505" s="1">
        <v>45062</v>
      </c>
      <c r="C505" t="s">
        <v>517</v>
      </c>
      <c r="D505" t="s">
        <v>13</v>
      </c>
      <c r="E505">
        <v>38</v>
      </c>
      <c r="F505" t="str">
        <f>IF(Table1[[#This Row],[Age]]&lt;=25,"Young",IF(Table1[[#This Row],[Age]]&gt;55,"Old",IF(Table1[[#This Row],[Age]]&gt;25,"Middle","Na")))</f>
        <v>Middle</v>
      </c>
      <c r="G505" t="s">
        <v>11</v>
      </c>
      <c r="H505">
        <v>3</v>
      </c>
      <c r="I505">
        <v>50</v>
      </c>
      <c r="J505">
        <v>150</v>
      </c>
    </row>
    <row r="506" spans="1:10" x14ac:dyDescent="0.35">
      <c r="A506">
        <v>505</v>
      </c>
      <c r="B506" s="1">
        <v>44946</v>
      </c>
      <c r="C506" t="s">
        <v>518</v>
      </c>
      <c r="D506" t="s">
        <v>10</v>
      </c>
      <c r="E506">
        <v>24</v>
      </c>
      <c r="F506" t="str">
        <f>IF(Table1[[#This Row],[Age]]&lt;=25,"Young",IF(Table1[[#This Row],[Age]]&gt;55,"Old",IF(Table1[[#This Row],[Age]]&gt;25,"Middle","Na")))</f>
        <v>Young</v>
      </c>
      <c r="G506" t="s">
        <v>11</v>
      </c>
      <c r="H506">
        <v>1</v>
      </c>
      <c r="I506">
        <v>50</v>
      </c>
      <c r="J506">
        <v>50</v>
      </c>
    </row>
    <row r="507" spans="1:10" x14ac:dyDescent="0.35">
      <c r="A507">
        <v>506</v>
      </c>
      <c r="B507" s="1">
        <v>44982</v>
      </c>
      <c r="C507" t="s">
        <v>519</v>
      </c>
      <c r="D507" t="s">
        <v>10</v>
      </c>
      <c r="E507">
        <v>34</v>
      </c>
      <c r="F507" t="str">
        <f>IF(Table1[[#This Row],[Age]]&lt;=25,"Young",IF(Table1[[#This Row],[Age]]&gt;55,"Old",IF(Table1[[#This Row],[Age]]&gt;25,"Middle","Na")))</f>
        <v>Middle</v>
      </c>
      <c r="G507" t="s">
        <v>11</v>
      </c>
      <c r="H507">
        <v>3</v>
      </c>
      <c r="I507">
        <v>500</v>
      </c>
      <c r="J507">
        <v>1500</v>
      </c>
    </row>
    <row r="508" spans="1:10" x14ac:dyDescent="0.35">
      <c r="A508">
        <v>507</v>
      </c>
      <c r="B508" s="1">
        <v>45232</v>
      </c>
      <c r="C508" t="s">
        <v>520</v>
      </c>
      <c r="D508" t="s">
        <v>13</v>
      </c>
      <c r="E508">
        <v>37</v>
      </c>
      <c r="F508" t="str">
        <f>IF(Table1[[#This Row],[Age]]&lt;=25,"Young",IF(Table1[[#This Row],[Age]]&gt;55,"Old",IF(Table1[[#This Row],[Age]]&gt;25,"Middle","Na")))</f>
        <v>Middle</v>
      </c>
      <c r="G508" t="s">
        <v>16</v>
      </c>
      <c r="H508">
        <v>3</v>
      </c>
      <c r="I508">
        <v>500</v>
      </c>
      <c r="J508">
        <v>1500</v>
      </c>
    </row>
    <row r="509" spans="1:10" x14ac:dyDescent="0.35">
      <c r="A509">
        <v>508</v>
      </c>
      <c r="B509" s="1">
        <v>45149</v>
      </c>
      <c r="C509" t="s">
        <v>521</v>
      </c>
      <c r="D509" t="s">
        <v>10</v>
      </c>
      <c r="E509">
        <v>58</v>
      </c>
      <c r="F509" t="str">
        <f>IF(Table1[[#This Row],[Age]]&lt;=25,"Young",IF(Table1[[#This Row],[Age]]&gt;55,"Old",IF(Table1[[#This Row],[Age]]&gt;25,"Middle","Na")))</f>
        <v>Old</v>
      </c>
      <c r="G509" t="s">
        <v>11</v>
      </c>
      <c r="H509">
        <v>2</v>
      </c>
      <c r="I509">
        <v>300</v>
      </c>
      <c r="J509">
        <v>600</v>
      </c>
    </row>
    <row r="510" spans="1:10" x14ac:dyDescent="0.35">
      <c r="A510">
        <v>509</v>
      </c>
      <c r="B510" s="1">
        <v>45103</v>
      </c>
      <c r="C510" t="s">
        <v>522</v>
      </c>
      <c r="D510" t="s">
        <v>13</v>
      </c>
      <c r="E510">
        <v>37</v>
      </c>
      <c r="F510" t="str">
        <f>IF(Table1[[#This Row],[Age]]&lt;=25,"Young",IF(Table1[[#This Row],[Age]]&gt;55,"Old",IF(Table1[[#This Row],[Age]]&gt;25,"Middle","Na")))</f>
        <v>Middle</v>
      </c>
      <c r="G510" t="s">
        <v>16</v>
      </c>
      <c r="H510">
        <v>3</v>
      </c>
      <c r="I510">
        <v>300</v>
      </c>
      <c r="J510">
        <v>900</v>
      </c>
    </row>
    <row r="511" spans="1:10" x14ac:dyDescent="0.35">
      <c r="A511">
        <v>510</v>
      </c>
      <c r="B511" s="1">
        <v>45087</v>
      </c>
      <c r="C511" t="s">
        <v>523</v>
      </c>
      <c r="D511" t="s">
        <v>13</v>
      </c>
      <c r="E511">
        <v>39</v>
      </c>
      <c r="F511" t="str">
        <f>IF(Table1[[#This Row],[Age]]&lt;=25,"Young",IF(Table1[[#This Row],[Age]]&gt;55,"Old",IF(Table1[[#This Row],[Age]]&gt;25,"Middle","Na")))</f>
        <v>Middle</v>
      </c>
      <c r="G511" t="s">
        <v>11</v>
      </c>
      <c r="H511">
        <v>4</v>
      </c>
      <c r="I511">
        <v>50</v>
      </c>
      <c r="J511">
        <v>200</v>
      </c>
    </row>
    <row r="512" spans="1:10" x14ac:dyDescent="0.35">
      <c r="A512">
        <v>511</v>
      </c>
      <c r="B512" s="1">
        <v>45150</v>
      </c>
      <c r="C512" t="s">
        <v>524</v>
      </c>
      <c r="D512" t="s">
        <v>10</v>
      </c>
      <c r="E512">
        <v>45</v>
      </c>
      <c r="F512" t="str">
        <f>IF(Table1[[#This Row],[Age]]&lt;=25,"Young",IF(Table1[[#This Row],[Age]]&gt;55,"Old",IF(Table1[[#This Row],[Age]]&gt;25,"Middle","Na")))</f>
        <v>Middle</v>
      </c>
      <c r="G512" t="s">
        <v>11</v>
      </c>
      <c r="H512">
        <v>2</v>
      </c>
      <c r="I512">
        <v>50</v>
      </c>
      <c r="J512">
        <v>100</v>
      </c>
    </row>
    <row r="513" spans="1:10" x14ac:dyDescent="0.35">
      <c r="A513">
        <v>512</v>
      </c>
      <c r="B513" s="1">
        <v>45237</v>
      </c>
      <c r="C513" t="s">
        <v>525</v>
      </c>
      <c r="D513" t="s">
        <v>13</v>
      </c>
      <c r="E513">
        <v>57</v>
      </c>
      <c r="F513" t="str">
        <f>IF(Table1[[#This Row],[Age]]&lt;=25,"Young",IF(Table1[[#This Row],[Age]]&gt;55,"Old",IF(Table1[[#This Row],[Age]]&gt;25,"Middle","Na")))</f>
        <v>Old</v>
      </c>
      <c r="G513" t="s">
        <v>11</v>
      </c>
      <c r="H513">
        <v>1</v>
      </c>
      <c r="I513">
        <v>25</v>
      </c>
      <c r="J513">
        <v>25</v>
      </c>
    </row>
    <row r="514" spans="1:10" x14ac:dyDescent="0.35">
      <c r="A514">
        <v>513</v>
      </c>
      <c r="B514" s="1">
        <v>45188</v>
      </c>
      <c r="C514" t="s">
        <v>526</v>
      </c>
      <c r="D514" t="s">
        <v>10</v>
      </c>
      <c r="E514">
        <v>24</v>
      </c>
      <c r="F514" t="str">
        <f>IF(Table1[[#This Row],[Age]]&lt;=25,"Young",IF(Table1[[#This Row],[Age]]&gt;55,"Old",IF(Table1[[#This Row],[Age]]&gt;25,"Middle","Na")))</f>
        <v>Young</v>
      </c>
      <c r="G514" t="s">
        <v>16</v>
      </c>
      <c r="H514">
        <v>4</v>
      </c>
      <c r="I514">
        <v>25</v>
      </c>
      <c r="J514">
        <v>100</v>
      </c>
    </row>
    <row r="515" spans="1:10" x14ac:dyDescent="0.35">
      <c r="A515">
        <v>514</v>
      </c>
      <c r="B515" s="1">
        <v>44986</v>
      </c>
      <c r="C515" t="s">
        <v>527</v>
      </c>
      <c r="D515" t="s">
        <v>13</v>
      </c>
      <c r="E515">
        <v>18</v>
      </c>
      <c r="F515" t="str">
        <f>IF(Table1[[#This Row],[Age]]&lt;=25,"Young",IF(Table1[[#This Row],[Age]]&gt;55,"Old",IF(Table1[[#This Row],[Age]]&gt;25,"Middle","Na")))</f>
        <v>Young</v>
      </c>
      <c r="G515" t="s">
        <v>16</v>
      </c>
      <c r="H515">
        <v>1</v>
      </c>
      <c r="I515">
        <v>300</v>
      </c>
      <c r="J515">
        <v>300</v>
      </c>
    </row>
    <row r="516" spans="1:10" x14ac:dyDescent="0.35">
      <c r="A516">
        <v>515</v>
      </c>
      <c r="B516" s="1">
        <v>45124</v>
      </c>
      <c r="C516" t="s">
        <v>528</v>
      </c>
      <c r="D516" t="s">
        <v>13</v>
      </c>
      <c r="E516">
        <v>49</v>
      </c>
      <c r="F516" t="str">
        <f>IF(Table1[[#This Row],[Age]]&lt;=25,"Young",IF(Table1[[#This Row],[Age]]&gt;55,"Old",IF(Table1[[#This Row],[Age]]&gt;25,"Middle","Na")))</f>
        <v>Middle</v>
      </c>
      <c r="G516" t="s">
        <v>14</v>
      </c>
      <c r="H516">
        <v>3</v>
      </c>
      <c r="I516">
        <v>300</v>
      </c>
      <c r="J516">
        <v>900</v>
      </c>
    </row>
    <row r="517" spans="1:10" x14ac:dyDescent="0.35">
      <c r="A517">
        <v>516</v>
      </c>
      <c r="B517" s="1">
        <v>45222</v>
      </c>
      <c r="C517" t="s">
        <v>529</v>
      </c>
      <c r="D517" t="s">
        <v>10</v>
      </c>
      <c r="E517">
        <v>30</v>
      </c>
      <c r="F517" t="str">
        <f>IF(Table1[[#This Row],[Age]]&lt;=25,"Young",IF(Table1[[#This Row],[Age]]&gt;55,"Old",IF(Table1[[#This Row],[Age]]&gt;25,"Middle","Na")))</f>
        <v>Middle</v>
      </c>
      <c r="G517" t="s">
        <v>11</v>
      </c>
      <c r="H517">
        <v>4</v>
      </c>
      <c r="I517">
        <v>25</v>
      </c>
      <c r="J517">
        <v>100</v>
      </c>
    </row>
    <row r="518" spans="1:10" x14ac:dyDescent="0.35">
      <c r="A518">
        <v>517</v>
      </c>
      <c r="B518" s="1">
        <v>45024</v>
      </c>
      <c r="C518" t="s">
        <v>530</v>
      </c>
      <c r="D518" t="s">
        <v>13</v>
      </c>
      <c r="E518">
        <v>47</v>
      </c>
      <c r="F518" t="str">
        <f>IF(Table1[[#This Row],[Age]]&lt;=25,"Young",IF(Table1[[#This Row],[Age]]&gt;55,"Old",IF(Table1[[#This Row],[Age]]&gt;25,"Middle","Na")))</f>
        <v>Middle</v>
      </c>
      <c r="G518" t="s">
        <v>14</v>
      </c>
      <c r="H518">
        <v>4</v>
      </c>
      <c r="I518">
        <v>25</v>
      </c>
      <c r="J518">
        <v>100</v>
      </c>
    </row>
    <row r="519" spans="1:10" x14ac:dyDescent="0.35">
      <c r="A519">
        <v>518</v>
      </c>
      <c r="B519" s="1">
        <v>45057</v>
      </c>
      <c r="C519" t="s">
        <v>531</v>
      </c>
      <c r="D519" t="s">
        <v>13</v>
      </c>
      <c r="E519">
        <v>40</v>
      </c>
      <c r="F519" t="str">
        <f>IF(Table1[[#This Row],[Age]]&lt;=25,"Young",IF(Table1[[#This Row],[Age]]&gt;55,"Old",IF(Table1[[#This Row],[Age]]&gt;25,"Middle","Na")))</f>
        <v>Middle</v>
      </c>
      <c r="G519" t="s">
        <v>14</v>
      </c>
      <c r="H519">
        <v>1</v>
      </c>
      <c r="I519">
        <v>30</v>
      </c>
      <c r="J519">
        <v>30</v>
      </c>
    </row>
    <row r="520" spans="1:10" x14ac:dyDescent="0.35">
      <c r="A520">
        <v>519</v>
      </c>
      <c r="B520" s="1">
        <v>44949</v>
      </c>
      <c r="C520" t="s">
        <v>532</v>
      </c>
      <c r="D520" t="s">
        <v>13</v>
      </c>
      <c r="E520">
        <v>36</v>
      </c>
      <c r="F520" t="str">
        <f>IF(Table1[[#This Row],[Age]]&lt;=25,"Young",IF(Table1[[#This Row],[Age]]&gt;55,"Old",IF(Table1[[#This Row],[Age]]&gt;25,"Middle","Na")))</f>
        <v>Middle</v>
      </c>
      <c r="G520" t="s">
        <v>16</v>
      </c>
      <c r="H520">
        <v>4</v>
      </c>
      <c r="I520">
        <v>30</v>
      </c>
      <c r="J520">
        <v>120</v>
      </c>
    </row>
    <row r="521" spans="1:10" x14ac:dyDescent="0.35">
      <c r="A521">
        <v>520</v>
      </c>
      <c r="B521" s="1">
        <v>45289</v>
      </c>
      <c r="C521" t="s">
        <v>533</v>
      </c>
      <c r="D521" t="s">
        <v>13</v>
      </c>
      <c r="E521">
        <v>49</v>
      </c>
      <c r="F521" t="str">
        <f>IF(Table1[[#This Row],[Age]]&lt;=25,"Young",IF(Table1[[#This Row],[Age]]&gt;55,"Old",IF(Table1[[#This Row],[Age]]&gt;25,"Middle","Na")))</f>
        <v>Middle</v>
      </c>
      <c r="G521" t="s">
        <v>16</v>
      </c>
      <c r="H521">
        <v>4</v>
      </c>
      <c r="I521">
        <v>25</v>
      </c>
      <c r="J521">
        <v>100</v>
      </c>
    </row>
    <row r="522" spans="1:10" x14ac:dyDescent="0.35">
      <c r="A522">
        <v>521</v>
      </c>
      <c r="B522" s="1">
        <v>45150</v>
      </c>
      <c r="C522" t="s">
        <v>534</v>
      </c>
      <c r="D522" t="s">
        <v>13</v>
      </c>
      <c r="E522">
        <v>47</v>
      </c>
      <c r="F522" t="str">
        <f>IF(Table1[[#This Row],[Age]]&lt;=25,"Young",IF(Table1[[#This Row],[Age]]&gt;55,"Old",IF(Table1[[#This Row],[Age]]&gt;25,"Middle","Na")))</f>
        <v>Middle</v>
      </c>
      <c r="G522" t="s">
        <v>14</v>
      </c>
      <c r="H522">
        <v>4</v>
      </c>
      <c r="I522">
        <v>30</v>
      </c>
      <c r="J522">
        <v>120</v>
      </c>
    </row>
    <row r="523" spans="1:10" x14ac:dyDescent="0.35">
      <c r="A523">
        <v>522</v>
      </c>
      <c r="B523" s="1">
        <v>44927</v>
      </c>
      <c r="C523" t="s">
        <v>535</v>
      </c>
      <c r="D523" t="s">
        <v>10</v>
      </c>
      <c r="E523">
        <v>46</v>
      </c>
      <c r="F523" t="str">
        <f>IF(Table1[[#This Row],[Age]]&lt;=25,"Young",IF(Table1[[#This Row],[Age]]&gt;55,"Old",IF(Table1[[#This Row],[Age]]&gt;25,"Middle","Na")))</f>
        <v>Middle</v>
      </c>
      <c r="G523" t="s">
        <v>11</v>
      </c>
      <c r="H523">
        <v>3</v>
      </c>
      <c r="I523">
        <v>500</v>
      </c>
      <c r="J523">
        <v>1500</v>
      </c>
    </row>
    <row r="524" spans="1:10" x14ac:dyDescent="0.35">
      <c r="A524">
        <v>523</v>
      </c>
      <c r="B524" s="1">
        <v>45193</v>
      </c>
      <c r="C524" t="s">
        <v>536</v>
      </c>
      <c r="D524" t="s">
        <v>13</v>
      </c>
      <c r="E524">
        <v>62</v>
      </c>
      <c r="F524" t="str">
        <f>IF(Table1[[#This Row],[Age]]&lt;=25,"Young",IF(Table1[[#This Row],[Age]]&gt;55,"Old",IF(Table1[[#This Row],[Age]]&gt;25,"Middle","Na")))</f>
        <v>Old</v>
      </c>
      <c r="G524" t="s">
        <v>16</v>
      </c>
      <c r="H524">
        <v>1</v>
      </c>
      <c r="I524">
        <v>300</v>
      </c>
      <c r="J524">
        <v>300</v>
      </c>
    </row>
    <row r="525" spans="1:10" x14ac:dyDescent="0.35">
      <c r="A525">
        <v>524</v>
      </c>
      <c r="B525" s="1">
        <v>45202</v>
      </c>
      <c r="C525" t="s">
        <v>537</v>
      </c>
      <c r="D525" t="s">
        <v>10</v>
      </c>
      <c r="E525">
        <v>46</v>
      </c>
      <c r="F525" t="str">
        <f>IF(Table1[[#This Row],[Age]]&lt;=25,"Young",IF(Table1[[#This Row],[Age]]&gt;55,"Old",IF(Table1[[#This Row],[Age]]&gt;25,"Middle","Na")))</f>
        <v>Middle</v>
      </c>
      <c r="G525" t="s">
        <v>11</v>
      </c>
      <c r="H525">
        <v>4</v>
      </c>
      <c r="I525">
        <v>300</v>
      </c>
      <c r="J525">
        <v>1200</v>
      </c>
    </row>
    <row r="526" spans="1:10" x14ac:dyDescent="0.35">
      <c r="A526">
        <v>525</v>
      </c>
      <c r="B526" s="1">
        <v>45278</v>
      </c>
      <c r="C526" t="s">
        <v>538</v>
      </c>
      <c r="D526" t="s">
        <v>13</v>
      </c>
      <c r="E526">
        <v>47</v>
      </c>
      <c r="F526" t="str">
        <f>IF(Table1[[#This Row],[Age]]&lt;=25,"Young",IF(Table1[[#This Row],[Age]]&gt;55,"Old",IF(Table1[[#This Row],[Age]]&gt;25,"Middle","Na")))</f>
        <v>Middle</v>
      </c>
      <c r="G526" t="s">
        <v>11</v>
      </c>
      <c r="H526">
        <v>2</v>
      </c>
      <c r="I526">
        <v>25</v>
      </c>
      <c r="J526">
        <v>50</v>
      </c>
    </row>
    <row r="527" spans="1:10" x14ac:dyDescent="0.35">
      <c r="A527">
        <v>526</v>
      </c>
      <c r="B527" s="1">
        <v>45270</v>
      </c>
      <c r="C527" t="s">
        <v>539</v>
      </c>
      <c r="D527" t="s">
        <v>10</v>
      </c>
      <c r="E527">
        <v>33</v>
      </c>
      <c r="F527" t="str">
        <f>IF(Table1[[#This Row],[Age]]&lt;=25,"Young",IF(Table1[[#This Row],[Age]]&gt;55,"Old",IF(Table1[[#This Row],[Age]]&gt;25,"Middle","Na")))</f>
        <v>Middle</v>
      </c>
      <c r="G527" t="s">
        <v>14</v>
      </c>
      <c r="H527">
        <v>2</v>
      </c>
      <c r="I527">
        <v>50</v>
      </c>
      <c r="J527">
        <v>100</v>
      </c>
    </row>
    <row r="528" spans="1:10" x14ac:dyDescent="0.35">
      <c r="A528">
        <v>527</v>
      </c>
      <c r="B528" s="1">
        <v>45027</v>
      </c>
      <c r="C528" t="s">
        <v>540</v>
      </c>
      <c r="D528" t="s">
        <v>10</v>
      </c>
      <c r="E528">
        <v>57</v>
      </c>
      <c r="F528" t="str">
        <f>IF(Table1[[#This Row],[Age]]&lt;=25,"Young",IF(Table1[[#This Row],[Age]]&gt;55,"Old",IF(Table1[[#This Row],[Age]]&gt;25,"Middle","Na")))</f>
        <v>Old</v>
      </c>
      <c r="G528" t="s">
        <v>14</v>
      </c>
      <c r="H528">
        <v>2</v>
      </c>
      <c r="I528">
        <v>25</v>
      </c>
      <c r="J528">
        <v>50</v>
      </c>
    </row>
    <row r="529" spans="1:10" x14ac:dyDescent="0.35">
      <c r="A529">
        <v>528</v>
      </c>
      <c r="B529" s="1">
        <v>45113</v>
      </c>
      <c r="C529" t="s">
        <v>541</v>
      </c>
      <c r="D529" t="s">
        <v>13</v>
      </c>
      <c r="E529">
        <v>36</v>
      </c>
      <c r="F529" t="str">
        <f>IF(Table1[[#This Row],[Age]]&lt;=25,"Young",IF(Table1[[#This Row],[Age]]&gt;55,"Old",IF(Table1[[#This Row],[Age]]&gt;25,"Middle","Na")))</f>
        <v>Middle</v>
      </c>
      <c r="G529" t="s">
        <v>14</v>
      </c>
      <c r="H529">
        <v>2</v>
      </c>
      <c r="I529">
        <v>30</v>
      </c>
      <c r="J529">
        <v>60</v>
      </c>
    </row>
    <row r="530" spans="1:10" x14ac:dyDescent="0.35">
      <c r="A530">
        <v>529</v>
      </c>
      <c r="B530" s="1">
        <v>45147</v>
      </c>
      <c r="C530" t="s">
        <v>542</v>
      </c>
      <c r="D530" t="s">
        <v>13</v>
      </c>
      <c r="E530">
        <v>35</v>
      </c>
      <c r="F530" t="str">
        <f>IF(Table1[[#This Row],[Age]]&lt;=25,"Young",IF(Table1[[#This Row],[Age]]&gt;55,"Old",IF(Table1[[#This Row],[Age]]&gt;25,"Middle","Na")))</f>
        <v>Middle</v>
      </c>
      <c r="G530" t="s">
        <v>14</v>
      </c>
      <c r="H530">
        <v>3</v>
      </c>
      <c r="I530">
        <v>50</v>
      </c>
      <c r="J530">
        <v>150</v>
      </c>
    </row>
    <row r="531" spans="1:10" x14ac:dyDescent="0.35">
      <c r="A531">
        <v>530</v>
      </c>
      <c r="B531" s="1">
        <v>44962</v>
      </c>
      <c r="C531" t="s">
        <v>543</v>
      </c>
      <c r="D531" t="s">
        <v>13</v>
      </c>
      <c r="E531">
        <v>18</v>
      </c>
      <c r="F531" t="str">
        <f>IF(Table1[[#This Row],[Age]]&lt;=25,"Young",IF(Table1[[#This Row],[Age]]&gt;55,"Old",IF(Table1[[#This Row],[Age]]&gt;25,"Middle","Na")))</f>
        <v>Young</v>
      </c>
      <c r="G531" t="s">
        <v>16</v>
      </c>
      <c r="H531">
        <v>4</v>
      </c>
      <c r="I531">
        <v>30</v>
      </c>
      <c r="J531">
        <v>120</v>
      </c>
    </row>
    <row r="532" spans="1:10" x14ac:dyDescent="0.35">
      <c r="A532">
        <v>531</v>
      </c>
      <c r="B532" s="1">
        <v>45267</v>
      </c>
      <c r="C532" t="s">
        <v>544</v>
      </c>
      <c r="D532" t="s">
        <v>10</v>
      </c>
      <c r="E532">
        <v>31</v>
      </c>
      <c r="F532" t="str">
        <f>IF(Table1[[#This Row],[Age]]&lt;=25,"Young",IF(Table1[[#This Row],[Age]]&gt;55,"Old",IF(Table1[[#This Row],[Age]]&gt;25,"Middle","Na")))</f>
        <v>Middle</v>
      </c>
      <c r="G532" t="s">
        <v>16</v>
      </c>
      <c r="H532">
        <v>1</v>
      </c>
      <c r="I532">
        <v>500</v>
      </c>
      <c r="J532">
        <v>500</v>
      </c>
    </row>
    <row r="533" spans="1:10" x14ac:dyDescent="0.35">
      <c r="A533">
        <v>532</v>
      </c>
      <c r="B533" s="1">
        <v>45096</v>
      </c>
      <c r="C533" t="s">
        <v>545</v>
      </c>
      <c r="D533" t="s">
        <v>13</v>
      </c>
      <c r="E533">
        <v>64</v>
      </c>
      <c r="F533" t="str">
        <f>IF(Table1[[#This Row],[Age]]&lt;=25,"Young",IF(Table1[[#This Row],[Age]]&gt;55,"Old",IF(Table1[[#This Row],[Age]]&gt;25,"Middle","Na")))</f>
        <v>Old</v>
      </c>
      <c r="G533" t="s">
        <v>14</v>
      </c>
      <c r="H533">
        <v>4</v>
      </c>
      <c r="I533">
        <v>30</v>
      </c>
      <c r="J533">
        <v>120</v>
      </c>
    </row>
    <row r="534" spans="1:10" x14ac:dyDescent="0.35">
      <c r="A534">
        <v>533</v>
      </c>
      <c r="B534" s="1">
        <v>45246</v>
      </c>
      <c r="C534" t="s">
        <v>546</v>
      </c>
      <c r="D534" t="s">
        <v>10</v>
      </c>
      <c r="E534">
        <v>19</v>
      </c>
      <c r="F534" t="str">
        <f>IF(Table1[[#This Row],[Age]]&lt;=25,"Young",IF(Table1[[#This Row],[Age]]&gt;55,"Old",IF(Table1[[#This Row],[Age]]&gt;25,"Middle","Na")))</f>
        <v>Young</v>
      </c>
      <c r="G534" t="s">
        <v>16</v>
      </c>
      <c r="H534">
        <v>3</v>
      </c>
      <c r="I534">
        <v>500</v>
      </c>
      <c r="J534">
        <v>1500</v>
      </c>
    </row>
    <row r="535" spans="1:10" x14ac:dyDescent="0.35">
      <c r="A535">
        <v>534</v>
      </c>
      <c r="B535" s="1">
        <v>45087</v>
      </c>
      <c r="C535" t="s">
        <v>547</v>
      </c>
      <c r="D535" t="s">
        <v>10</v>
      </c>
      <c r="E535">
        <v>45</v>
      </c>
      <c r="F535" t="str">
        <f>IF(Table1[[#This Row],[Age]]&lt;=25,"Young",IF(Table1[[#This Row],[Age]]&gt;55,"Old",IF(Table1[[#This Row],[Age]]&gt;25,"Middle","Na")))</f>
        <v>Middle</v>
      </c>
      <c r="G535" t="s">
        <v>14</v>
      </c>
      <c r="H535">
        <v>2</v>
      </c>
      <c r="I535">
        <v>500</v>
      </c>
      <c r="J535">
        <v>1000</v>
      </c>
    </row>
    <row r="536" spans="1:10" x14ac:dyDescent="0.35">
      <c r="A536">
        <v>535</v>
      </c>
      <c r="B536" s="1">
        <v>45266</v>
      </c>
      <c r="C536" t="s">
        <v>548</v>
      </c>
      <c r="D536" t="s">
        <v>10</v>
      </c>
      <c r="E536">
        <v>47</v>
      </c>
      <c r="F536" t="str">
        <f>IF(Table1[[#This Row],[Age]]&lt;=25,"Young",IF(Table1[[#This Row],[Age]]&gt;55,"Old",IF(Table1[[#This Row],[Age]]&gt;25,"Middle","Na")))</f>
        <v>Middle</v>
      </c>
      <c r="G536" t="s">
        <v>11</v>
      </c>
      <c r="H536">
        <v>3</v>
      </c>
      <c r="I536">
        <v>30</v>
      </c>
      <c r="J536">
        <v>90</v>
      </c>
    </row>
    <row r="537" spans="1:10" x14ac:dyDescent="0.35">
      <c r="A537">
        <v>536</v>
      </c>
      <c r="B537" s="1">
        <v>44990</v>
      </c>
      <c r="C537" t="s">
        <v>549</v>
      </c>
      <c r="D537" t="s">
        <v>13</v>
      </c>
      <c r="E537">
        <v>55</v>
      </c>
      <c r="F537" t="str">
        <f>IF(Table1[[#This Row],[Age]]&lt;=25,"Young",IF(Table1[[#This Row],[Age]]&gt;55,"Old",IF(Table1[[#This Row],[Age]]&gt;25,"Middle","Na")))</f>
        <v>Middle</v>
      </c>
      <c r="G537" t="s">
        <v>11</v>
      </c>
      <c r="H537">
        <v>4</v>
      </c>
      <c r="I537">
        <v>30</v>
      </c>
      <c r="J537">
        <v>120</v>
      </c>
    </row>
    <row r="538" spans="1:10" x14ac:dyDescent="0.35">
      <c r="A538">
        <v>537</v>
      </c>
      <c r="B538" s="1">
        <v>45080</v>
      </c>
      <c r="C538" t="s">
        <v>550</v>
      </c>
      <c r="D538" t="s">
        <v>13</v>
      </c>
      <c r="E538">
        <v>21</v>
      </c>
      <c r="F538" t="str">
        <f>IF(Table1[[#This Row],[Age]]&lt;=25,"Young",IF(Table1[[#This Row],[Age]]&gt;55,"Old",IF(Table1[[#This Row],[Age]]&gt;25,"Middle","Na")))</f>
        <v>Young</v>
      </c>
      <c r="G538" t="s">
        <v>11</v>
      </c>
      <c r="H538">
        <v>1</v>
      </c>
      <c r="I538">
        <v>500</v>
      </c>
      <c r="J538">
        <v>500</v>
      </c>
    </row>
    <row r="539" spans="1:10" x14ac:dyDescent="0.35">
      <c r="A539">
        <v>538</v>
      </c>
      <c r="B539" s="1">
        <v>45186</v>
      </c>
      <c r="C539" t="s">
        <v>551</v>
      </c>
      <c r="D539" t="s">
        <v>10</v>
      </c>
      <c r="E539">
        <v>18</v>
      </c>
      <c r="F539" t="str">
        <f>IF(Table1[[#This Row],[Age]]&lt;=25,"Young",IF(Table1[[#This Row],[Age]]&gt;55,"Old",IF(Table1[[#This Row],[Age]]&gt;25,"Middle","Na")))</f>
        <v>Young</v>
      </c>
      <c r="G539" t="s">
        <v>14</v>
      </c>
      <c r="H539">
        <v>3</v>
      </c>
      <c r="I539">
        <v>50</v>
      </c>
      <c r="J539">
        <v>150</v>
      </c>
    </row>
    <row r="540" spans="1:10" x14ac:dyDescent="0.35">
      <c r="A540">
        <v>539</v>
      </c>
      <c r="B540" s="1">
        <v>45085</v>
      </c>
      <c r="C540" t="s">
        <v>552</v>
      </c>
      <c r="D540" t="s">
        <v>10</v>
      </c>
      <c r="E540">
        <v>25</v>
      </c>
      <c r="F540" t="str">
        <f>IF(Table1[[#This Row],[Age]]&lt;=25,"Young",IF(Table1[[#This Row],[Age]]&gt;55,"Old",IF(Table1[[#This Row],[Age]]&gt;25,"Middle","Na")))</f>
        <v>Young</v>
      </c>
      <c r="G540" t="s">
        <v>11</v>
      </c>
      <c r="H540">
        <v>1</v>
      </c>
      <c r="I540">
        <v>500</v>
      </c>
      <c r="J540">
        <v>500</v>
      </c>
    </row>
    <row r="541" spans="1:10" x14ac:dyDescent="0.35">
      <c r="A541">
        <v>540</v>
      </c>
      <c r="B541" s="1">
        <v>45268</v>
      </c>
      <c r="C541" t="s">
        <v>553</v>
      </c>
      <c r="D541" t="s">
        <v>13</v>
      </c>
      <c r="E541">
        <v>46</v>
      </c>
      <c r="F541" t="str">
        <f>IF(Table1[[#This Row],[Age]]&lt;=25,"Young",IF(Table1[[#This Row],[Age]]&gt;55,"Old",IF(Table1[[#This Row],[Age]]&gt;25,"Middle","Na")))</f>
        <v>Middle</v>
      </c>
      <c r="G541" t="s">
        <v>16</v>
      </c>
      <c r="H541">
        <v>3</v>
      </c>
      <c r="I541">
        <v>300</v>
      </c>
      <c r="J541">
        <v>900</v>
      </c>
    </row>
    <row r="542" spans="1:10" x14ac:dyDescent="0.35">
      <c r="A542">
        <v>541</v>
      </c>
      <c r="B542" s="1">
        <v>45136</v>
      </c>
      <c r="C542" t="s">
        <v>554</v>
      </c>
      <c r="D542" t="s">
        <v>10</v>
      </c>
      <c r="E542">
        <v>56</v>
      </c>
      <c r="F542" t="str">
        <f>IF(Table1[[#This Row],[Age]]&lt;=25,"Young",IF(Table1[[#This Row],[Age]]&gt;55,"Old",IF(Table1[[#This Row],[Age]]&gt;25,"Middle","Na")))</f>
        <v>Old</v>
      </c>
      <c r="G542" t="s">
        <v>11</v>
      </c>
      <c r="H542">
        <v>1</v>
      </c>
      <c r="I542">
        <v>500</v>
      </c>
      <c r="J542">
        <v>500</v>
      </c>
    </row>
    <row r="543" spans="1:10" x14ac:dyDescent="0.35">
      <c r="A543">
        <v>542</v>
      </c>
      <c r="B543" s="1">
        <v>45094</v>
      </c>
      <c r="C543" t="s">
        <v>555</v>
      </c>
      <c r="D543" t="s">
        <v>13</v>
      </c>
      <c r="E543">
        <v>20</v>
      </c>
      <c r="F543" t="str">
        <f>IF(Table1[[#This Row],[Age]]&lt;=25,"Young",IF(Table1[[#This Row],[Age]]&gt;55,"Old",IF(Table1[[#This Row],[Age]]&gt;25,"Middle","Na")))</f>
        <v>Young</v>
      </c>
      <c r="G543" t="s">
        <v>11</v>
      </c>
      <c r="H543">
        <v>1</v>
      </c>
      <c r="I543">
        <v>50</v>
      </c>
      <c r="J543">
        <v>50</v>
      </c>
    </row>
    <row r="544" spans="1:10" x14ac:dyDescent="0.35">
      <c r="A544">
        <v>543</v>
      </c>
      <c r="B544" s="1">
        <v>45133</v>
      </c>
      <c r="C544" t="s">
        <v>556</v>
      </c>
      <c r="D544" t="s">
        <v>10</v>
      </c>
      <c r="E544">
        <v>49</v>
      </c>
      <c r="F544" t="str">
        <f>IF(Table1[[#This Row],[Age]]&lt;=25,"Young",IF(Table1[[#This Row],[Age]]&gt;55,"Old",IF(Table1[[#This Row],[Age]]&gt;25,"Middle","Na")))</f>
        <v>Middle</v>
      </c>
      <c r="G544" t="s">
        <v>11</v>
      </c>
      <c r="H544">
        <v>2</v>
      </c>
      <c r="I544">
        <v>300</v>
      </c>
      <c r="J544">
        <v>600</v>
      </c>
    </row>
    <row r="545" spans="1:10" x14ac:dyDescent="0.35">
      <c r="A545">
        <v>544</v>
      </c>
      <c r="B545" s="1">
        <v>45283</v>
      </c>
      <c r="C545" t="s">
        <v>557</v>
      </c>
      <c r="D545" t="s">
        <v>13</v>
      </c>
      <c r="E545">
        <v>27</v>
      </c>
      <c r="F545" t="str">
        <f>IF(Table1[[#This Row],[Age]]&lt;=25,"Young",IF(Table1[[#This Row],[Age]]&gt;55,"Old",IF(Table1[[#This Row],[Age]]&gt;25,"Middle","Na")))</f>
        <v>Middle</v>
      </c>
      <c r="G545" t="s">
        <v>16</v>
      </c>
      <c r="H545">
        <v>1</v>
      </c>
      <c r="I545">
        <v>25</v>
      </c>
      <c r="J545">
        <v>25</v>
      </c>
    </row>
    <row r="546" spans="1:10" x14ac:dyDescent="0.35">
      <c r="A546">
        <v>545</v>
      </c>
      <c r="B546" s="1">
        <v>45078</v>
      </c>
      <c r="C546" t="s">
        <v>558</v>
      </c>
      <c r="D546" t="s">
        <v>10</v>
      </c>
      <c r="E546">
        <v>27</v>
      </c>
      <c r="F546" t="str">
        <f>IF(Table1[[#This Row],[Age]]&lt;=25,"Young",IF(Table1[[#This Row],[Age]]&gt;55,"Old",IF(Table1[[#This Row],[Age]]&gt;25,"Middle","Na")))</f>
        <v>Middle</v>
      </c>
      <c r="G546" t="s">
        <v>14</v>
      </c>
      <c r="H546">
        <v>2</v>
      </c>
      <c r="I546">
        <v>25</v>
      </c>
      <c r="J546">
        <v>50</v>
      </c>
    </row>
    <row r="547" spans="1:10" x14ac:dyDescent="0.35">
      <c r="A547">
        <v>546</v>
      </c>
      <c r="B547" s="1">
        <v>45210</v>
      </c>
      <c r="C547" t="s">
        <v>559</v>
      </c>
      <c r="D547" t="s">
        <v>13</v>
      </c>
      <c r="E547">
        <v>36</v>
      </c>
      <c r="F547" t="str">
        <f>IF(Table1[[#This Row],[Age]]&lt;=25,"Young",IF(Table1[[#This Row],[Age]]&gt;55,"Old",IF(Table1[[#This Row],[Age]]&gt;25,"Middle","Na")))</f>
        <v>Middle</v>
      </c>
      <c r="G547" t="s">
        <v>16</v>
      </c>
      <c r="H547">
        <v>4</v>
      </c>
      <c r="I547">
        <v>50</v>
      </c>
      <c r="J547">
        <v>200</v>
      </c>
    </row>
    <row r="548" spans="1:10" x14ac:dyDescent="0.35">
      <c r="A548">
        <v>547</v>
      </c>
      <c r="B548" s="1">
        <v>44992</v>
      </c>
      <c r="C548" t="s">
        <v>560</v>
      </c>
      <c r="D548" t="s">
        <v>10</v>
      </c>
      <c r="E548">
        <v>63</v>
      </c>
      <c r="F548" t="str">
        <f>IF(Table1[[#This Row],[Age]]&lt;=25,"Young",IF(Table1[[#This Row],[Age]]&gt;55,"Old",IF(Table1[[#This Row],[Age]]&gt;25,"Middle","Na")))</f>
        <v>Old</v>
      </c>
      <c r="G548" t="s">
        <v>14</v>
      </c>
      <c r="H548">
        <v>4</v>
      </c>
      <c r="I548">
        <v>500</v>
      </c>
      <c r="J548">
        <v>2000</v>
      </c>
    </row>
    <row r="549" spans="1:10" x14ac:dyDescent="0.35">
      <c r="A549">
        <v>548</v>
      </c>
      <c r="B549" s="1">
        <v>45025</v>
      </c>
      <c r="C549" t="s">
        <v>561</v>
      </c>
      <c r="D549" t="s">
        <v>13</v>
      </c>
      <c r="E549">
        <v>51</v>
      </c>
      <c r="F549" t="str">
        <f>IF(Table1[[#This Row],[Age]]&lt;=25,"Young",IF(Table1[[#This Row],[Age]]&gt;55,"Old",IF(Table1[[#This Row],[Age]]&gt;25,"Middle","Na")))</f>
        <v>Middle</v>
      </c>
      <c r="G549" t="s">
        <v>14</v>
      </c>
      <c r="H549">
        <v>2</v>
      </c>
      <c r="I549">
        <v>30</v>
      </c>
      <c r="J549">
        <v>60</v>
      </c>
    </row>
    <row r="550" spans="1:10" x14ac:dyDescent="0.35">
      <c r="A550">
        <v>549</v>
      </c>
      <c r="B550" s="1">
        <v>45142</v>
      </c>
      <c r="C550" t="s">
        <v>562</v>
      </c>
      <c r="D550" t="s">
        <v>13</v>
      </c>
      <c r="E550">
        <v>50</v>
      </c>
      <c r="F550" t="str">
        <f>IF(Table1[[#This Row],[Age]]&lt;=25,"Young",IF(Table1[[#This Row],[Age]]&gt;55,"Old",IF(Table1[[#This Row],[Age]]&gt;25,"Middle","Na")))</f>
        <v>Middle</v>
      </c>
      <c r="G550" t="s">
        <v>11</v>
      </c>
      <c r="H550">
        <v>2</v>
      </c>
      <c r="I550">
        <v>50</v>
      </c>
      <c r="J550">
        <v>100</v>
      </c>
    </row>
    <row r="551" spans="1:10" x14ac:dyDescent="0.35">
      <c r="A551">
        <v>550</v>
      </c>
      <c r="B551" s="1">
        <v>45267</v>
      </c>
      <c r="C551" t="s">
        <v>563</v>
      </c>
      <c r="D551" t="s">
        <v>10</v>
      </c>
      <c r="E551">
        <v>40</v>
      </c>
      <c r="F551" t="str">
        <f>IF(Table1[[#This Row],[Age]]&lt;=25,"Young",IF(Table1[[#This Row],[Age]]&gt;55,"Old",IF(Table1[[#This Row],[Age]]&gt;25,"Middle","Na")))</f>
        <v>Middle</v>
      </c>
      <c r="G551" t="s">
        <v>14</v>
      </c>
      <c r="H551">
        <v>3</v>
      </c>
      <c r="I551">
        <v>300</v>
      </c>
      <c r="J551">
        <v>900</v>
      </c>
    </row>
    <row r="552" spans="1:10" x14ac:dyDescent="0.35">
      <c r="A552">
        <v>551</v>
      </c>
      <c r="B552" s="1">
        <v>45121</v>
      </c>
      <c r="C552" t="s">
        <v>564</v>
      </c>
      <c r="D552" t="s">
        <v>10</v>
      </c>
      <c r="E552">
        <v>45</v>
      </c>
      <c r="F552" t="str">
        <f>IF(Table1[[#This Row],[Age]]&lt;=25,"Young",IF(Table1[[#This Row],[Age]]&gt;55,"Old",IF(Table1[[#This Row],[Age]]&gt;25,"Middle","Na")))</f>
        <v>Middle</v>
      </c>
      <c r="G552" t="s">
        <v>16</v>
      </c>
      <c r="H552">
        <v>3</v>
      </c>
      <c r="I552">
        <v>300</v>
      </c>
      <c r="J552">
        <v>900</v>
      </c>
    </row>
    <row r="553" spans="1:10" x14ac:dyDescent="0.35">
      <c r="A553">
        <v>552</v>
      </c>
      <c r="B553" s="1">
        <v>45273</v>
      </c>
      <c r="C553" t="s">
        <v>565</v>
      </c>
      <c r="D553" t="s">
        <v>13</v>
      </c>
      <c r="E553">
        <v>49</v>
      </c>
      <c r="F553" t="str">
        <f>IF(Table1[[#This Row],[Age]]&lt;=25,"Young",IF(Table1[[#This Row],[Age]]&gt;55,"Old",IF(Table1[[#This Row],[Age]]&gt;25,"Middle","Na")))</f>
        <v>Middle</v>
      </c>
      <c r="G553" t="s">
        <v>16</v>
      </c>
      <c r="H553">
        <v>3</v>
      </c>
      <c r="I553">
        <v>25</v>
      </c>
      <c r="J553">
        <v>75</v>
      </c>
    </row>
    <row r="554" spans="1:10" x14ac:dyDescent="0.35">
      <c r="A554">
        <v>553</v>
      </c>
      <c r="B554" s="1">
        <v>45016</v>
      </c>
      <c r="C554" t="s">
        <v>566</v>
      </c>
      <c r="D554" t="s">
        <v>10</v>
      </c>
      <c r="E554">
        <v>24</v>
      </c>
      <c r="F554" t="str">
        <f>IF(Table1[[#This Row],[Age]]&lt;=25,"Young",IF(Table1[[#This Row],[Age]]&gt;55,"Old",IF(Table1[[#This Row],[Age]]&gt;25,"Middle","Na")))</f>
        <v>Young</v>
      </c>
      <c r="G554" t="s">
        <v>14</v>
      </c>
      <c r="H554">
        <v>4</v>
      </c>
      <c r="I554">
        <v>300</v>
      </c>
      <c r="J554">
        <v>1200</v>
      </c>
    </row>
    <row r="555" spans="1:10" x14ac:dyDescent="0.35">
      <c r="A555">
        <v>554</v>
      </c>
      <c r="B555" s="1">
        <v>45242</v>
      </c>
      <c r="C555" t="s">
        <v>567</v>
      </c>
      <c r="D555" t="s">
        <v>13</v>
      </c>
      <c r="E555">
        <v>46</v>
      </c>
      <c r="F555" t="str">
        <f>IF(Table1[[#This Row],[Age]]&lt;=25,"Young",IF(Table1[[#This Row],[Age]]&gt;55,"Old",IF(Table1[[#This Row],[Age]]&gt;25,"Middle","Na")))</f>
        <v>Middle</v>
      </c>
      <c r="G555" t="s">
        <v>11</v>
      </c>
      <c r="H555">
        <v>3</v>
      </c>
      <c r="I555">
        <v>50</v>
      </c>
      <c r="J555">
        <v>150</v>
      </c>
    </row>
    <row r="556" spans="1:10" x14ac:dyDescent="0.35">
      <c r="A556">
        <v>555</v>
      </c>
      <c r="B556" s="1">
        <v>45218</v>
      </c>
      <c r="C556" t="s">
        <v>568</v>
      </c>
      <c r="D556" t="s">
        <v>10</v>
      </c>
      <c r="E556">
        <v>25</v>
      </c>
      <c r="F556" t="str">
        <f>IF(Table1[[#This Row],[Age]]&lt;=25,"Young",IF(Table1[[#This Row],[Age]]&gt;55,"Old",IF(Table1[[#This Row],[Age]]&gt;25,"Middle","Na")))</f>
        <v>Young</v>
      </c>
      <c r="G556" t="s">
        <v>11</v>
      </c>
      <c r="H556">
        <v>1</v>
      </c>
      <c r="I556">
        <v>300</v>
      </c>
      <c r="J556">
        <v>300</v>
      </c>
    </row>
    <row r="557" spans="1:10" x14ac:dyDescent="0.35">
      <c r="A557">
        <v>556</v>
      </c>
      <c r="B557" s="1">
        <v>45081</v>
      </c>
      <c r="C557" t="s">
        <v>569</v>
      </c>
      <c r="D557" t="s">
        <v>13</v>
      </c>
      <c r="E557">
        <v>18</v>
      </c>
      <c r="F557" t="str">
        <f>IF(Table1[[#This Row],[Age]]&lt;=25,"Young",IF(Table1[[#This Row],[Age]]&gt;55,"Old",IF(Table1[[#This Row],[Age]]&gt;25,"Middle","Na")))</f>
        <v>Young</v>
      </c>
      <c r="G557" t="s">
        <v>16</v>
      </c>
      <c r="H557">
        <v>1</v>
      </c>
      <c r="I557">
        <v>50</v>
      </c>
      <c r="J557">
        <v>50</v>
      </c>
    </row>
    <row r="558" spans="1:10" x14ac:dyDescent="0.35">
      <c r="A558">
        <v>557</v>
      </c>
      <c r="B558" s="1">
        <v>45134</v>
      </c>
      <c r="C558" t="s">
        <v>570</v>
      </c>
      <c r="D558" t="s">
        <v>13</v>
      </c>
      <c r="E558">
        <v>20</v>
      </c>
      <c r="F558" t="str">
        <f>IF(Table1[[#This Row],[Age]]&lt;=25,"Young",IF(Table1[[#This Row],[Age]]&gt;55,"Old",IF(Table1[[#This Row],[Age]]&gt;25,"Middle","Na")))</f>
        <v>Young</v>
      </c>
      <c r="G558" t="s">
        <v>11</v>
      </c>
      <c r="H558">
        <v>3</v>
      </c>
      <c r="I558">
        <v>30</v>
      </c>
      <c r="J558">
        <v>90</v>
      </c>
    </row>
    <row r="559" spans="1:10" x14ac:dyDescent="0.35">
      <c r="A559">
        <v>558</v>
      </c>
      <c r="B559" s="1">
        <v>45207</v>
      </c>
      <c r="C559" t="s">
        <v>571</v>
      </c>
      <c r="D559" t="s">
        <v>13</v>
      </c>
      <c r="E559">
        <v>41</v>
      </c>
      <c r="F559" t="str">
        <f>IF(Table1[[#This Row],[Age]]&lt;=25,"Young",IF(Table1[[#This Row],[Age]]&gt;55,"Old",IF(Table1[[#This Row],[Age]]&gt;25,"Middle","Na")))</f>
        <v>Middle</v>
      </c>
      <c r="G559" t="s">
        <v>14</v>
      </c>
      <c r="H559">
        <v>1</v>
      </c>
      <c r="I559">
        <v>25</v>
      </c>
      <c r="J559">
        <v>25</v>
      </c>
    </row>
    <row r="560" spans="1:10" x14ac:dyDescent="0.35">
      <c r="A560">
        <v>559</v>
      </c>
      <c r="B560" s="1">
        <v>44927</v>
      </c>
      <c r="C560" t="s">
        <v>572</v>
      </c>
      <c r="D560" t="s">
        <v>13</v>
      </c>
      <c r="E560">
        <v>40</v>
      </c>
      <c r="F560" t="str">
        <f>IF(Table1[[#This Row],[Age]]&lt;=25,"Young",IF(Table1[[#This Row],[Age]]&gt;55,"Old",IF(Table1[[#This Row],[Age]]&gt;25,"Middle","Na")))</f>
        <v>Middle</v>
      </c>
      <c r="G560" t="s">
        <v>14</v>
      </c>
      <c r="H560">
        <v>4</v>
      </c>
      <c r="I560">
        <v>300</v>
      </c>
      <c r="J560">
        <v>1200</v>
      </c>
    </row>
    <row r="561" spans="1:10" x14ac:dyDescent="0.35">
      <c r="A561">
        <v>560</v>
      </c>
      <c r="B561" s="1">
        <v>45082</v>
      </c>
      <c r="C561" t="s">
        <v>573</v>
      </c>
      <c r="D561" t="s">
        <v>13</v>
      </c>
      <c r="E561">
        <v>25</v>
      </c>
      <c r="F561" t="str">
        <f>IF(Table1[[#This Row],[Age]]&lt;=25,"Young",IF(Table1[[#This Row],[Age]]&gt;55,"Old",IF(Table1[[#This Row],[Age]]&gt;25,"Middle","Na")))</f>
        <v>Young</v>
      </c>
      <c r="G561" t="s">
        <v>16</v>
      </c>
      <c r="H561">
        <v>1</v>
      </c>
      <c r="I561">
        <v>50</v>
      </c>
      <c r="J561">
        <v>50</v>
      </c>
    </row>
    <row r="562" spans="1:10" x14ac:dyDescent="0.35">
      <c r="A562">
        <v>561</v>
      </c>
      <c r="B562" s="1">
        <v>45073</v>
      </c>
      <c r="C562" t="s">
        <v>574</v>
      </c>
      <c r="D562" t="s">
        <v>13</v>
      </c>
      <c r="E562">
        <v>64</v>
      </c>
      <c r="F562" t="str">
        <f>IF(Table1[[#This Row],[Age]]&lt;=25,"Young",IF(Table1[[#This Row],[Age]]&gt;55,"Old",IF(Table1[[#This Row],[Age]]&gt;25,"Middle","Na")))</f>
        <v>Old</v>
      </c>
      <c r="G562" t="s">
        <v>14</v>
      </c>
      <c r="H562">
        <v>4</v>
      </c>
      <c r="I562">
        <v>500</v>
      </c>
      <c r="J562">
        <v>2000</v>
      </c>
    </row>
    <row r="563" spans="1:10" x14ac:dyDescent="0.35">
      <c r="A563">
        <v>562</v>
      </c>
      <c r="B563" s="1">
        <v>45034</v>
      </c>
      <c r="C563" t="s">
        <v>575</v>
      </c>
      <c r="D563" t="s">
        <v>10</v>
      </c>
      <c r="E563">
        <v>54</v>
      </c>
      <c r="F563" t="str">
        <f>IF(Table1[[#This Row],[Age]]&lt;=25,"Young",IF(Table1[[#This Row],[Age]]&gt;55,"Old",IF(Table1[[#This Row],[Age]]&gt;25,"Middle","Na")))</f>
        <v>Middle</v>
      </c>
      <c r="G563" t="s">
        <v>16</v>
      </c>
      <c r="H563">
        <v>2</v>
      </c>
      <c r="I563">
        <v>25</v>
      </c>
      <c r="J563">
        <v>50</v>
      </c>
    </row>
    <row r="564" spans="1:10" x14ac:dyDescent="0.35">
      <c r="A564">
        <v>563</v>
      </c>
      <c r="B564" s="1">
        <v>45147</v>
      </c>
      <c r="C564" t="s">
        <v>576</v>
      </c>
      <c r="D564" t="s">
        <v>10</v>
      </c>
      <c r="E564">
        <v>20</v>
      </c>
      <c r="F564" t="str">
        <f>IF(Table1[[#This Row],[Age]]&lt;=25,"Young",IF(Table1[[#This Row],[Age]]&gt;55,"Old",IF(Table1[[#This Row],[Age]]&gt;25,"Middle","Na")))</f>
        <v>Young</v>
      </c>
      <c r="G564" t="s">
        <v>14</v>
      </c>
      <c r="H564">
        <v>2</v>
      </c>
      <c r="I564">
        <v>30</v>
      </c>
      <c r="J564">
        <v>60</v>
      </c>
    </row>
    <row r="565" spans="1:10" x14ac:dyDescent="0.35">
      <c r="A565">
        <v>564</v>
      </c>
      <c r="B565" s="1">
        <v>45223</v>
      </c>
      <c r="C565" t="s">
        <v>577</v>
      </c>
      <c r="D565" t="s">
        <v>10</v>
      </c>
      <c r="E565">
        <v>50</v>
      </c>
      <c r="F565" t="str">
        <f>IF(Table1[[#This Row],[Age]]&lt;=25,"Young",IF(Table1[[#This Row],[Age]]&gt;55,"Old",IF(Table1[[#This Row],[Age]]&gt;25,"Middle","Na")))</f>
        <v>Middle</v>
      </c>
      <c r="G565" t="s">
        <v>16</v>
      </c>
      <c r="H565">
        <v>2</v>
      </c>
      <c r="I565">
        <v>50</v>
      </c>
      <c r="J565">
        <v>100</v>
      </c>
    </row>
    <row r="566" spans="1:10" x14ac:dyDescent="0.35">
      <c r="A566">
        <v>565</v>
      </c>
      <c r="B566" s="1">
        <v>45237</v>
      </c>
      <c r="C566" t="s">
        <v>578</v>
      </c>
      <c r="D566" t="s">
        <v>13</v>
      </c>
      <c r="E566">
        <v>45</v>
      </c>
      <c r="F566" t="str">
        <f>IF(Table1[[#This Row],[Age]]&lt;=25,"Young",IF(Table1[[#This Row],[Age]]&gt;55,"Old",IF(Table1[[#This Row],[Age]]&gt;25,"Middle","Na")))</f>
        <v>Middle</v>
      </c>
      <c r="G566" t="s">
        <v>11</v>
      </c>
      <c r="H566">
        <v>2</v>
      </c>
      <c r="I566">
        <v>30</v>
      </c>
      <c r="J566">
        <v>60</v>
      </c>
    </row>
    <row r="567" spans="1:10" x14ac:dyDescent="0.35">
      <c r="A567">
        <v>566</v>
      </c>
      <c r="B567" s="1">
        <v>45262</v>
      </c>
      <c r="C567" t="s">
        <v>579</v>
      </c>
      <c r="D567" t="s">
        <v>13</v>
      </c>
      <c r="E567">
        <v>64</v>
      </c>
      <c r="F567" t="str">
        <f>IF(Table1[[#This Row],[Age]]&lt;=25,"Young",IF(Table1[[#This Row],[Age]]&gt;55,"Old",IF(Table1[[#This Row],[Age]]&gt;25,"Middle","Na")))</f>
        <v>Old</v>
      </c>
      <c r="G567" t="s">
        <v>14</v>
      </c>
      <c r="H567">
        <v>1</v>
      </c>
      <c r="I567">
        <v>30</v>
      </c>
      <c r="J567">
        <v>30</v>
      </c>
    </row>
    <row r="568" spans="1:10" x14ac:dyDescent="0.35">
      <c r="A568">
        <v>567</v>
      </c>
      <c r="B568" s="1">
        <v>45091</v>
      </c>
      <c r="C568" t="s">
        <v>580</v>
      </c>
      <c r="D568" t="s">
        <v>13</v>
      </c>
      <c r="E568">
        <v>25</v>
      </c>
      <c r="F568" t="str">
        <f>IF(Table1[[#This Row],[Age]]&lt;=25,"Young",IF(Table1[[#This Row],[Age]]&gt;55,"Old",IF(Table1[[#This Row],[Age]]&gt;25,"Middle","Na")))</f>
        <v>Young</v>
      </c>
      <c r="G568" t="s">
        <v>14</v>
      </c>
      <c r="H568">
        <v>3</v>
      </c>
      <c r="I568">
        <v>300</v>
      </c>
      <c r="J568">
        <v>900</v>
      </c>
    </row>
    <row r="569" spans="1:10" x14ac:dyDescent="0.35">
      <c r="A569">
        <v>568</v>
      </c>
      <c r="B569" s="1">
        <v>45165</v>
      </c>
      <c r="C569" t="s">
        <v>581</v>
      </c>
      <c r="D569" t="s">
        <v>13</v>
      </c>
      <c r="E569">
        <v>51</v>
      </c>
      <c r="F569" t="str">
        <f>IF(Table1[[#This Row],[Age]]&lt;=25,"Young",IF(Table1[[#This Row],[Age]]&gt;55,"Old",IF(Table1[[#This Row],[Age]]&gt;25,"Middle","Na")))</f>
        <v>Middle</v>
      </c>
      <c r="G569" t="s">
        <v>16</v>
      </c>
      <c r="H569">
        <v>1</v>
      </c>
      <c r="I569">
        <v>300</v>
      </c>
      <c r="J569">
        <v>300</v>
      </c>
    </row>
    <row r="570" spans="1:10" x14ac:dyDescent="0.35">
      <c r="A570">
        <v>569</v>
      </c>
      <c r="B570" s="1">
        <v>45153</v>
      </c>
      <c r="C570" t="s">
        <v>582</v>
      </c>
      <c r="D570" t="s">
        <v>10</v>
      </c>
      <c r="E570">
        <v>52</v>
      </c>
      <c r="F570" t="str">
        <f>IF(Table1[[#This Row],[Age]]&lt;=25,"Young",IF(Table1[[#This Row],[Age]]&gt;55,"Old",IF(Table1[[#This Row],[Age]]&gt;25,"Middle","Na")))</f>
        <v>Middle</v>
      </c>
      <c r="G570" t="s">
        <v>16</v>
      </c>
      <c r="H570">
        <v>4</v>
      </c>
      <c r="I570">
        <v>50</v>
      </c>
      <c r="J570">
        <v>200</v>
      </c>
    </row>
    <row r="571" spans="1:10" x14ac:dyDescent="0.35">
      <c r="A571">
        <v>570</v>
      </c>
      <c r="B571" s="1">
        <v>45153</v>
      </c>
      <c r="C571" t="s">
        <v>583</v>
      </c>
      <c r="D571" t="s">
        <v>10</v>
      </c>
      <c r="E571">
        <v>49</v>
      </c>
      <c r="F571" t="str">
        <f>IF(Table1[[#This Row],[Age]]&lt;=25,"Young",IF(Table1[[#This Row],[Age]]&gt;55,"Old",IF(Table1[[#This Row],[Age]]&gt;25,"Middle","Na")))</f>
        <v>Middle</v>
      </c>
      <c r="G571" t="s">
        <v>14</v>
      </c>
      <c r="H571">
        <v>1</v>
      </c>
      <c r="I571">
        <v>500</v>
      </c>
      <c r="J571">
        <v>500</v>
      </c>
    </row>
    <row r="572" spans="1:10" x14ac:dyDescent="0.35">
      <c r="A572">
        <v>571</v>
      </c>
      <c r="B572" s="1">
        <v>45272</v>
      </c>
      <c r="C572" t="s">
        <v>584</v>
      </c>
      <c r="D572" t="s">
        <v>13</v>
      </c>
      <c r="E572">
        <v>41</v>
      </c>
      <c r="F572" t="str">
        <f>IF(Table1[[#This Row],[Age]]&lt;=25,"Young",IF(Table1[[#This Row],[Age]]&gt;55,"Old",IF(Table1[[#This Row],[Age]]&gt;25,"Middle","Na")))</f>
        <v>Middle</v>
      </c>
      <c r="G572" t="s">
        <v>16</v>
      </c>
      <c r="H572">
        <v>1</v>
      </c>
      <c r="I572">
        <v>50</v>
      </c>
      <c r="J572">
        <v>50</v>
      </c>
    </row>
    <row r="573" spans="1:10" x14ac:dyDescent="0.35">
      <c r="A573">
        <v>572</v>
      </c>
      <c r="B573" s="1">
        <v>45036</v>
      </c>
      <c r="C573" t="s">
        <v>585</v>
      </c>
      <c r="D573" t="s">
        <v>10</v>
      </c>
      <c r="E573">
        <v>31</v>
      </c>
      <c r="F573" t="str">
        <f>IF(Table1[[#This Row],[Age]]&lt;=25,"Young",IF(Table1[[#This Row],[Age]]&gt;55,"Old",IF(Table1[[#This Row],[Age]]&gt;25,"Middle","Na")))</f>
        <v>Middle</v>
      </c>
      <c r="G573" t="s">
        <v>14</v>
      </c>
      <c r="H573">
        <v>4</v>
      </c>
      <c r="I573">
        <v>500</v>
      </c>
      <c r="J573">
        <v>2000</v>
      </c>
    </row>
    <row r="574" spans="1:10" x14ac:dyDescent="0.35">
      <c r="A574">
        <v>573</v>
      </c>
      <c r="B574" s="1">
        <v>45188</v>
      </c>
      <c r="C574" t="s">
        <v>586</v>
      </c>
      <c r="D574" t="s">
        <v>10</v>
      </c>
      <c r="E574">
        <v>49</v>
      </c>
      <c r="F574" t="str">
        <f>IF(Table1[[#This Row],[Age]]&lt;=25,"Young",IF(Table1[[#This Row],[Age]]&gt;55,"Old",IF(Table1[[#This Row],[Age]]&gt;25,"Middle","Na")))</f>
        <v>Middle</v>
      </c>
      <c r="G574" t="s">
        <v>11</v>
      </c>
      <c r="H574">
        <v>2</v>
      </c>
      <c r="I574">
        <v>30</v>
      </c>
      <c r="J574">
        <v>60</v>
      </c>
    </row>
    <row r="575" spans="1:10" x14ac:dyDescent="0.35">
      <c r="A575">
        <v>574</v>
      </c>
      <c r="B575" s="1">
        <v>45169</v>
      </c>
      <c r="C575" t="s">
        <v>587</v>
      </c>
      <c r="D575" t="s">
        <v>13</v>
      </c>
      <c r="E575">
        <v>63</v>
      </c>
      <c r="F575" t="str">
        <f>IF(Table1[[#This Row],[Age]]&lt;=25,"Young",IF(Table1[[#This Row],[Age]]&gt;55,"Old",IF(Table1[[#This Row],[Age]]&gt;25,"Middle","Na")))</f>
        <v>Old</v>
      </c>
      <c r="G575" t="s">
        <v>16</v>
      </c>
      <c r="H575">
        <v>2</v>
      </c>
      <c r="I575">
        <v>25</v>
      </c>
      <c r="J575">
        <v>50</v>
      </c>
    </row>
    <row r="576" spans="1:10" x14ac:dyDescent="0.35">
      <c r="A576">
        <v>575</v>
      </c>
      <c r="B576" s="1">
        <v>45013</v>
      </c>
      <c r="C576" t="s">
        <v>588</v>
      </c>
      <c r="D576" t="s">
        <v>10</v>
      </c>
      <c r="E576">
        <v>60</v>
      </c>
      <c r="F576" t="str">
        <f>IF(Table1[[#This Row],[Age]]&lt;=25,"Young",IF(Table1[[#This Row],[Age]]&gt;55,"Old",IF(Table1[[#This Row],[Age]]&gt;25,"Middle","Na")))</f>
        <v>Old</v>
      </c>
      <c r="G576" t="s">
        <v>14</v>
      </c>
      <c r="H576">
        <v>2</v>
      </c>
      <c r="I576">
        <v>50</v>
      </c>
      <c r="J576">
        <v>100</v>
      </c>
    </row>
    <row r="577" spans="1:10" x14ac:dyDescent="0.35">
      <c r="A577">
        <v>576</v>
      </c>
      <c r="B577" s="1">
        <v>45264</v>
      </c>
      <c r="C577" t="s">
        <v>589</v>
      </c>
      <c r="D577" t="s">
        <v>13</v>
      </c>
      <c r="E577">
        <v>33</v>
      </c>
      <c r="F577" t="str">
        <f>IF(Table1[[#This Row],[Age]]&lt;=25,"Young",IF(Table1[[#This Row],[Age]]&gt;55,"Old",IF(Table1[[#This Row],[Age]]&gt;25,"Middle","Na")))</f>
        <v>Middle</v>
      </c>
      <c r="G577" t="s">
        <v>11</v>
      </c>
      <c r="H577">
        <v>3</v>
      </c>
      <c r="I577">
        <v>50</v>
      </c>
      <c r="J577">
        <v>150</v>
      </c>
    </row>
    <row r="578" spans="1:10" x14ac:dyDescent="0.35">
      <c r="A578">
        <v>577</v>
      </c>
      <c r="B578" s="1">
        <v>44970</v>
      </c>
      <c r="C578" t="s">
        <v>590</v>
      </c>
      <c r="D578" t="s">
        <v>10</v>
      </c>
      <c r="E578">
        <v>21</v>
      </c>
      <c r="F578" t="str">
        <f>IF(Table1[[#This Row],[Age]]&lt;=25,"Young",IF(Table1[[#This Row],[Age]]&gt;55,"Old",IF(Table1[[#This Row],[Age]]&gt;25,"Middle","Na")))</f>
        <v>Young</v>
      </c>
      <c r="G578" t="s">
        <v>11</v>
      </c>
      <c r="H578">
        <v>4</v>
      </c>
      <c r="I578">
        <v>500</v>
      </c>
      <c r="J578">
        <v>2000</v>
      </c>
    </row>
    <row r="579" spans="1:10" x14ac:dyDescent="0.35">
      <c r="A579">
        <v>578</v>
      </c>
      <c r="B579" s="1">
        <v>45072</v>
      </c>
      <c r="C579" t="s">
        <v>591</v>
      </c>
      <c r="D579" t="s">
        <v>13</v>
      </c>
      <c r="E579">
        <v>54</v>
      </c>
      <c r="F579" t="str">
        <f>IF(Table1[[#This Row],[Age]]&lt;=25,"Young",IF(Table1[[#This Row],[Age]]&gt;55,"Old",IF(Table1[[#This Row],[Age]]&gt;25,"Middle","Na")))</f>
        <v>Middle</v>
      </c>
      <c r="G579" t="s">
        <v>14</v>
      </c>
      <c r="H579">
        <v>4</v>
      </c>
      <c r="I579">
        <v>30</v>
      </c>
      <c r="J579">
        <v>120</v>
      </c>
    </row>
    <row r="580" spans="1:10" x14ac:dyDescent="0.35">
      <c r="A580">
        <v>579</v>
      </c>
      <c r="B580" s="1">
        <v>45190</v>
      </c>
      <c r="C580" t="s">
        <v>592</v>
      </c>
      <c r="D580" t="s">
        <v>13</v>
      </c>
      <c r="E580">
        <v>38</v>
      </c>
      <c r="F580" t="str">
        <f>IF(Table1[[#This Row],[Age]]&lt;=25,"Young",IF(Table1[[#This Row],[Age]]&gt;55,"Old",IF(Table1[[#This Row],[Age]]&gt;25,"Middle","Na")))</f>
        <v>Middle</v>
      </c>
      <c r="G580" t="s">
        <v>16</v>
      </c>
      <c r="H580">
        <v>1</v>
      </c>
      <c r="I580">
        <v>30</v>
      </c>
      <c r="J580">
        <v>30</v>
      </c>
    </row>
    <row r="581" spans="1:10" x14ac:dyDescent="0.35">
      <c r="A581">
        <v>580</v>
      </c>
      <c r="B581" s="1">
        <v>45266</v>
      </c>
      <c r="C581" t="s">
        <v>593</v>
      </c>
      <c r="D581" t="s">
        <v>13</v>
      </c>
      <c r="E581">
        <v>31</v>
      </c>
      <c r="F581" t="str">
        <f>IF(Table1[[#This Row],[Age]]&lt;=25,"Young",IF(Table1[[#This Row],[Age]]&gt;55,"Old",IF(Table1[[#This Row],[Age]]&gt;25,"Middle","Na")))</f>
        <v>Middle</v>
      </c>
      <c r="G581" t="s">
        <v>14</v>
      </c>
      <c r="H581">
        <v>3</v>
      </c>
      <c r="I581">
        <v>500</v>
      </c>
      <c r="J581">
        <v>1500</v>
      </c>
    </row>
    <row r="582" spans="1:10" x14ac:dyDescent="0.35">
      <c r="A582">
        <v>581</v>
      </c>
      <c r="B582" s="1">
        <v>45251</v>
      </c>
      <c r="C582" t="s">
        <v>594</v>
      </c>
      <c r="D582" t="s">
        <v>13</v>
      </c>
      <c r="E582">
        <v>48</v>
      </c>
      <c r="F582" t="str">
        <f>IF(Table1[[#This Row],[Age]]&lt;=25,"Young",IF(Table1[[#This Row],[Age]]&gt;55,"Old",IF(Table1[[#This Row],[Age]]&gt;25,"Middle","Na")))</f>
        <v>Middle</v>
      </c>
      <c r="G582" t="s">
        <v>11</v>
      </c>
      <c r="H582">
        <v>2</v>
      </c>
      <c r="I582">
        <v>30</v>
      </c>
      <c r="J582">
        <v>60</v>
      </c>
    </row>
    <row r="583" spans="1:10" x14ac:dyDescent="0.35">
      <c r="A583">
        <v>582</v>
      </c>
      <c r="B583" s="1">
        <v>45244</v>
      </c>
      <c r="C583" t="s">
        <v>595</v>
      </c>
      <c r="D583" t="s">
        <v>10</v>
      </c>
      <c r="E583">
        <v>35</v>
      </c>
      <c r="F583" t="str">
        <f>IF(Table1[[#This Row],[Age]]&lt;=25,"Young",IF(Table1[[#This Row],[Age]]&gt;55,"Old",IF(Table1[[#This Row],[Age]]&gt;25,"Middle","Na")))</f>
        <v>Middle</v>
      </c>
      <c r="G583" t="s">
        <v>14</v>
      </c>
      <c r="H583">
        <v>3</v>
      </c>
      <c r="I583">
        <v>300</v>
      </c>
      <c r="J583">
        <v>900</v>
      </c>
    </row>
    <row r="584" spans="1:10" x14ac:dyDescent="0.35">
      <c r="A584">
        <v>583</v>
      </c>
      <c r="B584" s="1">
        <v>45098</v>
      </c>
      <c r="C584" t="s">
        <v>596</v>
      </c>
      <c r="D584" t="s">
        <v>13</v>
      </c>
      <c r="E584">
        <v>24</v>
      </c>
      <c r="F584" t="str">
        <f>IF(Table1[[#This Row],[Age]]&lt;=25,"Young",IF(Table1[[#This Row],[Age]]&gt;55,"Old",IF(Table1[[#This Row],[Age]]&gt;25,"Middle","Na")))</f>
        <v>Young</v>
      </c>
      <c r="G584" t="s">
        <v>16</v>
      </c>
      <c r="H584">
        <v>4</v>
      </c>
      <c r="I584">
        <v>25</v>
      </c>
      <c r="J584">
        <v>100</v>
      </c>
    </row>
    <row r="585" spans="1:10" x14ac:dyDescent="0.35">
      <c r="A585">
        <v>584</v>
      </c>
      <c r="B585" s="1">
        <v>44974</v>
      </c>
      <c r="C585" t="s">
        <v>597</v>
      </c>
      <c r="D585" t="s">
        <v>13</v>
      </c>
      <c r="E585">
        <v>27</v>
      </c>
      <c r="F585" t="str">
        <f>IF(Table1[[#This Row],[Age]]&lt;=25,"Young",IF(Table1[[#This Row],[Age]]&gt;55,"Old",IF(Table1[[#This Row],[Age]]&gt;25,"Middle","Na")))</f>
        <v>Middle</v>
      </c>
      <c r="G585" t="s">
        <v>11</v>
      </c>
      <c r="H585">
        <v>4</v>
      </c>
      <c r="I585">
        <v>50</v>
      </c>
      <c r="J585">
        <v>200</v>
      </c>
    </row>
    <row r="586" spans="1:10" x14ac:dyDescent="0.35">
      <c r="A586">
        <v>585</v>
      </c>
      <c r="B586" s="1">
        <v>45047</v>
      </c>
      <c r="C586" t="s">
        <v>598</v>
      </c>
      <c r="D586" t="s">
        <v>13</v>
      </c>
      <c r="E586">
        <v>24</v>
      </c>
      <c r="F586" t="str">
        <f>IF(Table1[[#This Row],[Age]]&lt;=25,"Young",IF(Table1[[#This Row],[Age]]&gt;55,"Old",IF(Table1[[#This Row],[Age]]&gt;25,"Middle","Na")))</f>
        <v>Young</v>
      </c>
      <c r="G586" t="s">
        <v>14</v>
      </c>
      <c r="H586">
        <v>1</v>
      </c>
      <c r="I586">
        <v>25</v>
      </c>
      <c r="J586">
        <v>25</v>
      </c>
    </row>
    <row r="587" spans="1:10" x14ac:dyDescent="0.35">
      <c r="A587">
        <v>586</v>
      </c>
      <c r="B587" s="1">
        <v>45271</v>
      </c>
      <c r="C587" t="s">
        <v>599</v>
      </c>
      <c r="D587" t="s">
        <v>10</v>
      </c>
      <c r="E587">
        <v>50</v>
      </c>
      <c r="F587" t="str">
        <f>IF(Table1[[#This Row],[Age]]&lt;=25,"Young",IF(Table1[[#This Row],[Age]]&gt;55,"Old",IF(Table1[[#This Row],[Age]]&gt;25,"Middle","Na")))</f>
        <v>Middle</v>
      </c>
      <c r="G587" t="s">
        <v>16</v>
      </c>
      <c r="H587">
        <v>1</v>
      </c>
      <c r="I587">
        <v>50</v>
      </c>
      <c r="J587">
        <v>50</v>
      </c>
    </row>
    <row r="588" spans="1:10" x14ac:dyDescent="0.35">
      <c r="A588">
        <v>587</v>
      </c>
      <c r="B588" s="1">
        <v>45085</v>
      </c>
      <c r="C588" t="s">
        <v>600</v>
      </c>
      <c r="D588" t="s">
        <v>13</v>
      </c>
      <c r="E588">
        <v>40</v>
      </c>
      <c r="F588" t="str">
        <f>IF(Table1[[#This Row],[Age]]&lt;=25,"Young",IF(Table1[[#This Row],[Age]]&gt;55,"Old",IF(Table1[[#This Row],[Age]]&gt;25,"Middle","Na")))</f>
        <v>Middle</v>
      </c>
      <c r="G588" t="s">
        <v>11</v>
      </c>
      <c r="H588">
        <v>4</v>
      </c>
      <c r="I588">
        <v>300</v>
      </c>
      <c r="J588">
        <v>1200</v>
      </c>
    </row>
    <row r="589" spans="1:10" x14ac:dyDescent="0.35">
      <c r="A589">
        <v>588</v>
      </c>
      <c r="B589" s="1">
        <v>45042</v>
      </c>
      <c r="C589" t="s">
        <v>601</v>
      </c>
      <c r="D589" t="s">
        <v>10</v>
      </c>
      <c r="E589">
        <v>38</v>
      </c>
      <c r="F589" t="str">
        <f>IF(Table1[[#This Row],[Age]]&lt;=25,"Young",IF(Table1[[#This Row],[Age]]&gt;55,"Old",IF(Table1[[#This Row],[Age]]&gt;25,"Middle","Na")))</f>
        <v>Middle</v>
      </c>
      <c r="G589" t="s">
        <v>16</v>
      </c>
      <c r="H589">
        <v>2</v>
      </c>
      <c r="I589">
        <v>30</v>
      </c>
      <c r="J589">
        <v>60</v>
      </c>
    </row>
    <row r="590" spans="1:10" x14ac:dyDescent="0.35">
      <c r="A590">
        <v>589</v>
      </c>
      <c r="B590" s="1">
        <v>45028</v>
      </c>
      <c r="C590" t="s">
        <v>602</v>
      </c>
      <c r="D590" t="s">
        <v>13</v>
      </c>
      <c r="E590">
        <v>36</v>
      </c>
      <c r="F590" t="str">
        <f>IF(Table1[[#This Row],[Age]]&lt;=25,"Young",IF(Table1[[#This Row],[Age]]&gt;55,"Old",IF(Table1[[#This Row],[Age]]&gt;25,"Middle","Na")))</f>
        <v>Middle</v>
      </c>
      <c r="G590" t="s">
        <v>11</v>
      </c>
      <c r="H590">
        <v>2</v>
      </c>
      <c r="I590">
        <v>500</v>
      </c>
      <c r="J590">
        <v>1000</v>
      </c>
    </row>
    <row r="591" spans="1:10" x14ac:dyDescent="0.35">
      <c r="A591">
        <v>590</v>
      </c>
      <c r="B591" s="1">
        <v>45002</v>
      </c>
      <c r="C591" t="s">
        <v>603</v>
      </c>
      <c r="D591" t="s">
        <v>10</v>
      </c>
      <c r="E591">
        <v>36</v>
      </c>
      <c r="F591" t="str">
        <f>IF(Table1[[#This Row],[Age]]&lt;=25,"Young",IF(Table1[[#This Row],[Age]]&gt;55,"Old",IF(Table1[[#This Row],[Age]]&gt;25,"Middle","Na")))</f>
        <v>Middle</v>
      </c>
      <c r="G591" t="s">
        <v>14</v>
      </c>
      <c r="H591">
        <v>3</v>
      </c>
      <c r="I591">
        <v>300</v>
      </c>
      <c r="J591">
        <v>900</v>
      </c>
    </row>
    <row r="592" spans="1:10" x14ac:dyDescent="0.35">
      <c r="A592">
        <v>591</v>
      </c>
      <c r="B592" s="1">
        <v>44939</v>
      </c>
      <c r="C592" t="s">
        <v>604</v>
      </c>
      <c r="D592" t="s">
        <v>10</v>
      </c>
      <c r="E592">
        <v>53</v>
      </c>
      <c r="F592" t="str">
        <f>IF(Table1[[#This Row],[Age]]&lt;=25,"Young",IF(Table1[[#This Row],[Age]]&gt;55,"Old",IF(Table1[[#This Row],[Age]]&gt;25,"Middle","Na")))</f>
        <v>Middle</v>
      </c>
      <c r="G592" t="s">
        <v>16</v>
      </c>
      <c r="H592">
        <v>4</v>
      </c>
      <c r="I592">
        <v>25</v>
      </c>
      <c r="J592">
        <v>100</v>
      </c>
    </row>
    <row r="593" spans="1:10" x14ac:dyDescent="0.35">
      <c r="A593">
        <v>592</v>
      </c>
      <c r="B593" s="1">
        <v>44950</v>
      </c>
      <c r="C593" t="s">
        <v>605</v>
      </c>
      <c r="D593" t="s">
        <v>13</v>
      </c>
      <c r="E593">
        <v>46</v>
      </c>
      <c r="F593" t="str">
        <f>IF(Table1[[#This Row],[Age]]&lt;=25,"Young",IF(Table1[[#This Row],[Age]]&gt;55,"Old",IF(Table1[[#This Row],[Age]]&gt;25,"Middle","Na")))</f>
        <v>Middle</v>
      </c>
      <c r="G593" t="s">
        <v>11</v>
      </c>
      <c r="H593">
        <v>4</v>
      </c>
      <c r="I593">
        <v>500</v>
      </c>
      <c r="J593">
        <v>2000</v>
      </c>
    </row>
    <row r="594" spans="1:10" x14ac:dyDescent="0.35">
      <c r="A594">
        <v>593</v>
      </c>
      <c r="B594" s="1">
        <v>45052</v>
      </c>
      <c r="C594" t="s">
        <v>606</v>
      </c>
      <c r="D594" t="s">
        <v>10</v>
      </c>
      <c r="E594">
        <v>35</v>
      </c>
      <c r="F594" t="str">
        <f>IF(Table1[[#This Row],[Age]]&lt;=25,"Young",IF(Table1[[#This Row],[Age]]&gt;55,"Old",IF(Table1[[#This Row],[Age]]&gt;25,"Middle","Na")))</f>
        <v>Middle</v>
      </c>
      <c r="G594" t="s">
        <v>16</v>
      </c>
      <c r="H594">
        <v>2</v>
      </c>
      <c r="I594">
        <v>30</v>
      </c>
      <c r="J594">
        <v>60</v>
      </c>
    </row>
    <row r="595" spans="1:10" x14ac:dyDescent="0.35">
      <c r="A595">
        <v>594</v>
      </c>
      <c r="B595" s="1">
        <v>45170</v>
      </c>
      <c r="C595" t="s">
        <v>607</v>
      </c>
      <c r="D595" t="s">
        <v>13</v>
      </c>
      <c r="E595">
        <v>19</v>
      </c>
      <c r="F595" t="str">
        <f>IF(Table1[[#This Row],[Age]]&lt;=25,"Young",IF(Table1[[#This Row],[Age]]&gt;55,"Old",IF(Table1[[#This Row],[Age]]&gt;25,"Middle","Na")))</f>
        <v>Young</v>
      </c>
      <c r="G595" t="s">
        <v>16</v>
      </c>
      <c r="H595">
        <v>2</v>
      </c>
      <c r="I595">
        <v>300</v>
      </c>
      <c r="J595">
        <v>600</v>
      </c>
    </row>
    <row r="596" spans="1:10" x14ac:dyDescent="0.35">
      <c r="A596">
        <v>595</v>
      </c>
      <c r="B596" s="1">
        <v>45239</v>
      </c>
      <c r="C596" t="s">
        <v>608</v>
      </c>
      <c r="D596" t="s">
        <v>13</v>
      </c>
      <c r="E596">
        <v>18</v>
      </c>
      <c r="F596" t="str">
        <f>IF(Table1[[#This Row],[Age]]&lt;=25,"Young",IF(Table1[[#This Row],[Age]]&gt;55,"Old",IF(Table1[[#This Row],[Age]]&gt;25,"Middle","Na")))</f>
        <v>Young</v>
      </c>
      <c r="G596" t="s">
        <v>14</v>
      </c>
      <c r="H596">
        <v>4</v>
      </c>
      <c r="I596">
        <v>500</v>
      </c>
      <c r="J596">
        <v>2000</v>
      </c>
    </row>
    <row r="597" spans="1:10" x14ac:dyDescent="0.35">
      <c r="A597">
        <v>596</v>
      </c>
      <c r="B597" s="1">
        <v>44964</v>
      </c>
      <c r="C597" t="s">
        <v>609</v>
      </c>
      <c r="D597" t="s">
        <v>13</v>
      </c>
      <c r="E597">
        <v>64</v>
      </c>
      <c r="F597" t="str">
        <f>IF(Table1[[#This Row],[Age]]&lt;=25,"Young",IF(Table1[[#This Row],[Age]]&gt;55,"Old",IF(Table1[[#This Row],[Age]]&gt;25,"Middle","Na")))</f>
        <v>Old</v>
      </c>
      <c r="G597" t="s">
        <v>16</v>
      </c>
      <c r="H597">
        <v>1</v>
      </c>
      <c r="I597">
        <v>300</v>
      </c>
      <c r="J597">
        <v>300</v>
      </c>
    </row>
    <row r="598" spans="1:10" x14ac:dyDescent="0.35">
      <c r="A598">
        <v>597</v>
      </c>
      <c r="B598" s="1">
        <v>45160</v>
      </c>
      <c r="C598" t="s">
        <v>610</v>
      </c>
      <c r="D598" t="s">
        <v>10</v>
      </c>
      <c r="E598">
        <v>22</v>
      </c>
      <c r="F598" t="str">
        <f>IF(Table1[[#This Row],[Age]]&lt;=25,"Young",IF(Table1[[#This Row],[Age]]&gt;55,"Old",IF(Table1[[#This Row],[Age]]&gt;25,"Middle","Na")))</f>
        <v>Young</v>
      </c>
      <c r="G598" t="s">
        <v>11</v>
      </c>
      <c r="H598">
        <v>4</v>
      </c>
      <c r="I598">
        <v>300</v>
      </c>
      <c r="J598">
        <v>1200</v>
      </c>
    </row>
    <row r="599" spans="1:10" x14ac:dyDescent="0.35">
      <c r="A599">
        <v>598</v>
      </c>
      <c r="B599" s="1">
        <v>45139</v>
      </c>
      <c r="C599" t="s">
        <v>611</v>
      </c>
      <c r="D599" t="s">
        <v>10</v>
      </c>
      <c r="E599">
        <v>37</v>
      </c>
      <c r="F599" t="str">
        <f>IF(Table1[[#This Row],[Age]]&lt;=25,"Young",IF(Table1[[#This Row],[Age]]&gt;55,"Old",IF(Table1[[#This Row],[Age]]&gt;25,"Middle","Na")))</f>
        <v>Middle</v>
      </c>
      <c r="G599" t="s">
        <v>11</v>
      </c>
      <c r="H599">
        <v>4</v>
      </c>
      <c r="I599">
        <v>30</v>
      </c>
      <c r="J599">
        <v>120</v>
      </c>
    </row>
    <row r="600" spans="1:10" x14ac:dyDescent="0.35">
      <c r="A600">
        <v>599</v>
      </c>
      <c r="B600" s="1">
        <v>45249</v>
      </c>
      <c r="C600" t="s">
        <v>612</v>
      </c>
      <c r="D600" t="s">
        <v>13</v>
      </c>
      <c r="E600">
        <v>28</v>
      </c>
      <c r="F600" t="str">
        <f>IF(Table1[[#This Row],[Age]]&lt;=25,"Young",IF(Table1[[#This Row],[Age]]&gt;55,"Old",IF(Table1[[#This Row],[Age]]&gt;25,"Middle","Na")))</f>
        <v>Middle</v>
      </c>
      <c r="G600" t="s">
        <v>11</v>
      </c>
      <c r="H600">
        <v>2</v>
      </c>
      <c r="I600">
        <v>50</v>
      </c>
      <c r="J600">
        <v>100</v>
      </c>
    </row>
    <row r="601" spans="1:10" x14ac:dyDescent="0.35">
      <c r="A601">
        <v>600</v>
      </c>
      <c r="B601" s="1">
        <v>45221</v>
      </c>
      <c r="C601" t="s">
        <v>613</v>
      </c>
      <c r="D601" t="s">
        <v>13</v>
      </c>
      <c r="E601">
        <v>59</v>
      </c>
      <c r="F601" t="str">
        <f>IF(Table1[[#This Row],[Age]]&lt;=25,"Young",IF(Table1[[#This Row],[Age]]&gt;55,"Old",IF(Table1[[#This Row],[Age]]&gt;25,"Middle","Na")))</f>
        <v>Old</v>
      </c>
      <c r="G601" t="s">
        <v>11</v>
      </c>
      <c r="H601">
        <v>2</v>
      </c>
      <c r="I601">
        <v>500</v>
      </c>
      <c r="J601">
        <v>1000</v>
      </c>
    </row>
    <row r="602" spans="1:10" x14ac:dyDescent="0.35">
      <c r="A602">
        <v>601</v>
      </c>
      <c r="B602" s="1">
        <v>45026</v>
      </c>
      <c r="C602" t="s">
        <v>614</v>
      </c>
      <c r="D602" t="s">
        <v>10</v>
      </c>
      <c r="E602">
        <v>19</v>
      </c>
      <c r="F602" t="str">
        <f>IF(Table1[[#This Row],[Age]]&lt;=25,"Young",IF(Table1[[#This Row],[Age]]&gt;55,"Old",IF(Table1[[#This Row],[Age]]&gt;25,"Middle","Na")))</f>
        <v>Young</v>
      </c>
      <c r="G602" t="s">
        <v>14</v>
      </c>
      <c r="H602">
        <v>1</v>
      </c>
      <c r="I602">
        <v>30</v>
      </c>
      <c r="J602">
        <v>30</v>
      </c>
    </row>
    <row r="603" spans="1:10" x14ac:dyDescent="0.35">
      <c r="A603">
        <v>602</v>
      </c>
      <c r="B603" s="1">
        <v>45283</v>
      </c>
      <c r="C603" t="s">
        <v>615</v>
      </c>
      <c r="D603" t="s">
        <v>13</v>
      </c>
      <c r="E603">
        <v>20</v>
      </c>
      <c r="F603" t="str">
        <f>IF(Table1[[#This Row],[Age]]&lt;=25,"Young",IF(Table1[[#This Row],[Age]]&gt;55,"Old",IF(Table1[[#This Row],[Age]]&gt;25,"Middle","Na")))</f>
        <v>Young</v>
      </c>
      <c r="G603" t="s">
        <v>16</v>
      </c>
      <c r="H603">
        <v>1</v>
      </c>
      <c r="I603">
        <v>300</v>
      </c>
      <c r="J603">
        <v>300</v>
      </c>
    </row>
    <row r="604" spans="1:10" x14ac:dyDescent="0.35">
      <c r="A604">
        <v>603</v>
      </c>
      <c r="B604" s="1">
        <v>45123</v>
      </c>
      <c r="C604" t="s">
        <v>616</v>
      </c>
      <c r="D604" t="s">
        <v>13</v>
      </c>
      <c r="E604">
        <v>40</v>
      </c>
      <c r="F604" t="str">
        <f>IF(Table1[[#This Row],[Age]]&lt;=25,"Young",IF(Table1[[#This Row],[Age]]&gt;55,"Old",IF(Table1[[#This Row],[Age]]&gt;25,"Middle","Na")))</f>
        <v>Middle</v>
      </c>
      <c r="G604" t="s">
        <v>14</v>
      </c>
      <c r="H604">
        <v>3</v>
      </c>
      <c r="I604">
        <v>30</v>
      </c>
      <c r="J604">
        <v>90</v>
      </c>
    </row>
    <row r="605" spans="1:10" x14ac:dyDescent="0.35">
      <c r="A605">
        <v>604</v>
      </c>
      <c r="B605" s="1">
        <v>45180</v>
      </c>
      <c r="C605" t="s">
        <v>617</v>
      </c>
      <c r="D605" t="s">
        <v>13</v>
      </c>
      <c r="E605">
        <v>29</v>
      </c>
      <c r="F605" t="str">
        <f>IF(Table1[[#This Row],[Age]]&lt;=25,"Young",IF(Table1[[#This Row],[Age]]&gt;55,"Old",IF(Table1[[#This Row],[Age]]&gt;25,"Middle","Na")))</f>
        <v>Middle</v>
      </c>
      <c r="G605" t="s">
        <v>16</v>
      </c>
      <c r="H605">
        <v>4</v>
      </c>
      <c r="I605">
        <v>50</v>
      </c>
      <c r="J605">
        <v>200</v>
      </c>
    </row>
    <row r="606" spans="1:10" x14ac:dyDescent="0.35">
      <c r="A606">
        <v>605</v>
      </c>
      <c r="B606" s="1">
        <v>45131</v>
      </c>
      <c r="C606" t="s">
        <v>618</v>
      </c>
      <c r="D606" t="s">
        <v>10</v>
      </c>
      <c r="E606">
        <v>37</v>
      </c>
      <c r="F606" t="str">
        <f>IF(Table1[[#This Row],[Age]]&lt;=25,"Young",IF(Table1[[#This Row],[Age]]&gt;55,"Old",IF(Table1[[#This Row],[Age]]&gt;25,"Middle","Na")))</f>
        <v>Middle</v>
      </c>
      <c r="G606" t="s">
        <v>16</v>
      </c>
      <c r="H606">
        <v>2</v>
      </c>
      <c r="I606">
        <v>500</v>
      </c>
      <c r="J606">
        <v>1000</v>
      </c>
    </row>
    <row r="607" spans="1:10" x14ac:dyDescent="0.35">
      <c r="A607">
        <v>606</v>
      </c>
      <c r="B607" s="1">
        <v>45051</v>
      </c>
      <c r="C607" t="s">
        <v>619</v>
      </c>
      <c r="D607" t="s">
        <v>10</v>
      </c>
      <c r="E607">
        <v>22</v>
      </c>
      <c r="F607" t="str">
        <f>IF(Table1[[#This Row],[Age]]&lt;=25,"Young",IF(Table1[[#This Row],[Age]]&gt;55,"Old",IF(Table1[[#This Row],[Age]]&gt;25,"Middle","Na")))</f>
        <v>Young</v>
      </c>
      <c r="G607" t="s">
        <v>16</v>
      </c>
      <c r="H607">
        <v>1</v>
      </c>
      <c r="I607">
        <v>50</v>
      </c>
      <c r="J607">
        <v>50</v>
      </c>
    </row>
    <row r="608" spans="1:10" x14ac:dyDescent="0.35">
      <c r="A608">
        <v>607</v>
      </c>
      <c r="B608" s="1">
        <v>45002</v>
      </c>
      <c r="C608" t="s">
        <v>620</v>
      </c>
      <c r="D608" t="s">
        <v>10</v>
      </c>
      <c r="E608">
        <v>54</v>
      </c>
      <c r="F608" t="str">
        <f>IF(Table1[[#This Row],[Age]]&lt;=25,"Young",IF(Table1[[#This Row],[Age]]&gt;55,"Old",IF(Table1[[#This Row],[Age]]&gt;25,"Middle","Na")))</f>
        <v>Middle</v>
      </c>
      <c r="G608" t="s">
        <v>14</v>
      </c>
      <c r="H608">
        <v>3</v>
      </c>
      <c r="I608">
        <v>25</v>
      </c>
      <c r="J608">
        <v>75</v>
      </c>
    </row>
    <row r="609" spans="1:10" x14ac:dyDescent="0.35">
      <c r="A609">
        <v>608</v>
      </c>
      <c r="B609" s="1">
        <v>45262</v>
      </c>
      <c r="C609" t="s">
        <v>621</v>
      </c>
      <c r="D609" t="s">
        <v>13</v>
      </c>
      <c r="E609">
        <v>55</v>
      </c>
      <c r="F609" t="str">
        <f>IF(Table1[[#This Row],[Age]]&lt;=25,"Young",IF(Table1[[#This Row],[Age]]&gt;55,"Old",IF(Table1[[#This Row],[Age]]&gt;25,"Middle","Na")))</f>
        <v>Middle</v>
      </c>
      <c r="G609" t="s">
        <v>16</v>
      </c>
      <c r="H609">
        <v>3</v>
      </c>
      <c r="I609">
        <v>500</v>
      </c>
      <c r="J609">
        <v>1500</v>
      </c>
    </row>
    <row r="610" spans="1:10" x14ac:dyDescent="0.35">
      <c r="A610">
        <v>609</v>
      </c>
      <c r="B610" s="1">
        <v>45279</v>
      </c>
      <c r="C610" t="s">
        <v>622</v>
      </c>
      <c r="D610" t="s">
        <v>13</v>
      </c>
      <c r="E610">
        <v>47</v>
      </c>
      <c r="F610" t="str">
        <f>IF(Table1[[#This Row],[Age]]&lt;=25,"Young",IF(Table1[[#This Row],[Age]]&gt;55,"Old",IF(Table1[[#This Row],[Age]]&gt;25,"Middle","Na")))</f>
        <v>Middle</v>
      </c>
      <c r="G610" t="s">
        <v>14</v>
      </c>
      <c r="H610">
        <v>2</v>
      </c>
      <c r="I610">
        <v>50</v>
      </c>
      <c r="J610">
        <v>100</v>
      </c>
    </row>
    <row r="611" spans="1:10" x14ac:dyDescent="0.35">
      <c r="A611">
        <v>610</v>
      </c>
      <c r="B611" s="1">
        <v>44929</v>
      </c>
      <c r="C611" t="s">
        <v>623</v>
      </c>
      <c r="D611" t="s">
        <v>13</v>
      </c>
      <c r="E611">
        <v>26</v>
      </c>
      <c r="F611" t="str">
        <f>IF(Table1[[#This Row],[Age]]&lt;=25,"Young",IF(Table1[[#This Row],[Age]]&gt;55,"Old",IF(Table1[[#This Row],[Age]]&gt;25,"Middle","Na")))</f>
        <v>Middle</v>
      </c>
      <c r="G611" t="s">
        <v>11</v>
      </c>
      <c r="H611">
        <v>2</v>
      </c>
      <c r="I611">
        <v>300</v>
      </c>
      <c r="J611">
        <v>600</v>
      </c>
    </row>
    <row r="612" spans="1:10" x14ac:dyDescent="0.35">
      <c r="A612">
        <v>611</v>
      </c>
      <c r="B612" s="1">
        <v>44981</v>
      </c>
      <c r="C612" t="s">
        <v>624</v>
      </c>
      <c r="D612" t="s">
        <v>10</v>
      </c>
      <c r="E612">
        <v>51</v>
      </c>
      <c r="F612" t="str">
        <f>IF(Table1[[#This Row],[Age]]&lt;=25,"Young",IF(Table1[[#This Row],[Age]]&gt;55,"Old",IF(Table1[[#This Row],[Age]]&gt;25,"Middle","Na")))</f>
        <v>Middle</v>
      </c>
      <c r="G612" t="s">
        <v>11</v>
      </c>
      <c r="H612">
        <v>3</v>
      </c>
      <c r="I612">
        <v>500</v>
      </c>
      <c r="J612">
        <v>1500</v>
      </c>
    </row>
    <row r="613" spans="1:10" x14ac:dyDescent="0.35">
      <c r="A613">
        <v>612</v>
      </c>
      <c r="B613" s="1">
        <v>45144</v>
      </c>
      <c r="C613" t="s">
        <v>625</v>
      </c>
      <c r="D613" t="s">
        <v>13</v>
      </c>
      <c r="E613">
        <v>61</v>
      </c>
      <c r="F613" t="str">
        <f>IF(Table1[[#This Row],[Age]]&lt;=25,"Young",IF(Table1[[#This Row],[Age]]&gt;55,"Old",IF(Table1[[#This Row],[Age]]&gt;25,"Middle","Na")))</f>
        <v>Old</v>
      </c>
      <c r="G613" t="s">
        <v>16</v>
      </c>
      <c r="H613">
        <v>1</v>
      </c>
      <c r="I613">
        <v>500</v>
      </c>
      <c r="J613">
        <v>500</v>
      </c>
    </row>
    <row r="614" spans="1:10" x14ac:dyDescent="0.35">
      <c r="A614">
        <v>613</v>
      </c>
      <c r="B614" s="1">
        <v>45039</v>
      </c>
      <c r="C614" t="s">
        <v>626</v>
      </c>
      <c r="D614" t="s">
        <v>13</v>
      </c>
      <c r="E614">
        <v>52</v>
      </c>
      <c r="F614" t="str">
        <f>IF(Table1[[#This Row],[Age]]&lt;=25,"Young",IF(Table1[[#This Row],[Age]]&gt;55,"Old",IF(Table1[[#This Row],[Age]]&gt;25,"Middle","Na")))</f>
        <v>Middle</v>
      </c>
      <c r="G614" t="s">
        <v>14</v>
      </c>
      <c r="H614">
        <v>3</v>
      </c>
      <c r="I614">
        <v>30</v>
      </c>
      <c r="J614">
        <v>90</v>
      </c>
    </row>
    <row r="615" spans="1:10" x14ac:dyDescent="0.35">
      <c r="A615">
        <v>614</v>
      </c>
      <c r="B615" s="1">
        <v>45017</v>
      </c>
      <c r="C615" t="s">
        <v>627</v>
      </c>
      <c r="D615" t="s">
        <v>13</v>
      </c>
      <c r="E615">
        <v>39</v>
      </c>
      <c r="F615" t="str">
        <f>IF(Table1[[#This Row],[Age]]&lt;=25,"Young",IF(Table1[[#This Row],[Age]]&gt;55,"Old",IF(Table1[[#This Row],[Age]]&gt;25,"Middle","Na")))</f>
        <v>Middle</v>
      </c>
      <c r="G615" t="s">
        <v>11</v>
      </c>
      <c r="H615">
        <v>4</v>
      </c>
      <c r="I615">
        <v>300</v>
      </c>
      <c r="J615">
        <v>1200</v>
      </c>
    </row>
    <row r="616" spans="1:10" x14ac:dyDescent="0.35">
      <c r="A616">
        <v>615</v>
      </c>
      <c r="B616" s="1">
        <v>45283</v>
      </c>
      <c r="C616" t="s">
        <v>628</v>
      </c>
      <c r="D616" t="s">
        <v>13</v>
      </c>
      <c r="E616">
        <v>61</v>
      </c>
      <c r="F616" t="str">
        <f>IF(Table1[[#This Row],[Age]]&lt;=25,"Young",IF(Table1[[#This Row],[Age]]&gt;55,"Old",IF(Table1[[#This Row],[Age]]&gt;25,"Middle","Na")))</f>
        <v>Old</v>
      </c>
      <c r="G616" t="s">
        <v>14</v>
      </c>
      <c r="H616">
        <v>4</v>
      </c>
      <c r="I616">
        <v>25</v>
      </c>
      <c r="J616">
        <v>100</v>
      </c>
    </row>
    <row r="617" spans="1:10" x14ac:dyDescent="0.35">
      <c r="A617">
        <v>616</v>
      </c>
      <c r="B617" s="1">
        <v>45192</v>
      </c>
      <c r="C617" t="s">
        <v>629</v>
      </c>
      <c r="D617" t="s">
        <v>10</v>
      </c>
      <c r="E617">
        <v>41</v>
      </c>
      <c r="F617" t="str">
        <f>IF(Table1[[#This Row],[Age]]&lt;=25,"Young",IF(Table1[[#This Row],[Age]]&gt;55,"Old",IF(Table1[[#This Row],[Age]]&gt;25,"Middle","Na")))</f>
        <v>Middle</v>
      </c>
      <c r="G617" t="s">
        <v>14</v>
      </c>
      <c r="H617">
        <v>2</v>
      </c>
      <c r="I617">
        <v>50</v>
      </c>
      <c r="J617">
        <v>100</v>
      </c>
    </row>
    <row r="618" spans="1:10" x14ac:dyDescent="0.35">
      <c r="A618">
        <v>617</v>
      </c>
      <c r="B618" s="1">
        <v>45164</v>
      </c>
      <c r="C618" t="s">
        <v>630</v>
      </c>
      <c r="D618" t="s">
        <v>10</v>
      </c>
      <c r="E618">
        <v>34</v>
      </c>
      <c r="F618" t="str">
        <f>IF(Table1[[#This Row],[Age]]&lt;=25,"Young",IF(Table1[[#This Row],[Age]]&gt;55,"Old",IF(Table1[[#This Row],[Age]]&gt;25,"Middle","Na")))</f>
        <v>Middle</v>
      </c>
      <c r="G618" t="s">
        <v>16</v>
      </c>
      <c r="H618">
        <v>1</v>
      </c>
      <c r="I618">
        <v>30</v>
      </c>
      <c r="J618">
        <v>30</v>
      </c>
    </row>
    <row r="619" spans="1:10" x14ac:dyDescent="0.35">
      <c r="A619">
        <v>618</v>
      </c>
      <c r="B619" s="1">
        <v>44952</v>
      </c>
      <c r="C619" t="s">
        <v>631</v>
      </c>
      <c r="D619" t="s">
        <v>13</v>
      </c>
      <c r="E619">
        <v>27</v>
      </c>
      <c r="F619" t="str">
        <f>IF(Table1[[#This Row],[Age]]&lt;=25,"Young",IF(Table1[[#This Row],[Age]]&gt;55,"Old",IF(Table1[[#This Row],[Age]]&gt;25,"Middle","Na")))</f>
        <v>Middle</v>
      </c>
      <c r="G619" t="s">
        <v>11</v>
      </c>
      <c r="H619">
        <v>1</v>
      </c>
      <c r="I619">
        <v>50</v>
      </c>
      <c r="J619">
        <v>50</v>
      </c>
    </row>
    <row r="620" spans="1:10" x14ac:dyDescent="0.35">
      <c r="A620">
        <v>619</v>
      </c>
      <c r="B620" s="1">
        <v>45212</v>
      </c>
      <c r="C620" t="s">
        <v>632</v>
      </c>
      <c r="D620" t="s">
        <v>10</v>
      </c>
      <c r="E620">
        <v>47</v>
      </c>
      <c r="F620" t="str">
        <f>IF(Table1[[#This Row],[Age]]&lt;=25,"Young",IF(Table1[[#This Row],[Age]]&gt;55,"Old",IF(Table1[[#This Row],[Age]]&gt;25,"Middle","Na")))</f>
        <v>Middle</v>
      </c>
      <c r="G620" t="s">
        <v>16</v>
      </c>
      <c r="H620">
        <v>4</v>
      </c>
      <c r="I620">
        <v>25</v>
      </c>
      <c r="J620">
        <v>100</v>
      </c>
    </row>
    <row r="621" spans="1:10" x14ac:dyDescent="0.35">
      <c r="A621">
        <v>620</v>
      </c>
      <c r="B621" s="1">
        <v>45054</v>
      </c>
      <c r="C621" t="s">
        <v>633</v>
      </c>
      <c r="D621" t="s">
        <v>10</v>
      </c>
      <c r="E621">
        <v>63</v>
      </c>
      <c r="F621" t="str">
        <f>IF(Table1[[#This Row],[Age]]&lt;=25,"Young",IF(Table1[[#This Row],[Age]]&gt;55,"Old",IF(Table1[[#This Row],[Age]]&gt;25,"Middle","Na")))</f>
        <v>Old</v>
      </c>
      <c r="G621" t="s">
        <v>16</v>
      </c>
      <c r="H621">
        <v>3</v>
      </c>
      <c r="I621">
        <v>25</v>
      </c>
      <c r="J621">
        <v>75</v>
      </c>
    </row>
    <row r="622" spans="1:10" x14ac:dyDescent="0.35">
      <c r="A622">
        <v>621</v>
      </c>
      <c r="B622" s="1">
        <v>44989</v>
      </c>
      <c r="C622" t="s">
        <v>634</v>
      </c>
      <c r="D622" t="s">
        <v>13</v>
      </c>
      <c r="E622">
        <v>40</v>
      </c>
      <c r="F622" t="str">
        <f>IF(Table1[[#This Row],[Age]]&lt;=25,"Young",IF(Table1[[#This Row],[Age]]&gt;55,"Old",IF(Table1[[#This Row],[Age]]&gt;25,"Middle","Na")))</f>
        <v>Middle</v>
      </c>
      <c r="G622" t="s">
        <v>11</v>
      </c>
      <c r="H622">
        <v>2</v>
      </c>
      <c r="I622">
        <v>500</v>
      </c>
      <c r="J622">
        <v>1000</v>
      </c>
    </row>
    <row r="623" spans="1:10" x14ac:dyDescent="0.35">
      <c r="A623">
        <v>622</v>
      </c>
      <c r="B623" s="1">
        <v>45160</v>
      </c>
      <c r="C623" t="s">
        <v>635</v>
      </c>
      <c r="D623" t="s">
        <v>13</v>
      </c>
      <c r="E623">
        <v>49</v>
      </c>
      <c r="F623" t="str">
        <f>IF(Table1[[#This Row],[Age]]&lt;=25,"Young",IF(Table1[[#This Row],[Age]]&gt;55,"Old",IF(Table1[[#This Row],[Age]]&gt;25,"Middle","Na")))</f>
        <v>Middle</v>
      </c>
      <c r="G623" t="s">
        <v>11</v>
      </c>
      <c r="H623">
        <v>3</v>
      </c>
      <c r="I623">
        <v>25</v>
      </c>
      <c r="J623">
        <v>75</v>
      </c>
    </row>
    <row r="624" spans="1:10" x14ac:dyDescent="0.35">
      <c r="A624">
        <v>623</v>
      </c>
      <c r="B624" s="1">
        <v>44995</v>
      </c>
      <c r="C624" t="s">
        <v>636</v>
      </c>
      <c r="D624" t="s">
        <v>10</v>
      </c>
      <c r="E624">
        <v>34</v>
      </c>
      <c r="F624" t="str">
        <f>IF(Table1[[#This Row],[Age]]&lt;=25,"Young",IF(Table1[[#This Row],[Age]]&gt;55,"Old",IF(Table1[[#This Row],[Age]]&gt;25,"Middle","Na")))</f>
        <v>Middle</v>
      </c>
      <c r="G624" t="s">
        <v>14</v>
      </c>
      <c r="H624">
        <v>3</v>
      </c>
      <c r="I624">
        <v>50</v>
      </c>
      <c r="J624">
        <v>150</v>
      </c>
    </row>
    <row r="625" spans="1:10" x14ac:dyDescent="0.35">
      <c r="A625">
        <v>624</v>
      </c>
      <c r="B625" s="1">
        <v>45164</v>
      </c>
      <c r="C625" t="s">
        <v>637</v>
      </c>
      <c r="D625" t="s">
        <v>13</v>
      </c>
      <c r="E625">
        <v>34</v>
      </c>
      <c r="F625" t="str">
        <f>IF(Table1[[#This Row],[Age]]&lt;=25,"Young",IF(Table1[[#This Row],[Age]]&gt;55,"Old",IF(Table1[[#This Row],[Age]]&gt;25,"Middle","Na")))</f>
        <v>Middle</v>
      </c>
      <c r="G625" t="s">
        <v>11</v>
      </c>
      <c r="H625">
        <v>3</v>
      </c>
      <c r="I625">
        <v>300</v>
      </c>
      <c r="J625">
        <v>900</v>
      </c>
    </row>
    <row r="626" spans="1:10" x14ac:dyDescent="0.35">
      <c r="A626">
        <v>625</v>
      </c>
      <c r="B626" s="1">
        <v>45268</v>
      </c>
      <c r="C626" t="s">
        <v>638</v>
      </c>
      <c r="D626" t="s">
        <v>10</v>
      </c>
      <c r="E626">
        <v>31</v>
      </c>
      <c r="F626" t="str">
        <f>IF(Table1[[#This Row],[Age]]&lt;=25,"Young",IF(Table1[[#This Row],[Age]]&gt;55,"Old",IF(Table1[[#This Row],[Age]]&gt;25,"Middle","Na")))</f>
        <v>Middle</v>
      </c>
      <c r="G626" t="s">
        <v>14</v>
      </c>
      <c r="H626">
        <v>1</v>
      </c>
      <c r="I626">
        <v>300</v>
      </c>
      <c r="J626">
        <v>300</v>
      </c>
    </row>
    <row r="627" spans="1:10" x14ac:dyDescent="0.35">
      <c r="A627">
        <v>626</v>
      </c>
      <c r="B627" s="1">
        <v>45198</v>
      </c>
      <c r="C627" t="s">
        <v>639</v>
      </c>
      <c r="D627" t="s">
        <v>13</v>
      </c>
      <c r="E627">
        <v>26</v>
      </c>
      <c r="F627" t="str">
        <f>IF(Table1[[#This Row],[Age]]&lt;=25,"Young",IF(Table1[[#This Row],[Age]]&gt;55,"Old",IF(Table1[[#This Row],[Age]]&gt;25,"Middle","Na")))</f>
        <v>Middle</v>
      </c>
      <c r="G627" t="s">
        <v>14</v>
      </c>
      <c r="H627">
        <v>4</v>
      </c>
      <c r="I627">
        <v>500</v>
      </c>
      <c r="J627">
        <v>2000</v>
      </c>
    </row>
    <row r="628" spans="1:10" x14ac:dyDescent="0.35">
      <c r="A628">
        <v>627</v>
      </c>
      <c r="B628" s="1">
        <v>45213</v>
      </c>
      <c r="C628" t="s">
        <v>640</v>
      </c>
      <c r="D628" t="s">
        <v>10</v>
      </c>
      <c r="E628">
        <v>57</v>
      </c>
      <c r="F628" t="str">
        <f>IF(Table1[[#This Row],[Age]]&lt;=25,"Young",IF(Table1[[#This Row],[Age]]&gt;55,"Old",IF(Table1[[#This Row],[Age]]&gt;25,"Middle","Na")))</f>
        <v>Old</v>
      </c>
      <c r="G628" t="s">
        <v>14</v>
      </c>
      <c r="H628">
        <v>1</v>
      </c>
      <c r="I628">
        <v>50</v>
      </c>
      <c r="J628">
        <v>50</v>
      </c>
    </row>
    <row r="629" spans="1:10" x14ac:dyDescent="0.35">
      <c r="A629">
        <v>628</v>
      </c>
      <c r="B629" s="1">
        <v>45231</v>
      </c>
      <c r="C629" t="s">
        <v>641</v>
      </c>
      <c r="D629" t="s">
        <v>13</v>
      </c>
      <c r="E629">
        <v>19</v>
      </c>
      <c r="F629" t="str">
        <f>IF(Table1[[#This Row],[Age]]&lt;=25,"Young",IF(Table1[[#This Row],[Age]]&gt;55,"Old",IF(Table1[[#This Row],[Age]]&gt;25,"Middle","Na")))</f>
        <v>Young</v>
      </c>
      <c r="G629" t="s">
        <v>11</v>
      </c>
      <c r="H629">
        <v>4</v>
      </c>
      <c r="I629">
        <v>50</v>
      </c>
      <c r="J629">
        <v>200</v>
      </c>
    </row>
    <row r="630" spans="1:10" x14ac:dyDescent="0.35">
      <c r="A630">
        <v>629</v>
      </c>
      <c r="B630" s="1">
        <v>45089</v>
      </c>
      <c r="C630" t="s">
        <v>642</v>
      </c>
      <c r="D630" t="s">
        <v>10</v>
      </c>
      <c r="E630">
        <v>62</v>
      </c>
      <c r="F630" t="str">
        <f>IF(Table1[[#This Row],[Age]]&lt;=25,"Young",IF(Table1[[#This Row],[Age]]&gt;55,"Old",IF(Table1[[#This Row],[Age]]&gt;25,"Middle","Na")))</f>
        <v>Old</v>
      </c>
      <c r="G630" t="s">
        <v>16</v>
      </c>
      <c r="H630">
        <v>2</v>
      </c>
      <c r="I630">
        <v>25</v>
      </c>
      <c r="J630">
        <v>50</v>
      </c>
    </row>
    <row r="631" spans="1:10" x14ac:dyDescent="0.35">
      <c r="A631">
        <v>630</v>
      </c>
      <c r="B631" s="1">
        <v>45153</v>
      </c>
      <c r="C631" t="s">
        <v>643</v>
      </c>
      <c r="D631" t="s">
        <v>10</v>
      </c>
      <c r="E631">
        <v>42</v>
      </c>
      <c r="F631" t="str">
        <f>IF(Table1[[#This Row],[Age]]&lt;=25,"Young",IF(Table1[[#This Row],[Age]]&gt;55,"Old",IF(Table1[[#This Row],[Age]]&gt;25,"Middle","Na")))</f>
        <v>Middle</v>
      </c>
      <c r="G631" t="s">
        <v>14</v>
      </c>
      <c r="H631">
        <v>2</v>
      </c>
      <c r="I631">
        <v>50</v>
      </c>
      <c r="J631">
        <v>100</v>
      </c>
    </row>
    <row r="632" spans="1:10" x14ac:dyDescent="0.35">
      <c r="A632">
        <v>631</v>
      </c>
      <c r="B632" s="1">
        <v>45240</v>
      </c>
      <c r="C632" t="s">
        <v>644</v>
      </c>
      <c r="D632" t="s">
        <v>10</v>
      </c>
      <c r="E632">
        <v>56</v>
      </c>
      <c r="F632" t="str">
        <f>IF(Table1[[#This Row],[Age]]&lt;=25,"Young",IF(Table1[[#This Row],[Age]]&gt;55,"Old",IF(Table1[[#This Row],[Age]]&gt;25,"Middle","Na")))</f>
        <v>Old</v>
      </c>
      <c r="G632" t="s">
        <v>16</v>
      </c>
      <c r="H632">
        <v>3</v>
      </c>
      <c r="I632">
        <v>30</v>
      </c>
      <c r="J632">
        <v>90</v>
      </c>
    </row>
    <row r="633" spans="1:10" x14ac:dyDescent="0.35">
      <c r="A633">
        <v>632</v>
      </c>
      <c r="B633" s="1">
        <v>45185</v>
      </c>
      <c r="C633" t="s">
        <v>645</v>
      </c>
      <c r="D633" t="s">
        <v>13</v>
      </c>
      <c r="E633">
        <v>26</v>
      </c>
      <c r="F633" t="str">
        <f>IF(Table1[[#This Row],[Age]]&lt;=25,"Young",IF(Table1[[#This Row],[Age]]&gt;55,"Old",IF(Table1[[#This Row],[Age]]&gt;25,"Middle","Na")))</f>
        <v>Middle</v>
      </c>
      <c r="G633" t="s">
        <v>16</v>
      </c>
      <c r="H633">
        <v>4</v>
      </c>
      <c r="I633">
        <v>25</v>
      </c>
      <c r="J633">
        <v>100</v>
      </c>
    </row>
    <row r="634" spans="1:10" x14ac:dyDescent="0.35">
      <c r="A634">
        <v>633</v>
      </c>
      <c r="B634" s="1">
        <v>45145</v>
      </c>
      <c r="C634" t="s">
        <v>646</v>
      </c>
      <c r="D634" t="s">
        <v>10</v>
      </c>
      <c r="E634">
        <v>39</v>
      </c>
      <c r="F634" t="str">
        <f>IF(Table1[[#This Row],[Age]]&lt;=25,"Young",IF(Table1[[#This Row],[Age]]&gt;55,"Old",IF(Table1[[#This Row],[Age]]&gt;25,"Middle","Na")))</f>
        <v>Middle</v>
      </c>
      <c r="G634" t="s">
        <v>11</v>
      </c>
      <c r="H634">
        <v>4</v>
      </c>
      <c r="I634">
        <v>30</v>
      </c>
      <c r="J634">
        <v>120</v>
      </c>
    </row>
    <row r="635" spans="1:10" x14ac:dyDescent="0.35">
      <c r="A635">
        <v>634</v>
      </c>
      <c r="B635" s="1">
        <v>45207</v>
      </c>
      <c r="C635" t="s">
        <v>647</v>
      </c>
      <c r="D635" t="s">
        <v>10</v>
      </c>
      <c r="E635">
        <v>60</v>
      </c>
      <c r="F635" t="str">
        <f>IF(Table1[[#This Row],[Age]]&lt;=25,"Young",IF(Table1[[#This Row],[Age]]&gt;55,"Old",IF(Table1[[#This Row],[Age]]&gt;25,"Middle","Na")))</f>
        <v>Old</v>
      </c>
      <c r="G635" t="s">
        <v>16</v>
      </c>
      <c r="H635">
        <v>4</v>
      </c>
      <c r="I635">
        <v>500</v>
      </c>
      <c r="J635">
        <v>2000</v>
      </c>
    </row>
    <row r="636" spans="1:10" x14ac:dyDescent="0.35">
      <c r="A636">
        <v>635</v>
      </c>
      <c r="B636" s="1">
        <v>45155</v>
      </c>
      <c r="C636" t="s">
        <v>648</v>
      </c>
      <c r="D636" t="s">
        <v>13</v>
      </c>
      <c r="E636">
        <v>63</v>
      </c>
      <c r="F636" t="str">
        <f>IF(Table1[[#This Row],[Age]]&lt;=25,"Young",IF(Table1[[#This Row],[Age]]&gt;55,"Old",IF(Table1[[#This Row],[Age]]&gt;25,"Middle","Na")))</f>
        <v>Old</v>
      </c>
      <c r="G636" t="s">
        <v>16</v>
      </c>
      <c r="H636">
        <v>3</v>
      </c>
      <c r="I636">
        <v>300</v>
      </c>
      <c r="J636">
        <v>900</v>
      </c>
    </row>
    <row r="637" spans="1:10" x14ac:dyDescent="0.35">
      <c r="A637">
        <v>636</v>
      </c>
      <c r="B637" s="1">
        <v>45008</v>
      </c>
      <c r="C637" t="s">
        <v>649</v>
      </c>
      <c r="D637" t="s">
        <v>13</v>
      </c>
      <c r="E637">
        <v>21</v>
      </c>
      <c r="F637" t="str">
        <f>IF(Table1[[#This Row],[Age]]&lt;=25,"Young",IF(Table1[[#This Row],[Age]]&gt;55,"Old",IF(Table1[[#This Row],[Age]]&gt;25,"Middle","Na")))</f>
        <v>Young</v>
      </c>
      <c r="G637" t="s">
        <v>11</v>
      </c>
      <c r="H637">
        <v>3</v>
      </c>
      <c r="I637">
        <v>500</v>
      </c>
      <c r="J637">
        <v>1500</v>
      </c>
    </row>
    <row r="638" spans="1:10" x14ac:dyDescent="0.35">
      <c r="A638">
        <v>637</v>
      </c>
      <c r="B638" s="1">
        <v>45170</v>
      </c>
      <c r="C638" t="s">
        <v>650</v>
      </c>
      <c r="D638" t="s">
        <v>10</v>
      </c>
      <c r="E638">
        <v>43</v>
      </c>
      <c r="F638" t="str">
        <f>IF(Table1[[#This Row],[Age]]&lt;=25,"Young",IF(Table1[[#This Row],[Age]]&gt;55,"Old",IF(Table1[[#This Row],[Age]]&gt;25,"Middle","Na")))</f>
        <v>Middle</v>
      </c>
      <c r="G638" t="s">
        <v>14</v>
      </c>
      <c r="H638">
        <v>2</v>
      </c>
      <c r="I638">
        <v>300</v>
      </c>
      <c r="J638">
        <v>600</v>
      </c>
    </row>
    <row r="639" spans="1:10" x14ac:dyDescent="0.35">
      <c r="A639">
        <v>638</v>
      </c>
      <c r="B639" s="1">
        <v>45157</v>
      </c>
      <c r="C639" t="s">
        <v>651</v>
      </c>
      <c r="D639" t="s">
        <v>10</v>
      </c>
      <c r="E639">
        <v>46</v>
      </c>
      <c r="F639" t="str">
        <f>IF(Table1[[#This Row],[Age]]&lt;=25,"Young",IF(Table1[[#This Row],[Age]]&gt;55,"Old",IF(Table1[[#This Row],[Age]]&gt;25,"Middle","Na")))</f>
        <v>Middle</v>
      </c>
      <c r="G639" t="s">
        <v>16</v>
      </c>
      <c r="H639">
        <v>1</v>
      </c>
      <c r="I639">
        <v>500</v>
      </c>
      <c r="J639">
        <v>500</v>
      </c>
    </row>
    <row r="640" spans="1:10" x14ac:dyDescent="0.35">
      <c r="A640">
        <v>639</v>
      </c>
      <c r="B640" s="1">
        <v>45059</v>
      </c>
      <c r="C640" t="s">
        <v>652</v>
      </c>
      <c r="D640" t="s">
        <v>13</v>
      </c>
      <c r="E640">
        <v>62</v>
      </c>
      <c r="F640" t="str">
        <f>IF(Table1[[#This Row],[Age]]&lt;=25,"Young",IF(Table1[[#This Row],[Age]]&gt;55,"Old",IF(Table1[[#This Row],[Age]]&gt;25,"Middle","Na")))</f>
        <v>Old</v>
      </c>
      <c r="G640" t="s">
        <v>11</v>
      </c>
      <c r="H640">
        <v>4</v>
      </c>
      <c r="I640">
        <v>50</v>
      </c>
      <c r="J640">
        <v>200</v>
      </c>
    </row>
    <row r="641" spans="1:10" x14ac:dyDescent="0.35">
      <c r="A641">
        <v>640</v>
      </c>
      <c r="B641" s="1">
        <v>45053</v>
      </c>
      <c r="C641" t="s">
        <v>653</v>
      </c>
      <c r="D641" t="s">
        <v>13</v>
      </c>
      <c r="E641">
        <v>51</v>
      </c>
      <c r="F641" t="str">
        <f>IF(Table1[[#This Row],[Age]]&lt;=25,"Young",IF(Table1[[#This Row],[Age]]&gt;55,"Old",IF(Table1[[#This Row],[Age]]&gt;25,"Middle","Na")))</f>
        <v>Middle</v>
      </c>
      <c r="G641" t="s">
        <v>16</v>
      </c>
      <c r="H641">
        <v>4</v>
      </c>
      <c r="I641">
        <v>30</v>
      </c>
      <c r="J641">
        <v>120</v>
      </c>
    </row>
    <row r="642" spans="1:10" x14ac:dyDescent="0.35">
      <c r="A642">
        <v>641</v>
      </c>
      <c r="B642" s="1">
        <v>45253</v>
      </c>
      <c r="C642" t="s">
        <v>654</v>
      </c>
      <c r="D642" t="s">
        <v>13</v>
      </c>
      <c r="E642">
        <v>40</v>
      </c>
      <c r="F642" t="str">
        <f>IF(Table1[[#This Row],[Age]]&lt;=25,"Young",IF(Table1[[#This Row],[Age]]&gt;55,"Old",IF(Table1[[#This Row],[Age]]&gt;25,"Middle","Na")))</f>
        <v>Middle</v>
      </c>
      <c r="G642" t="s">
        <v>16</v>
      </c>
      <c r="H642">
        <v>1</v>
      </c>
      <c r="I642">
        <v>300</v>
      </c>
      <c r="J642">
        <v>300</v>
      </c>
    </row>
    <row r="643" spans="1:10" x14ac:dyDescent="0.35">
      <c r="A643">
        <v>642</v>
      </c>
      <c r="B643" s="1">
        <v>45068</v>
      </c>
      <c r="C643" t="s">
        <v>655</v>
      </c>
      <c r="D643" t="s">
        <v>13</v>
      </c>
      <c r="E643">
        <v>54</v>
      </c>
      <c r="F643" t="str">
        <f>IF(Table1[[#This Row],[Age]]&lt;=25,"Young",IF(Table1[[#This Row],[Age]]&gt;55,"Old",IF(Table1[[#This Row],[Age]]&gt;25,"Middle","Na")))</f>
        <v>Middle</v>
      </c>
      <c r="G643" t="s">
        <v>14</v>
      </c>
      <c r="H643">
        <v>4</v>
      </c>
      <c r="I643">
        <v>25</v>
      </c>
      <c r="J643">
        <v>100</v>
      </c>
    </row>
    <row r="644" spans="1:10" x14ac:dyDescent="0.35">
      <c r="A644">
        <v>643</v>
      </c>
      <c r="B644" s="1">
        <v>45193</v>
      </c>
      <c r="C644" t="s">
        <v>656</v>
      </c>
      <c r="D644" t="s">
        <v>13</v>
      </c>
      <c r="E644">
        <v>28</v>
      </c>
      <c r="F644" t="str">
        <f>IF(Table1[[#This Row],[Age]]&lt;=25,"Young",IF(Table1[[#This Row],[Age]]&gt;55,"Old",IF(Table1[[#This Row],[Age]]&gt;25,"Middle","Na")))</f>
        <v>Middle</v>
      </c>
      <c r="G644" t="s">
        <v>16</v>
      </c>
      <c r="H644">
        <v>3</v>
      </c>
      <c r="I644">
        <v>30</v>
      </c>
      <c r="J644">
        <v>90</v>
      </c>
    </row>
    <row r="645" spans="1:10" x14ac:dyDescent="0.35">
      <c r="A645">
        <v>644</v>
      </c>
      <c r="B645" s="1">
        <v>45175</v>
      </c>
      <c r="C645" t="s">
        <v>657</v>
      </c>
      <c r="D645" t="s">
        <v>10</v>
      </c>
      <c r="E645">
        <v>23</v>
      </c>
      <c r="F645" t="str">
        <f>IF(Table1[[#This Row],[Age]]&lt;=25,"Young",IF(Table1[[#This Row],[Age]]&gt;55,"Old",IF(Table1[[#This Row],[Age]]&gt;25,"Middle","Na")))</f>
        <v>Young</v>
      </c>
      <c r="G645" t="s">
        <v>11</v>
      </c>
      <c r="H645">
        <v>3</v>
      </c>
      <c r="I645">
        <v>25</v>
      </c>
      <c r="J645">
        <v>75</v>
      </c>
    </row>
    <row r="646" spans="1:10" x14ac:dyDescent="0.35">
      <c r="A646">
        <v>645</v>
      </c>
      <c r="B646" s="1">
        <v>45247</v>
      </c>
      <c r="C646" t="s">
        <v>658</v>
      </c>
      <c r="D646" t="s">
        <v>13</v>
      </c>
      <c r="E646">
        <v>35</v>
      </c>
      <c r="F646" t="str">
        <f>IF(Table1[[#This Row],[Age]]&lt;=25,"Young",IF(Table1[[#This Row],[Age]]&gt;55,"Old",IF(Table1[[#This Row],[Age]]&gt;25,"Middle","Na")))</f>
        <v>Middle</v>
      </c>
      <c r="G646" t="s">
        <v>16</v>
      </c>
      <c r="H646">
        <v>4</v>
      </c>
      <c r="I646">
        <v>30</v>
      </c>
      <c r="J646">
        <v>120</v>
      </c>
    </row>
    <row r="647" spans="1:10" x14ac:dyDescent="0.35">
      <c r="A647">
        <v>646</v>
      </c>
      <c r="B647" s="1">
        <v>45049</v>
      </c>
      <c r="C647" t="s">
        <v>659</v>
      </c>
      <c r="D647" t="s">
        <v>10</v>
      </c>
      <c r="E647">
        <v>38</v>
      </c>
      <c r="F647" t="str">
        <f>IF(Table1[[#This Row],[Age]]&lt;=25,"Young",IF(Table1[[#This Row],[Age]]&gt;55,"Old",IF(Table1[[#This Row],[Age]]&gt;25,"Middle","Na")))</f>
        <v>Middle</v>
      </c>
      <c r="G647" t="s">
        <v>14</v>
      </c>
      <c r="H647">
        <v>3</v>
      </c>
      <c r="I647">
        <v>30</v>
      </c>
      <c r="J647">
        <v>90</v>
      </c>
    </row>
    <row r="648" spans="1:10" x14ac:dyDescent="0.35">
      <c r="A648">
        <v>647</v>
      </c>
      <c r="B648" s="1">
        <v>45067</v>
      </c>
      <c r="C648" t="s">
        <v>660</v>
      </c>
      <c r="D648" t="s">
        <v>10</v>
      </c>
      <c r="E648">
        <v>59</v>
      </c>
      <c r="F648" t="str">
        <f>IF(Table1[[#This Row],[Age]]&lt;=25,"Young",IF(Table1[[#This Row],[Age]]&gt;55,"Old",IF(Table1[[#This Row],[Age]]&gt;25,"Middle","Na")))</f>
        <v>Old</v>
      </c>
      <c r="G648" t="s">
        <v>14</v>
      </c>
      <c r="H648">
        <v>3</v>
      </c>
      <c r="I648">
        <v>500</v>
      </c>
      <c r="J648">
        <v>1500</v>
      </c>
    </row>
    <row r="649" spans="1:10" x14ac:dyDescent="0.35">
      <c r="A649">
        <v>648</v>
      </c>
      <c r="B649" s="1">
        <v>45152</v>
      </c>
      <c r="C649" t="s">
        <v>661</v>
      </c>
      <c r="D649" t="s">
        <v>10</v>
      </c>
      <c r="E649">
        <v>53</v>
      </c>
      <c r="F649" t="str">
        <f>IF(Table1[[#This Row],[Age]]&lt;=25,"Young",IF(Table1[[#This Row],[Age]]&gt;55,"Old",IF(Table1[[#This Row],[Age]]&gt;25,"Middle","Na")))</f>
        <v>Middle</v>
      </c>
      <c r="G649" t="s">
        <v>11</v>
      </c>
      <c r="H649">
        <v>4</v>
      </c>
      <c r="I649">
        <v>300</v>
      </c>
      <c r="J649">
        <v>1200</v>
      </c>
    </row>
    <row r="650" spans="1:10" x14ac:dyDescent="0.35">
      <c r="A650">
        <v>649</v>
      </c>
      <c r="B650" s="1">
        <v>44966</v>
      </c>
      <c r="C650" t="s">
        <v>662</v>
      </c>
      <c r="D650" t="s">
        <v>13</v>
      </c>
      <c r="E650">
        <v>58</v>
      </c>
      <c r="F650" t="str">
        <f>IF(Table1[[#This Row],[Age]]&lt;=25,"Young",IF(Table1[[#This Row],[Age]]&gt;55,"Old",IF(Table1[[#This Row],[Age]]&gt;25,"Middle","Na")))</f>
        <v>Old</v>
      </c>
      <c r="G650" t="s">
        <v>14</v>
      </c>
      <c r="H650">
        <v>2</v>
      </c>
      <c r="I650">
        <v>300</v>
      </c>
      <c r="J650">
        <v>600</v>
      </c>
    </row>
    <row r="651" spans="1:10" x14ac:dyDescent="0.35">
      <c r="A651">
        <v>650</v>
      </c>
      <c r="B651" s="1">
        <v>45292</v>
      </c>
      <c r="C651" t="s">
        <v>663</v>
      </c>
      <c r="D651" t="s">
        <v>10</v>
      </c>
      <c r="E651">
        <v>55</v>
      </c>
      <c r="F651" t="str">
        <f>IF(Table1[[#This Row],[Age]]&lt;=25,"Young",IF(Table1[[#This Row],[Age]]&gt;55,"Old",IF(Table1[[#This Row],[Age]]&gt;25,"Middle","Na")))</f>
        <v>Middle</v>
      </c>
      <c r="G651" t="s">
        <v>16</v>
      </c>
      <c r="H651">
        <v>1</v>
      </c>
      <c r="I651">
        <v>30</v>
      </c>
      <c r="J651">
        <v>30</v>
      </c>
    </row>
    <row r="652" spans="1:10" x14ac:dyDescent="0.35">
      <c r="A652">
        <v>651</v>
      </c>
      <c r="B652" s="1">
        <v>45073</v>
      </c>
      <c r="C652" t="s">
        <v>664</v>
      </c>
      <c r="D652" t="s">
        <v>10</v>
      </c>
      <c r="E652">
        <v>51</v>
      </c>
      <c r="F652" t="str">
        <f>IF(Table1[[#This Row],[Age]]&lt;=25,"Young",IF(Table1[[#This Row],[Age]]&gt;55,"Old",IF(Table1[[#This Row],[Age]]&gt;25,"Middle","Na")))</f>
        <v>Middle</v>
      </c>
      <c r="G652" t="s">
        <v>14</v>
      </c>
      <c r="H652">
        <v>3</v>
      </c>
      <c r="I652">
        <v>50</v>
      </c>
      <c r="J652">
        <v>150</v>
      </c>
    </row>
    <row r="653" spans="1:10" x14ac:dyDescent="0.35">
      <c r="A653">
        <v>652</v>
      </c>
      <c r="B653" s="1">
        <v>45047</v>
      </c>
      <c r="C653" t="s">
        <v>665</v>
      </c>
      <c r="D653" t="s">
        <v>13</v>
      </c>
      <c r="E653">
        <v>34</v>
      </c>
      <c r="F653" t="str">
        <f>IF(Table1[[#This Row],[Age]]&lt;=25,"Young",IF(Table1[[#This Row],[Age]]&gt;55,"Old",IF(Table1[[#This Row],[Age]]&gt;25,"Middle","Na")))</f>
        <v>Middle</v>
      </c>
      <c r="G653" t="s">
        <v>11</v>
      </c>
      <c r="H653">
        <v>2</v>
      </c>
      <c r="I653">
        <v>50</v>
      </c>
      <c r="J653">
        <v>100</v>
      </c>
    </row>
    <row r="654" spans="1:10" x14ac:dyDescent="0.35">
      <c r="A654">
        <v>653</v>
      </c>
      <c r="B654" s="1">
        <v>45066</v>
      </c>
      <c r="C654" t="s">
        <v>666</v>
      </c>
      <c r="D654" t="s">
        <v>10</v>
      </c>
      <c r="E654">
        <v>54</v>
      </c>
      <c r="F654" t="str">
        <f>IF(Table1[[#This Row],[Age]]&lt;=25,"Young",IF(Table1[[#This Row],[Age]]&gt;55,"Old",IF(Table1[[#This Row],[Age]]&gt;25,"Middle","Na")))</f>
        <v>Middle</v>
      </c>
      <c r="G654" t="s">
        <v>14</v>
      </c>
      <c r="H654">
        <v>3</v>
      </c>
      <c r="I654">
        <v>25</v>
      </c>
      <c r="J654">
        <v>75</v>
      </c>
    </row>
    <row r="655" spans="1:10" x14ac:dyDescent="0.35">
      <c r="A655">
        <v>654</v>
      </c>
      <c r="B655" s="1">
        <v>45098</v>
      </c>
      <c r="C655" t="s">
        <v>667</v>
      </c>
      <c r="D655" t="s">
        <v>10</v>
      </c>
      <c r="E655">
        <v>42</v>
      </c>
      <c r="F655" t="str">
        <f>IF(Table1[[#This Row],[Age]]&lt;=25,"Young",IF(Table1[[#This Row],[Age]]&gt;55,"Old",IF(Table1[[#This Row],[Age]]&gt;25,"Middle","Na")))</f>
        <v>Middle</v>
      </c>
      <c r="G655" t="s">
        <v>14</v>
      </c>
      <c r="H655">
        <v>3</v>
      </c>
      <c r="I655">
        <v>25</v>
      </c>
      <c r="J655">
        <v>75</v>
      </c>
    </row>
    <row r="656" spans="1:10" x14ac:dyDescent="0.35">
      <c r="A656">
        <v>655</v>
      </c>
      <c r="B656" s="1">
        <v>45090</v>
      </c>
      <c r="C656" t="s">
        <v>668</v>
      </c>
      <c r="D656" t="s">
        <v>13</v>
      </c>
      <c r="E656">
        <v>55</v>
      </c>
      <c r="F656" t="str">
        <f>IF(Table1[[#This Row],[Age]]&lt;=25,"Young",IF(Table1[[#This Row],[Age]]&gt;55,"Old",IF(Table1[[#This Row],[Age]]&gt;25,"Middle","Na")))</f>
        <v>Middle</v>
      </c>
      <c r="G656" t="s">
        <v>14</v>
      </c>
      <c r="H656">
        <v>1</v>
      </c>
      <c r="I656">
        <v>500</v>
      </c>
      <c r="J656">
        <v>500</v>
      </c>
    </row>
    <row r="657" spans="1:10" x14ac:dyDescent="0.35">
      <c r="A657">
        <v>656</v>
      </c>
      <c r="B657" s="1">
        <v>45203</v>
      </c>
      <c r="C657" t="s">
        <v>669</v>
      </c>
      <c r="D657" t="s">
        <v>10</v>
      </c>
      <c r="E657">
        <v>29</v>
      </c>
      <c r="F657" t="str">
        <f>IF(Table1[[#This Row],[Age]]&lt;=25,"Young",IF(Table1[[#This Row],[Age]]&gt;55,"Old",IF(Table1[[#This Row],[Age]]&gt;25,"Middle","Na")))</f>
        <v>Middle</v>
      </c>
      <c r="G657" t="s">
        <v>11</v>
      </c>
      <c r="H657">
        <v>3</v>
      </c>
      <c r="I657">
        <v>30</v>
      </c>
      <c r="J657">
        <v>90</v>
      </c>
    </row>
    <row r="658" spans="1:10" x14ac:dyDescent="0.35">
      <c r="A658">
        <v>657</v>
      </c>
      <c r="B658" s="1">
        <v>44968</v>
      </c>
      <c r="C658" t="s">
        <v>670</v>
      </c>
      <c r="D658" t="s">
        <v>10</v>
      </c>
      <c r="E658">
        <v>40</v>
      </c>
      <c r="F658" t="str">
        <f>IF(Table1[[#This Row],[Age]]&lt;=25,"Young",IF(Table1[[#This Row],[Age]]&gt;55,"Old",IF(Table1[[#This Row],[Age]]&gt;25,"Middle","Na")))</f>
        <v>Middle</v>
      </c>
      <c r="G658" t="s">
        <v>14</v>
      </c>
      <c r="H658">
        <v>1</v>
      </c>
      <c r="I658">
        <v>25</v>
      </c>
      <c r="J658">
        <v>25</v>
      </c>
    </row>
    <row r="659" spans="1:10" x14ac:dyDescent="0.35">
      <c r="A659">
        <v>658</v>
      </c>
      <c r="B659" s="1">
        <v>44997</v>
      </c>
      <c r="C659" t="s">
        <v>671</v>
      </c>
      <c r="D659" t="s">
        <v>10</v>
      </c>
      <c r="E659">
        <v>59</v>
      </c>
      <c r="F659" t="str">
        <f>IF(Table1[[#This Row],[Age]]&lt;=25,"Young",IF(Table1[[#This Row],[Age]]&gt;55,"Old",IF(Table1[[#This Row],[Age]]&gt;25,"Middle","Na")))</f>
        <v>Old</v>
      </c>
      <c r="G659" t="s">
        <v>14</v>
      </c>
      <c r="H659">
        <v>1</v>
      </c>
      <c r="I659">
        <v>25</v>
      </c>
      <c r="J659">
        <v>25</v>
      </c>
    </row>
    <row r="660" spans="1:10" x14ac:dyDescent="0.35">
      <c r="A660">
        <v>659</v>
      </c>
      <c r="B660" s="1">
        <v>45004</v>
      </c>
      <c r="C660" t="s">
        <v>672</v>
      </c>
      <c r="D660" t="s">
        <v>13</v>
      </c>
      <c r="E660">
        <v>39</v>
      </c>
      <c r="F660" t="str">
        <f>IF(Table1[[#This Row],[Age]]&lt;=25,"Young",IF(Table1[[#This Row],[Age]]&gt;55,"Old",IF(Table1[[#This Row],[Age]]&gt;25,"Middle","Na")))</f>
        <v>Middle</v>
      </c>
      <c r="G660" t="s">
        <v>16</v>
      </c>
      <c r="H660">
        <v>1</v>
      </c>
      <c r="I660">
        <v>30</v>
      </c>
      <c r="J660">
        <v>30</v>
      </c>
    </row>
    <row r="661" spans="1:10" x14ac:dyDescent="0.35">
      <c r="A661">
        <v>660</v>
      </c>
      <c r="B661" s="1">
        <v>45045</v>
      </c>
      <c r="C661" t="s">
        <v>673</v>
      </c>
      <c r="D661" t="s">
        <v>13</v>
      </c>
      <c r="E661">
        <v>38</v>
      </c>
      <c r="F661" t="str">
        <f>IF(Table1[[#This Row],[Age]]&lt;=25,"Young",IF(Table1[[#This Row],[Age]]&gt;55,"Old",IF(Table1[[#This Row],[Age]]&gt;25,"Middle","Na")))</f>
        <v>Middle</v>
      </c>
      <c r="G661" t="s">
        <v>11</v>
      </c>
      <c r="H661">
        <v>2</v>
      </c>
      <c r="I661">
        <v>500</v>
      </c>
      <c r="J661">
        <v>1000</v>
      </c>
    </row>
    <row r="662" spans="1:10" x14ac:dyDescent="0.35">
      <c r="A662">
        <v>661</v>
      </c>
      <c r="B662" s="1">
        <v>45123</v>
      </c>
      <c r="C662" t="s">
        <v>674</v>
      </c>
      <c r="D662" t="s">
        <v>13</v>
      </c>
      <c r="E662">
        <v>44</v>
      </c>
      <c r="F662" t="str">
        <f>IF(Table1[[#This Row],[Age]]&lt;=25,"Young",IF(Table1[[#This Row],[Age]]&gt;55,"Old",IF(Table1[[#This Row],[Age]]&gt;25,"Middle","Na")))</f>
        <v>Middle</v>
      </c>
      <c r="G662" t="s">
        <v>14</v>
      </c>
      <c r="H662">
        <v>4</v>
      </c>
      <c r="I662">
        <v>25</v>
      </c>
      <c r="J662">
        <v>100</v>
      </c>
    </row>
    <row r="663" spans="1:10" x14ac:dyDescent="0.35">
      <c r="A663">
        <v>662</v>
      </c>
      <c r="B663" s="1">
        <v>45282</v>
      </c>
      <c r="C663" t="s">
        <v>675</v>
      </c>
      <c r="D663" t="s">
        <v>10</v>
      </c>
      <c r="E663">
        <v>48</v>
      </c>
      <c r="F663" t="str">
        <f>IF(Table1[[#This Row],[Age]]&lt;=25,"Young",IF(Table1[[#This Row],[Age]]&gt;55,"Old",IF(Table1[[#This Row],[Age]]&gt;25,"Middle","Na")))</f>
        <v>Middle</v>
      </c>
      <c r="G663" t="s">
        <v>11</v>
      </c>
      <c r="H663">
        <v>2</v>
      </c>
      <c r="I663">
        <v>500</v>
      </c>
      <c r="J663">
        <v>1000</v>
      </c>
    </row>
    <row r="664" spans="1:10" x14ac:dyDescent="0.35">
      <c r="A664">
        <v>663</v>
      </c>
      <c r="B664" s="1">
        <v>45005</v>
      </c>
      <c r="C664" t="s">
        <v>676</v>
      </c>
      <c r="D664" t="s">
        <v>10</v>
      </c>
      <c r="E664">
        <v>23</v>
      </c>
      <c r="F664" t="str">
        <f>IF(Table1[[#This Row],[Age]]&lt;=25,"Young",IF(Table1[[#This Row],[Age]]&gt;55,"Old",IF(Table1[[#This Row],[Age]]&gt;25,"Middle","Na")))</f>
        <v>Young</v>
      </c>
      <c r="G664" t="s">
        <v>14</v>
      </c>
      <c r="H664">
        <v>4</v>
      </c>
      <c r="I664">
        <v>300</v>
      </c>
      <c r="J664">
        <v>1200</v>
      </c>
    </row>
    <row r="665" spans="1:10" x14ac:dyDescent="0.35">
      <c r="A665">
        <v>664</v>
      </c>
      <c r="B665" s="1">
        <v>45288</v>
      </c>
      <c r="C665" t="s">
        <v>677</v>
      </c>
      <c r="D665" t="s">
        <v>13</v>
      </c>
      <c r="E665">
        <v>44</v>
      </c>
      <c r="F665" t="str">
        <f>IF(Table1[[#This Row],[Age]]&lt;=25,"Young",IF(Table1[[#This Row],[Age]]&gt;55,"Old",IF(Table1[[#This Row],[Age]]&gt;25,"Middle","Na")))</f>
        <v>Middle</v>
      </c>
      <c r="G665" t="s">
        <v>14</v>
      </c>
      <c r="H665">
        <v>4</v>
      </c>
      <c r="I665">
        <v>500</v>
      </c>
      <c r="J665">
        <v>2000</v>
      </c>
    </row>
    <row r="666" spans="1:10" x14ac:dyDescent="0.35">
      <c r="A666">
        <v>665</v>
      </c>
      <c r="B666" s="1">
        <v>45036</v>
      </c>
      <c r="C666" t="s">
        <v>678</v>
      </c>
      <c r="D666" t="s">
        <v>10</v>
      </c>
      <c r="E666">
        <v>57</v>
      </c>
      <c r="F666" t="str">
        <f>IF(Table1[[#This Row],[Age]]&lt;=25,"Young",IF(Table1[[#This Row],[Age]]&gt;55,"Old",IF(Table1[[#This Row],[Age]]&gt;25,"Middle","Na")))</f>
        <v>Old</v>
      </c>
      <c r="G666" t="s">
        <v>14</v>
      </c>
      <c r="H666">
        <v>1</v>
      </c>
      <c r="I666">
        <v>50</v>
      </c>
      <c r="J666">
        <v>50</v>
      </c>
    </row>
    <row r="667" spans="1:10" x14ac:dyDescent="0.35">
      <c r="A667">
        <v>666</v>
      </c>
      <c r="B667" s="1">
        <v>44959</v>
      </c>
      <c r="C667" t="s">
        <v>679</v>
      </c>
      <c r="D667" t="s">
        <v>10</v>
      </c>
      <c r="E667">
        <v>51</v>
      </c>
      <c r="F667" t="str">
        <f>IF(Table1[[#This Row],[Age]]&lt;=25,"Young",IF(Table1[[#This Row],[Age]]&gt;55,"Old",IF(Table1[[#This Row],[Age]]&gt;25,"Middle","Na")))</f>
        <v>Middle</v>
      </c>
      <c r="G667" t="s">
        <v>16</v>
      </c>
      <c r="H667">
        <v>3</v>
      </c>
      <c r="I667">
        <v>50</v>
      </c>
      <c r="J667">
        <v>150</v>
      </c>
    </row>
    <row r="668" spans="1:10" x14ac:dyDescent="0.35">
      <c r="A668">
        <v>667</v>
      </c>
      <c r="B668" s="1">
        <v>45139</v>
      </c>
      <c r="C668" t="s">
        <v>680</v>
      </c>
      <c r="D668" t="s">
        <v>13</v>
      </c>
      <c r="E668">
        <v>29</v>
      </c>
      <c r="F668" t="str">
        <f>IF(Table1[[#This Row],[Age]]&lt;=25,"Young",IF(Table1[[#This Row],[Age]]&gt;55,"Old",IF(Table1[[#This Row],[Age]]&gt;25,"Middle","Na")))</f>
        <v>Middle</v>
      </c>
      <c r="G668" t="s">
        <v>16</v>
      </c>
      <c r="H668">
        <v>1</v>
      </c>
      <c r="I668">
        <v>500</v>
      </c>
      <c r="J668">
        <v>500</v>
      </c>
    </row>
    <row r="669" spans="1:10" x14ac:dyDescent="0.35">
      <c r="A669">
        <v>668</v>
      </c>
      <c r="B669" s="1">
        <v>45135</v>
      </c>
      <c r="C669" t="s">
        <v>681</v>
      </c>
      <c r="D669" t="s">
        <v>13</v>
      </c>
      <c r="E669">
        <v>62</v>
      </c>
      <c r="F669" t="str">
        <f>IF(Table1[[#This Row],[Age]]&lt;=25,"Young",IF(Table1[[#This Row],[Age]]&gt;55,"Old",IF(Table1[[#This Row],[Age]]&gt;25,"Middle","Na")))</f>
        <v>Old</v>
      </c>
      <c r="G669" t="s">
        <v>16</v>
      </c>
      <c r="H669">
        <v>3</v>
      </c>
      <c r="I669">
        <v>50</v>
      </c>
      <c r="J669">
        <v>150</v>
      </c>
    </row>
    <row r="670" spans="1:10" x14ac:dyDescent="0.35">
      <c r="A670">
        <v>669</v>
      </c>
      <c r="B670" s="1">
        <v>45096</v>
      </c>
      <c r="C670" t="s">
        <v>682</v>
      </c>
      <c r="D670" t="s">
        <v>10</v>
      </c>
      <c r="E670">
        <v>24</v>
      </c>
      <c r="F670" t="str">
        <f>IF(Table1[[#This Row],[Age]]&lt;=25,"Young",IF(Table1[[#This Row],[Age]]&gt;55,"Old",IF(Table1[[#This Row],[Age]]&gt;25,"Middle","Na")))</f>
        <v>Young</v>
      </c>
      <c r="G670" t="s">
        <v>11</v>
      </c>
      <c r="H670">
        <v>4</v>
      </c>
      <c r="I670">
        <v>300</v>
      </c>
      <c r="J670">
        <v>1200</v>
      </c>
    </row>
    <row r="671" spans="1:10" x14ac:dyDescent="0.35">
      <c r="A671">
        <v>670</v>
      </c>
      <c r="B671" s="1">
        <v>45204</v>
      </c>
      <c r="C671" t="s">
        <v>683</v>
      </c>
      <c r="D671" t="s">
        <v>10</v>
      </c>
      <c r="E671">
        <v>27</v>
      </c>
      <c r="F671" t="str">
        <f>IF(Table1[[#This Row],[Age]]&lt;=25,"Young",IF(Table1[[#This Row],[Age]]&gt;55,"Old",IF(Table1[[#This Row],[Age]]&gt;25,"Middle","Na")))</f>
        <v>Middle</v>
      </c>
      <c r="G671" t="s">
        <v>11</v>
      </c>
      <c r="H671">
        <v>1</v>
      </c>
      <c r="I671">
        <v>30</v>
      </c>
      <c r="J671">
        <v>30</v>
      </c>
    </row>
    <row r="672" spans="1:10" x14ac:dyDescent="0.35">
      <c r="A672">
        <v>671</v>
      </c>
      <c r="B672" s="1">
        <v>45165</v>
      </c>
      <c r="C672" t="s">
        <v>684</v>
      </c>
      <c r="D672" t="s">
        <v>10</v>
      </c>
      <c r="E672">
        <v>62</v>
      </c>
      <c r="F672" t="str">
        <f>IF(Table1[[#This Row],[Age]]&lt;=25,"Young",IF(Table1[[#This Row],[Age]]&gt;55,"Old",IF(Table1[[#This Row],[Age]]&gt;25,"Middle","Na")))</f>
        <v>Old</v>
      </c>
      <c r="G672" t="s">
        <v>16</v>
      </c>
      <c r="H672">
        <v>3</v>
      </c>
      <c r="I672">
        <v>50</v>
      </c>
      <c r="J672">
        <v>150</v>
      </c>
    </row>
    <row r="673" spans="1:10" x14ac:dyDescent="0.35">
      <c r="A673">
        <v>672</v>
      </c>
      <c r="B673" s="1">
        <v>45139</v>
      </c>
      <c r="C673" t="s">
        <v>685</v>
      </c>
      <c r="D673" t="s">
        <v>13</v>
      </c>
      <c r="E673">
        <v>34</v>
      </c>
      <c r="F673" t="str">
        <f>IF(Table1[[#This Row],[Age]]&lt;=25,"Young",IF(Table1[[#This Row],[Age]]&gt;55,"Old",IF(Table1[[#This Row],[Age]]&gt;25,"Middle","Na")))</f>
        <v>Middle</v>
      </c>
      <c r="G673" t="s">
        <v>11</v>
      </c>
      <c r="H673">
        <v>2</v>
      </c>
      <c r="I673">
        <v>50</v>
      </c>
      <c r="J673">
        <v>100</v>
      </c>
    </row>
    <row r="674" spans="1:10" x14ac:dyDescent="0.35">
      <c r="A674">
        <v>673</v>
      </c>
      <c r="B674" s="1">
        <v>44958</v>
      </c>
      <c r="C674" t="s">
        <v>686</v>
      </c>
      <c r="D674" t="s">
        <v>13</v>
      </c>
      <c r="E674">
        <v>43</v>
      </c>
      <c r="F674" t="str">
        <f>IF(Table1[[#This Row],[Age]]&lt;=25,"Young",IF(Table1[[#This Row],[Age]]&gt;55,"Old",IF(Table1[[#This Row],[Age]]&gt;25,"Middle","Na")))</f>
        <v>Middle</v>
      </c>
      <c r="G674" t="s">
        <v>14</v>
      </c>
      <c r="H674">
        <v>3</v>
      </c>
      <c r="I674">
        <v>500</v>
      </c>
      <c r="J674">
        <v>1500</v>
      </c>
    </row>
    <row r="675" spans="1:10" x14ac:dyDescent="0.35">
      <c r="A675">
        <v>674</v>
      </c>
      <c r="B675" s="1">
        <v>45032</v>
      </c>
      <c r="C675" t="s">
        <v>687</v>
      </c>
      <c r="D675" t="s">
        <v>13</v>
      </c>
      <c r="E675">
        <v>38</v>
      </c>
      <c r="F675" t="str">
        <f>IF(Table1[[#This Row],[Age]]&lt;=25,"Young",IF(Table1[[#This Row],[Age]]&gt;55,"Old",IF(Table1[[#This Row],[Age]]&gt;25,"Middle","Na")))</f>
        <v>Middle</v>
      </c>
      <c r="G675" t="s">
        <v>14</v>
      </c>
      <c r="H675">
        <v>1</v>
      </c>
      <c r="I675">
        <v>300</v>
      </c>
      <c r="J675">
        <v>300</v>
      </c>
    </row>
    <row r="676" spans="1:10" x14ac:dyDescent="0.35">
      <c r="A676">
        <v>675</v>
      </c>
      <c r="B676" s="1">
        <v>45142</v>
      </c>
      <c r="C676" t="s">
        <v>688</v>
      </c>
      <c r="D676" t="s">
        <v>13</v>
      </c>
      <c r="E676">
        <v>45</v>
      </c>
      <c r="F676" t="str">
        <f>IF(Table1[[#This Row],[Age]]&lt;=25,"Young",IF(Table1[[#This Row],[Age]]&gt;55,"Old",IF(Table1[[#This Row],[Age]]&gt;25,"Middle","Na")))</f>
        <v>Middle</v>
      </c>
      <c r="G676" t="s">
        <v>14</v>
      </c>
      <c r="H676">
        <v>2</v>
      </c>
      <c r="I676">
        <v>30</v>
      </c>
      <c r="J676">
        <v>60</v>
      </c>
    </row>
    <row r="677" spans="1:10" x14ac:dyDescent="0.35">
      <c r="A677">
        <v>676</v>
      </c>
      <c r="B677" s="1">
        <v>45126</v>
      </c>
      <c r="C677" t="s">
        <v>689</v>
      </c>
      <c r="D677" t="s">
        <v>10</v>
      </c>
      <c r="E677">
        <v>63</v>
      </c>
      <c r="F677" t="str">
        <f>IF(Table1[[#This Row],[Age]]&lt;=25,"Young",IF(Table1[[#This Row],[Age]]&gt;55,"Old",IF(Table1[[#This Row],[Age]]&gt;25,"Middle","Na")))</f>
        <v>Old</v>
      </c>
      <c r="G677" t="s">
        <v>16</v>
      </c>
      <c r="H677">
        <v>3</v>
      </c>
      <c r="I677">
        <v>500</v>
      </c>
      <c r="J677">
        <v>1500</v>
      </c>
    </row>
    <row r="678" spans="1:10" x14ac:dyDescent="0.35">
      <c r="A678">
        <v>677</v>
      </c>
      <c r="B678" s="1">
        <v>45226</v>
      </c>
      <c r="C678" t="s">
        <v>690</v>
      </c>
      <c r="D678" t="s">
        <v>13</v>
      </c>
      <c r="E678">
        <v>19</v>
      </c>
      <c r="F678" t="str">
        <f>IF(Table1[[#This Row],[Age]]&lt;=25,"Young",IF(Table1[[#This Row],[Age]]&gt;55,"Old",IF(Table1[[#This Row],[Age]]&gt;25,"Middle","Na")))</f>
        <v>Young</v>
      </c>
      <c r="G678" t="s">
        <v>11</v>
      </c>
      <c r="H678">
        <v>3</v>
      </c>
      <c r="I678">
        <v>500</v>
      </c>
      <c r="J678">
        <v>1500</v>
      </c>
    </row>
    <row r="679" spans="1:10" x14ac:dyDescent="0.35">
      <c r="A679">
        <v>678</v>
      </c>
      <c r="B679" s="1">
        <v>45283</v>
      </c>
      <c r="C679" t="s">
        <v>691</v>
      </c>
      <c r="D679" t="s">
        <v>13</v>
      </c>
      <c r="E679">
        <v>60</v>
      </c>
      <c r="F679" t="str">
        <f>IF(Table1[[#This Row],[Age]]&lt;=25,"Young",IF(Table1[[#This Row],[Age]]&gt;55,"Old",IF(Table1[[#This Row],[Age]]&gt;25,"Middle","Na")))</f>
        <v>Old</v>
      </c>
      <c r="G679" t="s">
        <v>16</v>
      </c>
      <c r="H679">
        <v>3</v>
      </c>
      <c r="I679">
        <v>300</v>
      </c>
      <c r="J679">
        <v>900</v>
      </c>
    </row>
    <row r="680" spans="1:10" x14ac:dyDescent="0.35">
      <c r="A680">
        <v>679</v>
      </c>
      <c r="B680" s="1">
        <v>44937</v>
      </c>
      <c r="C680" t="s">
        <v>692</v>
      </c>
      <c r="D680" t="s">
        <v>13</v>
      </c>
      <c r="E680">
        <v>18</v>
      </c>
      <c r="F680" t="str">
        <f>IF(Table1[[#This Row],[Age]]&lt;=25,"Young",IF(Table1[[#This Row],[Age]]&gt;55,"Old",IF(Table1[[#This Row],[Age]]&gt;25,"Middle","Na")))</f>
        <v>Young</v>
      </c>
      <c r="G680" t="s">
        <v>11</v>
      </c>
      <c r="H680">
        <v>3</v>
      </c>
      <c r="I680">
        <v>30</v>
      </c>
      <c r="J680">
        <v>90</v>
      </c>
    </row>
    <row r="681" spans="1:10" x14ac:dyDescent="0.35">
      <c r="A681">
        <v>680</v>
      </c>
      <c r="B681" s="1">
        <v>45221</v>
      </c>
      <c r="C681" t="s">
        <v>693</v>
      </c>
      <c r="D681" t="s">
        <v>13</v>
      </c>
      <c r="E681">
        <v>53</v>
      </c>
      <c r="F681" t="str">
        <f>IF(Table1[[#This Row],[Age]]&lt;=25,"Young",IF(Table1[[#This Row],[Age]]&gt;55,"Old",IF(Table1[[#This Row],[Age]]&gt;25,"Middle","Na")))</f>
        <v>Middle</v>
      </c>
      <c r="G681" t="s">
        <v>14</v>
      </c>
      <c r="H681">
        <v>3</v>
      </c>
      <c r="I681">
        <v>300</v>
      </c>
      <c r="J681">
        <v>900</v>
      </c>
    </row>
    <row r="682" spans="1:10" x14ac:dyDescent="0.35">
      <c r="A682">
        <v>681</v>
      </c>
      <c r="B682" s="1">
        <v>45121</v>
      </c>
      <c r="C682" t="s">
        <v>694</v>
      </c>
      <c r="D682" t="s">
        <v>13</v>
      </c>
      <c r="E682">
        <v>43</v>
      </c>
      <c r="F682" t="str">
        <f>IF(Table1[[#This Row],[Age]]&lt;=25,"Young",IF(Table1[[#This Row],[Age]]&gt;55,"Old",IF(Table1[[#This Row],[Age]]&gt;25,"Middle","Na")))</f>
        <v>Middle</v>
      </c>
      <c r="G682" t="s">
        <v>16</v>
      </c>
      <c r="H682">
        <v>2</v>
      </c>
      <c r="I682">
        <v>30</v>
      </c>
      <c r="J682">
        <v>60</v>
      </c>
    </row>
    <row r="683" spans="1:10" x14ac:dyDescent="0.35">
      <c r="A683">
        <v>682</v>
      </c>
      <c r="B683" s="1">
        <v>45171</v>
      </c>
      <c r="C683" t="s">
        <v>695</v>
      </c>
      <c r="D683" t="s">
        <v>10</v>
      </c>
      <c r="E683">
        <v>46</v>
      </c>
      <c r="F683" t="str">
        <f>IF(Table1[[#This Row],[Age]]&lt;=25,"Young",IF(Table1[[#This Row],[Age]]&gt;55,"Old",IF(Table1[[#This Row],[Age]]&gt;25,"Middle","Na")))</f>
        <v>Middle</v>
      </c>
      <c r="G683" t="s">
        <v>11</v>
      </c>
      <c r="H683">
        <v>4</v>
      </c>
      <c r="I683">
        <v>300</v>
      </c>
      <c r="J683">
        <v>1200</v>
      </c>
    </row>
    <row r="684" spans="1:10" x14ac:dyDescent="0.35">
      <c r="A684">
        <v>683</v>
      </c>
      <c r="B684" s="1">
        <v>44930</v>
      </c>
      <c r="C684" t="s">
        <v>696</v>
      </c>
      <c r="D684" t="s">
        <v>10</v>
      </c>
      <c r="E684">
        <v>38</v>
      </c>
      <c r="F684" t="str">
        <f>IF(Table1[[#This Row],[Age]]&lt;=25,"Young",IF(Table1[[#This Row],[Age]]&gt;55,"Old",IF(Table1[[#This Row],[Age]]&gt;25,"Middle","Na")))</f>
        <v>Middle</v>
      </c>
      <c r="G684" t="s">
        <v>11</v>
      </c>
      <c r="H684">
        <v>2</v>
      </c>
      <c r="I684">
        <v>500</v>
      </c>
      <c r="J684">
        <v>1000</v>
      </c>
    </row>
    <row r="685" spans="1:10" x14ac:dyDescent="0.35">
      <c r="A685">
        <v>684</v>
      </c>
      <c r="B685" s="1">
        <v>45107</v>
      </c>
      <c r="C685" t="s">
        <v>697</v>
      </c>
      <c r="D685" t="s">
        <v>13</v>
      </c>
      <c r="E685">
        <v>28</v>
      </c>
      <c r="F685" t="str">
        <f>IF(Table1[[#This Row],[Age]]&lt;=25,"Young",IF(Table1[[#This Row],[Age]]&gt;55,"Old",IF(Table1[[#This Row],[Age]]&gt;25,"Middle","Na")))</f>
        <v>Middle</v>
      </c>
      <c r="G685" t="s">
        <v>14</v>
      </c>
      <c r="H685">
        <v>2</v>
      </c>
      <c r="I685">
        <v>500</v>
      </c>
      <c r="J685">
        <v>1000</v>
      </c>
    </row>
    <row r="686" spans="1:10" x14ac:dyDescent="0.35">
      <c r="A686">
        <v>685</v>
      </c>
      <c r="B686" s="1">
        <v>45079</v>
      </c>
      <c r="C686" t="s">
        <v>698</v>
      </c>
      <c r="D686" t="s">
        <v>10</v>
      </c>
      <c r="E686">
        <v>57</v>
      </c>
      <c r="F686" t="str">
        <f>IF(Table1[[#This Row],[Age]]&lt;=25,"Young",IF(Table1[[#This Row],[Age]]&gt;55,"Old",IF(Table1[[#This Row],[Age]]&gt;25,"Middle","Na")))</f>
        <v>Old</v>
      </c>
      <c r="G686" t="s">
        <v>16</v>
      </c>
      <c r="H686">
        <v>2</v>
      </c>
      <c r="I686">
        <v>25</v>
      </c>
      <c r="J686">
        <v>50</v>
      </c>
    </row>
    <row r="687" spans="1:10" x14ac:dyDescent="0.35">
      <c r="A687">
        <v>686</v>
      </c>
      <c r="B687" s="1">
        <v>45126</v>
      </c>
      <c r="C687" t="s">
        <v>699</v>
      </c>
      <c r="D687" t="s">
        <v>13</v>
      </c>
      <c r="E687">
        <v>28</v>
      </c>
      <c r="F687" t="str">
        <f>IF(Table1[[#This Row],[Age]]&lt;=25,"Young",IF(Table1[[#This Row],[Age]]&gt;55,"Old",IF(Table1[[#This Row],[Age]]&gt;25,"Middle","Na")))</f>
        <v>Middle</v>
      </c>
      <c r="G687" t="s">
        <v>16</v>
      </c>
      <c r="H687">
        <v>4</v>
      </c>
      <c r="I687">
        <v>50</v>
      </c>
      <c r="J687">
        <v>200</v>
      </c>
    </row>
    <row r="688" spans="1:10" x14ac:dyDescent="0.35">
      <c r="A688">
        <v>687</v>
      </c>
      <c r="B688" s="1">
        <v>45141</v>
      </c>
      <c r="C688" t="s">
        <v>700</v>
      </c>
      <c r="D688" t="s">
        <v>13</v>
      </c>
      <c r="E688">
        <v>53</v>
      </c>
      <c r="F688" t="str">
        <f>IF(Table1[[#This Row],[Age]]&lt;=25,"Young",IF(Table1[[#This Row],[Age]]&gt;55,"Old",IF(Table1[[#This Row],[Age]]&gt;25,"Middle","Na")))</f>
        <v>Middle</v>
      </c>
      <c r="G688" t="s">
        <v>16</v>
      </c>
      <c r="H688">
        <v>1</v>
      </c>
      <c r="I688">
        <v>300</v>
      </c>
      <c r="J688">
        <v>300</v>
      </c>
    </row>
    <row r="689" spans="1:10" x14ac:dyDescent="0.35">
      <c r="A689">
        <v>688</v>
      </c>
      <c r="B689" s="1">
        <v>45202</v>
      </c>
      <c r="C689" t="s">
        <v>701</v>
      </c>
      <c r="D689" t="s">
        <v>10</v>
      </c>
      <c r="E689">
        <v>56</v>
      </c>
      <c r="F689" t="str">
        <f>IF(Table1[[#This Row],[Age]]&lt;=25,"Young",IF(Table1[[#This Row],[Age]]&gt;55,"Old",IF(Table1[[#This Row],[Age]]&gt;25,"Middle","Na")))</f>
        <v>Old</v>
      </c>
      <c r="G689" t="s">
        <v>14</v>
      </c>
      <c r="H689">
        <v>4</v>
      </c>
      <c r="I689">
        <v>25</v>
      </c>
      <c r="J689">
        <v>100</v>
      </c>
    </row>
    <row r="690" spans="1:10" x14ac:dyDescent="0.35">
      <c r="A690">
        <v>689</v>
      </c>
      <c r="B690" s="1">
        <v>45206</v>
      </c>
      <c r="C690" t="s">
        <v>702</v>
      </c>
      <c r="D690" t="s">
        <v>10</v>
      </c>
      <c r="E690">
        <v>57</v>
      </c>
      <c r="F690" t="str">
        <f>IF(Table1[[#This Row],[Age]]&lt;=25,"Young",IF(Table1[[#This Row],[Age]]&gt;55,"Old",IF(Table1[[#This Row],[Age]]&gt;25,"Middle","Na")))</f>
        <v>Old</v>
      </c>
      <c r="G690" t="s">
        <v>16</v>
      </c>
      <c r="H690">
        <v>2</v>
      </c>
      <c r="I690">
        <v>50</v>
      </c>
      <c r="J690">
        <v>100</v>
      </c>
    </row>
    <row r="691" spans="1:10" x14ac:dyDescent="0.35">
      <c r="A691">
        <v>690</v>
      </c>
      <c r="B691" s="1">
        <v>45235</v>
      </c>
      <c r="C691" t="s">
        <v>703</v>
      </c>
      <c r="D691" t="s">
        <v>13</v>
      </c>
      <c r="E691">
        <v>52</v>
      </c>
      <c r="F691" t="str">
        <f>IF(Table1[[#This Row],[Age]]&lt;=25,"Young",IF(Table1[[#This Row],[Age]]&gt;55,"Old",IF(Table1[[#This Row],[Age]]&gt;25,"Middle","Na")))</f>
        <v>Middle</v>
      </c>
      <c r="G691" t="s">
        <v>14</v>
      </c>
      <c r="H691">
        <v>3</v>
      </c>
      <c r="I691">
        <v>300</v>
      </c>
      <c r="J691">
        <v>900</v>
      </c>
    </row>
    <row r="692" spans="1:10" x14ac:dyDescent="0.35">
      <c r="A692">
        <v>691</v>
      </c>
      <c r="B692" s="1">
        <v>45039</v>
      </c>
      <c r="C692" t="s">
        <v>704</v>
      </c>
      <c r="D692" t="s">
        <v>13</v>
      </c>
      <c r="E692">
        <v>51</v>
      </c>
      <c r="F692" t="str">
        <f>IF(Table1[[#This Row],[Age]]&lt;=25,"Young",IF(Table1[[#This Row],[Age]]&gt;55,"Old",IF(Table1[[#This Row],[Age]]&gt;25,"Middle","Na")))</f>
        <v>Middle</v>
      </c>
      <c r="G692" t="s">
        <v>14</v>
      </c>
      <c r="H692">
        <v>3</v>
      </c>
      <c r="I692">
        <v>30</v>
      </c>
      <c r="J692">
        <v>90</v>
      </c>
    </row>
    <row r="693" spans="1:10" x14ac:dyDescent="0.35">
      <c r="A693">
        <v>692</v>
      </c>
      <c r="B693" s="1">
        <v>45176</v>
      </c>
      <c r="C693" t="s">
        <v>705</v>
      </c>
      <c r="D693" t="s">
        <v>13</v>
      </c>
      <c r="E693">
        <v>64</v>
      </c>
      <c r="F693" t="str">
        <f>IF(Table1[[#This Row],[Age]]&lt;=25,"Young",IF(Table1[[#This Row],[Age]]&gt;55,"Old",IF(Table1[[#This Row],[Age]]&gt;25,"Middle","Na")))</f>
        <v>Old</v>
      </c>
      <c r="G693" t="s">
        <v>14</v>
      </c>
      <c r="H693">
        <v>2</v>
      </c>
      <c r="I693">
        <v>50</v>
      </c>
      <c r="J693">
        <v>100</v>
      </c>
    </row>
    <row r="694" spans="1:10" x14ac:dyDescent="0.35">
      <c r="A694">
        <v>693</v>
      </c>
      <c r="B694" s="1">
        <v>45039</v>
      </c>
      <c r="C694" t="s">
        <v>706</v>
      </c>
      <c r="D694" t="s">
        <v>10</v>
      </c>
      <c r="E694">
        <v>41</v>
      </c>
      <c r="F694" t="str">
        <f>IF(Table1[[#This Row],[Age]]&lt;=25,"Young",IF(Table1[[#This Row],[Age]]&gt;55,"Old",IF(Table1[[#This Row],[Age]]&gt;25,"Middle","Na")))</f>
        <v>Middle</v>
      </c>
      <c r="G694" t="s">
        <v>11</v>
      </c>
      <c r="H694">
        <v>3</v>
      </c>
      <c r="I694">
        <v>500</v>
      </c>
      <c r="J694">
        <v>1500</v>
      </c>
    </row>
    <row r="695" spans="1:10" x14ac:dyDescent="0.35">
      <c r="A695">
        <v>694</v>
      </c>
      <c r="B695" s="1">
        <v>45066</v>
      </c>
      <c r="C695" t="s">
        <v>707</v>
      </c>
      <c r="D695" t="s">
        <v>13</v>
      </c>
      <c r="E695">
        <v>39</v>
      </c>
      <c r="F695" t="str">
        <f>IF(Table1[[#This Row],[Age]]&lt;=25,"Young",IF(Table1[[#This Row],[Age]]&gt;55,"Old",IF(Table1[[#This Row],[Age]]&gt;25,"Middle","Na")))</f>
        <v>Middle</v>
      </c>
      <c r="G695" t="s">
        <v>16</v>
      </c>
      <c r="H695">
        <v>2</v>
      </c>
      <c r="I695">
        <v>25</v>
      </c>
      <c r="J695">
        <v>50</v>
      </c>
    </row>
    <row r="696" spans="1:10" x14ac:dyDescent="0.35">
      <c r="A696">
        <v>695</v>
      </c>
      <c r="B696" s="1">
        <v>45150</v>
      </c>
      <c r="C696" t="s">
        <v>708</v>
      </c>
      <c r="D696" t="s">
        <v>13</v>
      </c>
      <c r="E696">
        <v>22</v>
      </c>
      <c r="F696" t="str">
        <f>IF(Table1[[#This Row],[Age]]&lt;=25,"Young",IF(Table1[[#This Row],[Age]]&gt;55,"Old",IF(Table1[[#This Row],[Age]]&gt;25,"Middle","Na")))</f>
        <v>Young</v>
      </c>
      <c r="G696" t="s">
        <v>16</v>
      </c>
      <c r="H696">
        <v>3</v>
      </c>
      <c r="I696">
        <v>50</v>
      </c>
      <c r="J696">
        <v>150</v>
      </c>
    </row>
    <row r="697" spans="1:10" x14ac:dyDescent="0.35">
      <c r="A697">
        <v>696</v>
      </c>
      <c r="B697" s="1">
        <v>45175</v>
      </c>
      <c r="C697" t="s">
        <v>709</v>
      </c>
      <c r="D697" t="s">
        <v>13</v>
      </c>
      <c r="E697">
        <v>50</v>
      </c>
      <c r="F697" t="str">
        <f>IF(Table1[[#This Row],[Age]]&lt;=25,"Young",IF(Table1[[#This Row],[Age]]&gt;55,"Old",IF(Table1[[#This Row],[Age]]&gt;25,"Middle","Na")))</f>
        <v>Middle</v>
      </c>
      <c r="G697" t="s">
        <v>14</v>
      </c>
      <c r="H697">
        <v>4</v>
      </c>
      <c r="I697">
        <v>50</v>
      </c>
      <c r="J697">
        <v>200</v>
      </c>
    </row>
    <row r="698" spans="1:10" x14ac:dyDescent="0.35">
      <c r="A698">
        <v>697</v>
      </c>
      <c r="B698" s="1">
        <v>44941</v>
      </c>
      <c r="C698" t="s">
        <v>710</v>
      </c>
      <c r="D698" t="s">
        <v>10</v>
      </c>
      <c r="E698">
        <v>53</v>
      </c>
      <c r="F698" t="str">
        <f>IF(Table1[[#This Row],[Age]]&lt;=25,"Young",IF(Table1[[#This Row],[Age]]&gt;55,"Old",IF(Table1[[#This Row],[Age]]&gt;25,"Middle","Na")))</f>
        <v>Middle</v>
      </c>
      <c r="G698" t="s">
        <v>14</v>
      </c>
      <c r="H698">
        <v>1</v>
      </c>
      <c r="I698">
        <v>500</v>
      </c>
      <c r="J698">
        <v>500</v>
      </c>
    </row>
    <row r="699" spans="1:10" x14ac:dyDescent="0.35">
      <c r="A699">
        <v>698</v>
      </c>
      <c r="B699" s="1">
        <v>45126</v>
      </c>
      <c r="C699" t="s">
        <v>711</v>
      </c>
      <c r="D699" t="s">
        <v>13</v>
      </c>
      <c r="E699">
        <v>64</v>
      </c>
      <c r="F699" t="str">
        <f>IF(Table1[[#This Row],[Age]]&lt;=25,"Young",IF(Table1[[#This Row],[Age]]&gt;55,"Old",IF(Table1[[#This Row],[Age]]&gt;25,"Middle","Na")))</f>
        <v>Old</v>
      </c>
      <c r="G699" t="s">
        <v>16</v>
      </c>
      <c r="H699">
        <v>1</v>
      </c>
      <c r="I699">
        <v>300</v>
      </c>
      <c r="J699">
        <v>300</v>
      </c>
    </row>
    <row r="700" spans="1:10" x14ac:dyDescent="0.35">
      <c r="A700">
        <v>699</v>
      </c>
      <c r="B700" s="1">
        <v>45099</v>
      </c>
      <c r="C700" t="s">
        <v>712</v>
      </c>
      <c r="D700" t="s">
        <v>13</v>
      </c>
      <c r="E700">
        <v>37</v>
      </c>
      <c r="F700" t="str">
        <f>IF(Table1[[#This Row],[Age]]&lt;=25,"Young",IF(Table1[[#This Row],[Age]]&gt;55,"Old",IF(Table1[[#This Row],[Age]]&gt;25,"Middle","Na")))</f>
        <v>Middle</v>
      </c>
      <c r="G700" t="s">
        <v>14</v>
      </c>
      <c r="H700">
        <v>4</v>
      </c>
      <c r="I700">
        <v>30</v>
      </c>
      <c r="J700">
        <v>120</v>
      </c>
    </row>
    <row r="701" spans="1:10" x14ac:dyDescent="0.35">
      <c r="A701">
        <v>700</v>
      </c>
      <c r="B701" s="1">
        <v>45269</v>
      </c>
      <c r="C701" t="s">
        <v>713</v>
      </c>
      <c r="D701" t="s">
        <v>10</v>
      </c>
      <c r="E701">
        <v>36</v>
      </c>
      <c r="F701" t="str">
        <f>IF(Table1[[#This Row],[Age]]&lt;=25,"Young",IF(Table1[[#This Row],[Age]]&gt;55,"Old",IF(Table1[[#This Row],[Age]]&gt;25,"Middle","Na")))</f>
        <v>Middle</v>
      </c>
      <c r="G701" t="s">
        <v>16</v>
      </c>
      <c r="H701">
        <v>4</v>
      </c>
      <c r="I701">
        <v>500</v>
      </c>
      <c r="J701">
        <v>2000</v>
      </c>
    </row>
    <row r="702" spans="1:10" x14ac:dyDescent="0.35">
      <c r="A702">
        <v>701</v>
      </c>
      <c r="B702" s="1">
        <v>45274</v>
      </c>
      <c r="C702" t="s">
        <v>714</v>
      </c>
      <c r="D702" t="s">
        <v>13</v>
      </c>
      <c r="E702">
        <v>52</v>
      </c>
      <c r="F702" t="str">
        <f>IF(Table1[[#This Row],[Age]]&lt;=25,"Young",IF(Table1[[#This Row],[Age]]&gt;55,"Old",IF(Table1[[#This Row],[Age]]&gt;25,"Middle","Na")))</f>
        <v>Middle</v>
      </c>
      <c r="G702" t="s">
        <v>11</v>
      </c>
      <c r="H702">
        <v>2</v>
      </c>
      <c r="I702">
        <v>30</v>
      </c>
      <c r="J702">
        <v>60</v>
      </c>
    </row>
    <row r="703" spans="1:10" x14ac:dyDescent="0.35">
      <c r="A703">
        <v>702</v>
      </c>
      <c r="B703" s="1">
        <v>45134</v>
      </c>
      <c r="C703" t="s">
        <v>715</v>
      </c>
      <c r="D703" t="s">
        <v>13</v>
      </c>
      <c r="E703">
        <v>60</v>
      </c>
      <c r="F703" t="str">
        <f>IF(Table1[[#This Row],[Age]]&lt;=25,"Young",IF(Table1[[#This Row],[Age]]&gt;55,"Old",IF(Table1[[#This Row],[Age]]&gt;25,"Middle","Na")))</f>
        <v>Old</v>
      </c>
      <c r="G703" t="s">
        <v>14</v>
      </c>
      <c r="H703">
        <v>2</v>
      </c>
      <c r="I703">
        <v>300</v>
      </c>
      <c r="J703">
        <v>600</v>
      </c>
    </row>
    <row r="704" spans="1:10" x14ac:dyDescent="0.35">
      <c r="A704">
        <v>703</v>
      </c>
      <c r="B704" s="1">
        <v>45011</v>
      </c>
      <c r="C704" t="s">
        <v>716</v>
      </c>
      <c r="D704" t="s">
        <v>10</v>
      </c>
      <c r="E704">
        <v>34</v>
      </c>
      <c r="F704" t="str">
        <f>IF(Table1[[#This Row],[Age]]&lt;=25,"Young",IF(Table1[[#This Row],[Age]]&gt;55,"Old",IF(Table1[[#This Row],[Age]]&gt;25,"Middle","Na")))</f>
        <v>Middle</v>
      </c>
      <c r="G704" t="s">
        <v>16</v>
      </c>
      <c r="H704">
        <v>2</v>
      </c>
      <c r="I704">
        <v>50</v>
      </c>
      <c r="J704">
        <v>100</v>
      </c>
    </row>
    <row r="705" spans="1:10" x14ac:dyDescent="0.35">
      <c r="A705">
        <v>704</v>
      </c>
      <c r="B705" s="1">
        <v>45166</v>
      </c>
      <c r="C705" t="s">
        <v>717</v>
      </c>
      <c r="D705" t="s">
        <v>13</v>
      </c>
      <c r="E705">
        <v>62</v>
      </c>
      <c r="F705" t="str">
        <f>IF(Table1[[#This Row],[Age]]&lt;=25,"Young",IF(Table1[[#This Row],[Age]]&gt;55,"Old",IF(Table1[[#This Row],[Age]]&gt;25,"Middle","Na")))</f>
        <v>Old</v>
      </c>
      <c r="G705" t="s">
        <v>14</v>
      </c>
      <c r="H705">
        <v>3</v>
      </c>
      <c r="I705">
        <v>30</v>
      </c>
      <c r="J705">
        <v>90</v>
      </c>
    </row>
    <row r="706" spans="1:10" x14ac:dyDescent="0.35">
      <c r="A706">
        <v>705</v>
      </c>
      <c r="B706" s="1">
        <v>44992</v>
      </c>
      <c r="C706" t="s">
        <v>718</v>
      </c>
      <c r="D706" t="s">
        <v>10</v>
      </c>
      <c r="E706">
        <v>60</v>
      </c>
      <c r="F706" t="str">
        <f>IF(Table1[[#This Row],[Age]]&lt;=25,"Young",IF(Table1[[#This Row],[Age]]&gt;55,"Old",IF(Table1[[#This Row],[Age]]&gt;25,"Middle","Na")))</f>
        <v>Old</v>
      </c>
      <c r="G706" t="s">
        <v>16</v>
      </c>
      <c r="H706">
        <v>2</v>
      </c>
      <c r="I706">
        <v>25</v>
      </c>
      <c r="J706">
        <v>50</v>
      </c>
    </row>
    <row r="707" spans="1:10" x14ac:dyDescent="0.35">
      <c r="A707">
        <v>706</v>
      </c>
      <c r="B707" s="1">
        <v>45245</v>
      </c>
      <c r="C707" t="s">
        <v>719</v>
      </c>
      <c r="D707" t="s">
        <v>10</v>
      </c>
      <c r="E707">
        <v>51</v>
      </c>
      <c r="F707" t="str">
        <f>IF(Table1[[#This Row],[Age]]&lt;=25,"Young",IF(Table1[[#This Row],[Age]]&gt;55,"Old",IF(Table1[[#This Row],[Age]]&gt;25,"Middle","Na")))</f>
        <v>Middle</v>
      </c>
      <c r="G707" t="s">
        <v>16</v>
      </c>
      <c r="H707">
        <v>4</v>
      </c>
      <c r="I707">
        <v>25</v>
      </c>
      <c r="J707">
        <v>100</v>
      </c>
    </row>
    <row r="708" spans="1:10" x14ac:dyDescent="0.35">
      <c r="A708">
        <v>707</v>
      </c>
      <c r="B708" s="1">
        <v>45200</v>
      </c>
      <c r="C708" t="s">
        <v>720</v>
      </c>
      <c r="D708" t="s">
        <v>13</v>
      </c>
      <c r="E708">
        <v>26</v>
      </c>
      <c r="F708" t="str">
        <f>IF(Table1[[#This Row],[Age]]&lt;=25,"Young",IF(Table1[[#This Row],[Age]]&gt;55,"Old",IF(Table1[[#This Row],[Age]]&gt;25,"Middle","Na")))</f>
        <v>Middle</v>
      </c>
      <c r="G708" t="s">
        <v>14</v>
      </c>
      <c r="H708">
        <v>1</v>
      </c>
      <c r="I708">
        <v>500</v>
      </c>
      <c r="J708">
        <v>500</v>
      </c>
    </row>
    <row r="709" spans="1:10" x14ac:dyDescent="0.35">
      <c r="A709">
        <v>708</v>
      </c>
      <c r="B709" s="1">
        <v>44940</v>
      </c>
      <c r="C709" t="s">
        <v>721</v>
      </c>
      <c r="D709" t="s">
        <v>13</v>
      </c>
      <c r="E709">
        <v>43</v>
      </c>
      <c r="F709" t="str">
        <f>IF(Table1[[#This Row],[Age]]&lt;=25,"Young",IF(Table1[[#This Row],[Age]]&gt;55,"Old",IF(Table1[[#This Row],[Age]]&gt;25,"Middle","Na")))</f>
        <v>Middle</v>
      </c>
      <c r="G709" t="s">
        <v>11</v>
      </c>
      <c r="H709">
        <v>3</v>
      </c>
      <c r="I709">
        <v>300</v>
      </c>
      <c r="J709">
        <v>900</v>
      </c>
    </row>
    <row r="710" spans="1:10" x14ac:dyDescent="0.35">
      <c r="A710">
        <v>709</v>
      </c>
      <c r="B710" s="1">
        <v>45128</v>
      </c>
      <c r="C710" t="s">
        <v>722</v>
      </c>
      <c r="D710" t="s">
        <v>13</v>
      </c>
      <c r="E710">
        <v>19</v>
      </c>
      <c r="F710" t="str">
        <f>IF(Table1[[#This Row],[Age]]&lt;=25,"Young",IF(Table1[[#This Row],[Age]]&gt;55,"Old",IF(Table1[[#This Row],[Age]]&gt;25,"Middle","Na")))</f>
        <v>Young</v>
      </c>
      <c r="G710" t="s">
        <v>16</v>
      </c>
      <c r="H710">
        <v>2</v>
      </c>
      <c r="I710">
        <v>500</v>
      </c>
      <c r="J710">
        <v>1000</v>
      </c>
    </row>
    <row r="711" spans="1:10" x14ac:dyDescent="0.35">
      <c r="A711">
        <v>710</v>
      </c>
      <c r="B711" s="1">
        <v>45230</v>
      </c>
      <c r="C711" t="s">
        <v>723</v>
      </c>
      <c r="D711" t="s">
        <v>13</v>
      </c>
      <c r="E711">
        <v>26</v>
      </c>
      <c r="F711" t="str">
        <f>IF(Table1[[#This Row],[Age]]&lt;=25,"Young",IF(Table1[[#This Row],[Age]]&gt;55,"Old",IF(Table1[[#This Row],[Age]]&gt;25,"Middle","Na")))</f>
        <v>Middle</v>
      </c>
      <c r="G711" t="s">
        <v>16</v>
      </c>
      <c r="H711">
        <v>3</v>
      </c>
      <c r="I711">
        <v>500</v>
      </c>
      <c r="J711">
        <v>1500</v>
      </c>
    </row>
    <row r="712" spans="1:10" x14ac:dyDescent="0.35">
      <c r="A712">
        <v>711</v>
      </c>
      <c r="B712" s="1">
        <v>45215</v>
      </c>
      <c r="C712" t="s">
        <v>724</v>
      </c>
      <c r="D712" t="s">
        <v>10</v>
      </c>
      <c r="E712">
        <v>26</v>
      </c>
      <c r="F712" t="str">
        <f>IF(Table1[[#This Row],[Age]]&lt;=25,"Young",IF(Table1[[#This Row],[Age]]&gt;55,"Old",IF(Table1[[#This Row],[Age]]&gt;25,"Middle","Na")))</f>
        <v>Middle</v>
      </c>
      <c r="G712" t="s">
        <v>16</v>
      </c>
      <c r="H712">
        <v>3</v>
      </c>
      <c r="I712">
        <v>500</v>
      </c>
      <c r="J712">
        <v>1500</v>
      </c>
    </row>
    <row r="713" spans="1:10" x14ac:dyDescent="0.35">
      <c r="A713">
        <v>712</v>
      </c>
      <c r="B713" s="1">
        <v>45266</v>
      </c>
      <c r="C713" t="s">
        <v>725</v>
      </c>
      <c r="D713" t="s">
        <v>13</v>
      </c>
      <c r="E713">
        <v>57</v>
      </c>
      <c r="F713" t="str">
        <f>IF(Table1[[#This Row],[Age]]&lt;=25,"Young",IF(Table1[[#This Row],[Age]]&gt;55,"Old",IF(Table1[[#This Row],[Age]]&gt;25,"Middle","Na")))</f>
        <v>Old</v>
      </c>
      <c r="G713" t="s">
        <v>11</v>
      </c>
      <c r="H713">
        <v>2</v>
      </c>
      <c r="I713">
        <v>25</v>
      </c>
      <c r="J713">
        <v>50</v>
      </c>
    </row>
    <row r="714" spans="1:10" x14ac:dyDescent="0.35">
      <c r="A714">
        <v>713</v>
      </c>
      <c r="B714" s="1">
        <v>44940</v>
      </c>
      <c r="C714" t="s">
        <v>726</v>
      </c>
      <c r="D714" t="s">
        <v>10</v>
      </c>
      <c r="E714">
        <v>34</v>
      </c>
      <c r="F714" t="str">
        <f>IF(Table1[[#This Row],[Age]]&lt;=25,"Young",IF(Table1[[#This Row],[Age]]&gt;55,"Old",IF(Table1[[#This Row],[Age]]&gt;25,"Middle","Na")))</f>
        <v>Middle</v>
      </c>
      <c r="G714" t="s">
        <v>11</v>
      </c>
      <c r="H714">
        <v>3</v>
      </c>
      <c r="I714">
        <v>25</v>
      </c>
      <c r="J714">
        <v>75</v>
      </c>
    </row>
    <row r="715" spans="1:10" x14ac:dyDescent="0.35">
      <c r="A715">
        <v>714</v>
      </c>
      <c r="B715" s="1">
        <v>44969</v>
      </c>
      <c r="C715" t="s">
        <v>727</v>
      </c>
      <c r="D715" t="s">
        <v>13</v>
      </c>
      <c r="E715">
        <v>18</v>
      </c>
      <c r="F715" t="str">
        <f>IF(Table1[[#This Row],[Age]]&lt;=25,"Young",IF(Table1[[#This Row],[Age]]&gt;55,"Old",IF(Table1[[#This Row],[Age]]&gt;25,"Middle","Na")))</f>
        <v>Young</v>
      </c>
      <c r="G715" t="s">
        <v>14</v>
      </c>
      <c r="H715">
        <v>1</v>
      </c>
      <c r="I715">
        <v>500</v>
      </c>
      <c r="J715">
        <v>500</v>
      </c>
    </row>
    <row r="716" spans="1:10" x14ac:dyDescent="0.35">
      <c r="A716">
        <v>715</v>
      </c>
      <c r="B716" s="1">
        <v>45256</v>
      </c>
      <c r="C716" t="s">
        <v>728</v>
      </c>
      <c r="D716" t="s">
        <v>13</v>
      </c>
      <c r="E716">
        <v>42</v>
      </c>
      <c r="F716" t="str">
        <f>IF(Table1[[#This Row],[Age]]&lt;=25,"Young",IF(Table1[[#This Row],[Age]]&gt;55,"Old",IF(Table1[[#This Row],[Age]]&gt;25,"Middle","Na")))</f>
        <v>Middle</v>
      </c>
      <c r="G716" t="s">
        <v>11</v>
      </c>
      <c r="H716">
        <v>4</v>
      </c>
      <c r="I716">
        <v>25</v>
      </c>
      <c r="J716">
        <v>100</v>
      </c>
    </row>
    <row r="717" spans="1:10" x14ac:dyDescent="0.35">
      <c r="A717">
        <v>716</v>
      </c>
      <c r="B717" s="1">
        <v>45146</v>
      </c>
      <c r="C717" t="s">
        <v>729</v>
      </c>
      <c r="D717" t="s">
        <v>13</v>
      </c>
      <c r="E717">
        <v>60</v>
      </c>
      <c r="F717" t="str">
        <f>IF(Table1[[#This Row],[Age]]&lt;=25,"Young",IF(Table1[[#This Row],[Age]]&gt;55,"Old",IF(Table1[[#This Row],[Age]]&gt;25,"Middle","Na")))</f>
        <v>Old</v>
      </c>
      <c r="G717" t="s">
        <v>14</v>
      </c>
      <c r="H717">
        <v>4</v>
      </c>
      <c r="I717">
        <v>300</v>
      </c>
      <c r="J717">
        <v>1200</v>
      </c>
    </row>
    <row r="718" spans="1:10" x14ac:dyDescent="0.35">
      <c r="A718">
        <v>717</v>
      </c>
      <c r="B718" s="1">
        <v>44996</v>
      </c>
      <c r="C718" t="s">
        <v>730</v>
      </c>
      <c r="D718" t="s">
        <v>10</v>
      </c>
      <c r="E718">
        <v>57</v>
      </c>
      <c r="F718" t="str">
        <f>IF(Table1[[#This Row],[Age]]&lt;=25,"Young",IF(Table1[[#This Row],[Age]]&gt;55,"Old",IF(Table1[[#This Row],[Age]]&gt;25,"Middle","Na")))</f>
        <v>Old</v>
      </c>
      <c r="G718" t="s">
        <v>14</v>
      </c>
      <c r="H718">
        <v>1</v>
      </c>
      <c r="I718">
        <v>500</v>
      </c>
      <c r="J718">
        <v>500</v>
      </c>
    </row>
    <row r="719" spans="1:10" x14ac:dyDescent="0.35">
      <c r="A719">
        <v>718</v>
      </c>
      <c r="B719" s="1">
        <v>45163</v>
      </c>
      <c r="C719" t="s">
        <v>731</v>
      </c>
      <c r="D719" t="s">
        <v>13</v>
      </c>
      <c r="E719">
        <v>59</v>
      </c>
      <c r="F719" t="str">
        <f>IF(Table1[[#This Row],[Age]]&lt;=25,"Young",IF(Table1[[#This Row],[Age]]&gt;55,"Old",IF(Table1[[#This Row],[Age]]&gt;25,"Middle","Na")))</f>
        <v>Old</v>
      </c>
      <c r="G719" t="s">
        <v>11</v>
      </c>
      <c r="H719">
        <v>3</v>
      </c>
      <c r="I719">
        <v>25</v>
      </c>
      <c r="J719">
        <v>75</v>
      </c>
    </row>
    <row r="720" spans="1:10" x14ac:dyDescent="0.35">
      <c r="A720">
        <v>719</v>
      </c>
      <c r="B720" s="1">
        <v>45020</v>
      </c>
      <c r="C720" t="s">
        <v>732</v>
      </c>
      <c r="D720" t="s">
        <v>13</v>
      </c>
      <c r="E720">
        <v>42</v>
      </c>
      <c r="F720" t="str">
        <f>IF(Table1[[#This Row],[Age]]&lt;=25,"Young",IF(Table1[[#This Row],[Age]]&gt;55,"Old",IF(Table1[[#This Row],[Age]]&gt;25,"Middle","Na")))</f>
        <v>Middle</v>
      </c>
      <c r="G720" t="s">
        <v>14</v>
      </c>
      <c r="H720">
        <v>2</v>
      </c>
      <c r="I720">
        <v>30</v>
      </c>
      <c r="J720">
        <v>60</v>
      </c>
    </row>
    <row r="721" spans="1:10" x14ac:dyDescent="0.35">
      <c r="A721">
        <v>720</v>
      </c>
      <c r="B721" s="1">
        <v>44952</v>
      </c>
      <c r="C721" t="s">
        <v>733</v>
      </c>
      <c r="D721" t="s">
        <v>13</v>
      </c>
      <c r="E721">
        <v>56</v>
      </c>
      <c r="F721" t="str">
        <f>IF(Table1[[#This Row],[Age]]&lt;=25,"Young",IF(Table1[[#This Row],[Age]]&gt;55,"Old",IF(Table1[[#This Row],[Age]]&gt;25,"Middle","Na")))</f>
        <v>Old</v>
      </c>
      <c r="G721" t="s">
        <v>11</v>
      </c>
      <c r="H721">
        <v>3</v>
      </c>
      <c r="I721">
        <v>500</v>
      </c>
      <c r="J721">
        <v>1500</v>
      </c>
    </row>
    <row r="722" spans="1:10" x14ac:dyDescent="0.35">
      <c r="A722">
        <v>721</v>
      </c>
      <c r="B722" s="1">
        <v>45060</v>
      </c>
      <c r="C722" t="s">
        <v>734</v>
      </c>
      <c r="D722" t="s">
        <v>13</v>
      </c>
      <c r="E722">
        <v>52</v>
      </c>
      <c r="F722" t="str">
        <f>IF(Table1[[#This Row],[Age]]&lt;=25,"Young",IF(Table1[[#This Row],[Age]]&gt;55,"Old",IF(Table1[[#This Row],[Age]]&gt;25,"Middle","Na")))</f>
        <v>Middle</v>
      </c>
      <c r="G722" t="s">
        <v>14</v>
      </c>
      <c r="H722">
        <v>1</v>
      </c>
      <c r="I722">
        <v>500</v>
      </c>
      <c r="J722">
        <v>500</v>
      </c>
    </row>
    <row r="723" spans="1:10" x14ac:dyDescent="0.35">
      <c r="A723">
        <v>722</v>
      </c>
      <c r="B723" s="1">
        <v>45121</v>
      </c>
      <c r="C723" t="s">
        <v>735</v>
      </c>
      <c r="D723" t="s">
        <v>10</v>
      </c>
      <c r="E723">
        <v>20</v>
      </c>
      <c r="F723" t="str">
        <f>IF(Table1[[#This Row],[Age]]&lt;=25,"Young",IF(Table1[[#This Row],[Age]]&gt;55,"Old",IF(Table1[[#This Row],[Age]]&gt;25,"Middle","Na")))</f>
        <v>Young</v>
      </c>
      <c r="G723" t="s">
        <v>11</v>
      </c>
      <c r="H723">
        <v>3</v>
      </c>
      <c r="I723">
        <v>300</v>
      </c>
      <c r="J723">
        <v>900</v>
      </c>
    </row>
    <row r="724" spans="1:10" x14ac:dyDescent="0.35">
      <c r="A724">
        <v>723</v>
      </c>
      <c r="B724" s="1">
        <v>45094</v>
      </c>
      <c r="C724" t="s">
        <v>736</v>
      </c>
      <c r="D724" t="s">
        <v>13</v>
      </c>
      <c r="E724">
        <v>54</v>
      </c>
      <c r="F724" t="str">
        <f>IF(Table1[[#This Row],[Age]]&lt;=25,"Young",IF(Table1[[#This Row],[Age]]&gt;55,"Old",IF(Table1[[#This Row],[Age]]&gt;25,"Middle","Na")))</f>
        <v>Middle</v>
      </c>
      <c r="G724" t="s">
        <v>11</v>
      </c>
      <c r="H724">
        <v>4</v>
      </c>
      <c r="I724">
        <v>50</v>
      </c>
      <c r="J724">
        <v>200</v>
      </c>
    </row>
    <row r="725" spans="1:10" x14ac:dyDescent="0.35">
      <c r="A725">
        <v>724</v>
      </c>
      <c r="B725" s="1">
        <v>45035</v>
      </c>
      <c r="C725" t="s">
        <v>737</v>
      </c>
      <c r="D725" t="s">
        <v>10</v>
      </c>
      <c r="E725">
        <v>61</v>
      </c>
      <c r="F725" t="str">
        <f>IF(Table1[[#This Row],[Age]]&lt;=25,"Young",IF(Table1[[#This Row],[Age]]&gt;55,"Old",IF(Table1[[#This Row],[Age]]&gt;25,"Middle","Na")))</f>
        <v>Old</v>
      </c>
      <c r="G725" t="s">
        <v>14</v>
      </c>
      <c r="H725">
        <v>3</v>
      </c>
      <c r="I725">
        <v>50</v>
      </c>
      <c r="J725">
        <v>150</v>
      </c>
    </row>
    <row r="726" spans="1:10" x14ac:dyDescent="0.35">
      <c r="A726">
        <v>725</v>
      </c>
      <c r="B726" s="1">
        <v>45159</v>
      </c>
      <c r="C726" t="s">
        <v>738</v>
      </c>
      <c r="D726" t="s">
        <v>10</v>
      </c>
      <c r="E726">
        <v>61</v>
      </c>
      <c r="F726" t="str">
        <f>IF(Table1[[#This Row],[Age]]&lt;=25,"Young",IF(Table1[[#This Row],[Age]]&gt;55,"Old",IF(Table1[[#This Row],[Age]]&gt;25,"Middle","Na")))</f>
        <v>Old</v>
      </c>
      <c r="G726" t="s">
        <v>16</v>
      </c>
      <c r="H726">
        <v>1</v>
      </c>
      <c r="I726">
        <v>300</v>
      </c>
      <c r="J726">
        <v>300</v>
      </c>
    </row>
    <row r="727" spans="1:10" x14ac:dyDescent="0.35">
      <c r="A727">
        <v>726</v>
      </c>
      <c r="B727" s="1">
        <v>45094</v>
      </c>
      <c r="C727" t="s">
        <v>739</v>
      </c>
      <c r="D727" t="s">
        <v>10</v>
      </c>
      <c r="E727">
        <v>47</v>
      </c>
      <c r="F727" t="str">
        <f>IF(Table1[[#This Row],[Age]]&lt;=25,"Young",IF(Table1[[#This Row],[Age]]&gt;55,"Old",IF(Table1[[#This Row],[Age]]&gt;25,"Middle","Na")))</f>
        <v>Middle</v>
      </c>
      <c r="G727" t="s">
        <v>14</v>
      </c>
      <c r="H727">
        <v>4</v>
      </c>
      <c r="I727">
        <v>300</v>
      </c>
      <c r="J727">
        <v>1200</v>
      </c>
    </row>
    <row r="728" spans="1:10" x14ac:dyDescent="0.35">
      <c r="A728">
        <v>727</v>
      </c>
      <c r="B728" s="1">
        <v>45099</v>
      </c>
      <c r="C728" t="s">
        <v>740</v>
      </c>
      <c r="D728" t="s">
        <v>10</v>
      </c>
      <c r="E728">
        <v>55</v>
      </c>
      <c r="F728" t="str">
        <f>IF(Table1[[#This Row],[Age]]&lt;=25,"Young",IF(Table1[[#This Row],[Age]]&gt;55,"Old",IF(Table1[[#This Row],[Age]]&gt;25,"Middle","Na")))</f>
        <v>Middle</v>
      </c>
      <c r="G728" t="s">
        <v>11</v>
      </c>
      <c r="H728">
        <v>3</v>
      </c>
      <c r="I728">
        <v>300</v>
      </c>
      <c r="J728">
        <v>900</v>
      </c>
    </row>
    <row r="729" spans="1:10" x14ac:dyDescent="0.35">
      <c r="A729">
        <v>728</v>
      </c>
      <c r="B729" s="1">
        <v>45121</v>
      </c>
      <c r="C729" t="s">
        <v>741</v>
      </c>
      <c r="D729" t="s">
        <v>10</v>
      </c>
      <c r="E729">
        <v>51</v>
      </c>
      <c r="F729" t="str">
        <f>IF(Table1[[#This Row],[Age]]&lt;=25,"Young",IF(Table1[[#This Row],[Age]]&gt;55,"Old",IF(Table1[[#This Row],[Age]]&gt;25,"Middle","Na")))</f>
        <v>Middle</v>
      </c>
      <c r="G729" t="s">
        <v>16</v>
      </c>
      <c r="H729">
        <v>3</v>
      </c>
      <c r="I729">
        <v>50</v>
      </c>
      <c r="J729">
        <v>150</v>
      </c>
    </row>
    <row r="730" spans="1:10" x14ac:dyDescent="0.35">
      <c r="A730">
        <v>729</v>
      </c>
      <c r="B730" s="1">
        <v>45069</v>
      </c>
      <c r="C730" t="s">
        <v>742</v>
      </c>
      <c r="D730" t="s">
        <v>10</v>
      </c>
      <c r="E730">
        <v>29</v>
      </c>
      <c r="F730" t="str">
        <f>IF(Table1[[#This Row],[Age]]&lt;=25,"Young",IF(Table1[[#This Row],[Age]]&gt;55,"Old",IF(Table1[[#This Row],[Age]]&gt;25,"Middle","Na")))</f>
        <v>Middle</v>
      </c>
      <c r="G730" t="s">
        <v>14</v>
      </c>
      <c r="H730">
        <v>4</v>
      </c>
      <c r="I730">
        <v>300</v>
      </c>
      <c r="J730">
        <v>1200</v>
      </c>
    </row>
    <row r="731" spans="1:10" x14ac:dyDescent="0.35">
      <c r="A731">
        <v>730</v>
      </c>
      <c r="B731" s="1">
        <v>45142</v>
      </c>
      <c r="C731" t="s">
        <v>743</v>
      </c>
      <c r="D731" t="s">
        <v>13</v>
      </c>
      <c r="E731">
        <v>36</v>
      </c>
      <c r="F731" t="str">
        <f>IF(Table1[[#This Row],[Age]]&lt;=25,"Young",IF(Table1[[#This Row],[Age]]&gt;55,"Old",IF(Table1[[#This Row],[Age]]&gt;25,"Middle","Na")))</f>
        <v>Middle</v>
      </c>
      <c r="G731" t="s">
        <v>14</v>
      </c>
      <c r="H731">
        <v>2</v>
      </c>
      <c r="I731">
        <v>25</v>
      </c>
      <c r="J731">
        <v>50</v>
      </c>
    </row>
    <row r="732" spans="1:10" x14ac:dyDescent="0.35">
      <c r="A732">
        <v>731</v>
      </c>
      <c r="B732" s="1">
        <v>45056</v>
      </c>
      <c r="C732" t="s">
        <v>744</v>
      </c>
      <c r="D732" t="s">
        <v>10</v>
      </c>
      <c r="E732">
        <v>54</v>
      </c>
      <c r="F732" t="str">
        <f>IF(Table1[[#This Row],[Age]]&lt;=25,"Young",IF(Table1[[#This Row],[Age]]&gt;55,"Old",IF(Table1[[#This Row],[Age]]&gt;25,"Middle","Na")))</f>
        <v>Middle</v>
      </c>
      <c r="G732" t="s">
        <v>14</v>
      </c>
      <c r="H732">
        <v>4</v>
      </c>
      <c r="I732">
        <v>500</v>
      </c>
      <c r="J732">
        <v>2000</v>
      </c>
    </row>
    <row r="733" spans="1:10" x14ac:dyDescent="0.35">
      <c r="A733">
        <v>732</v>
      </c>
      <c r="B733" s="1">
        <v>44968</v>
      </c>
      <c r="C733" t="s">
        <v>745</v>
      </c>
      <c r="D733" t="s">
        <v>10</v>
      </c>
      <c r="E733">
        <v>61</v>
      </c>
      <c r="F733" t="str">
        <f>IF(Table1[[#This Row],[Age]]&lt;=25,"Young",IF(Table1[[#This Row],[Age]]&gt;55,"Old",IF(Table1[[#This Row],[Age]]&gt;25,"Middle","Na")))</f>
        <v>Old</v>
      </c>
      <c r="G733" t="s">
        <v>16</v>
      </c>
      <c r="H733">
        <v>2</v>
      </c>
      <c r="I733">
        <v>500</v>
      </c>
      <c r="J733">
        <v>1000</v>
      </c>
    </row>
    <row r="734" spans="1:10" x14ac:dyDescent="0.35">
      <c r="A734">
        <v>733</v>
      </c>
      <c r="B734" s="1">
        <v>45167</v>
      </c>
      <c r="C734" t="s">
        <v>746</v>
      </c>
      <c r="D734" t="s">
        <v>10</v>
      </c>
      <c r="E734">
        <v>34</v>
      </c>
      <c r="F734" t="str">
        <f>IF(Table1[[#This Row],[Age]]&lt;=25,"Young",IF(Table1[[#This Row],[Age]]&gt;55,"Old",IF(Table1[[#This Row],[Age]]&gt;25,"Middle","Na")))</f>
        <v>Middle</v>
      </c>
      <c r="G734" t="s">
        <v>11</v>
      </c>
      <c r="H734">
        <v>1</v>
      </c>
      <c r="I734">
        <v>30</v>
      </c>
      <c r="J734">
        <v>30</v>
      </c>
    </row>
    <row r="735" spans="1:10" x14ac:dyDescent="0.35">
      <c r="A735">
        <v>734</v>
      </c>
      <c r="B735" s="1">
        <v>44936</v>
      </c>
      <c r="C735" t="s">
        <v>747</v>
      </c>
      <c r="D735" t="s">
        <v>13</v>
      </c>
      <c r="E735">
        <v>27</v>
      </c>
      <c r="F735" t="str">
        <f>IF(Table1[[#This Row],[Age]]&lt;=25,"Young",IF(Table1[[#This Row],[Age]]&gt;55,"Old",IF(Table1[[#This Row],[Age]]&gt;25,"Middle","Na")))</f>
        <v>Middle</v>
      </c>
      <c r="G735" t="s">
        <v>14</v>
      </c>
      <c r="H735">
        <v>1</v>
      </c>
      <c r="I735">
        <v>30</v>
      </c>
      <c r="J735">
        <v>30</v>
      </c>
    </row>
    <row r="736" spans="1:10" x14ac:dyDescent="0.35">
      <c r="A736">
        <v>735</v>
      </c>
      <c r="B736" s="1">
        <v>45203</v>
      </c>
      <c r="C736" t="s">
        <v>748</v>
      </c>
      <c r="D736" t="s">
        <v>13</v>
      </c>
      <c r="E736">
        <v>64</v>
      </c>
      <c r="F736" t="str">
        <f>IF(Table1[[#This Row],[Age]]&lt;=25,"Young",IF(Table1[[#This Row],[Age]]&gt;55,"Old",IF(Table1[[#This Row],[Age]]&gt;25,"Middle","Na")))</f>
        <v>Old</v>
      </c>
      <c r="G736" t="s">
        <v>14</v>
      </c>
      <c r="H736">
        <v>4</v>
      </c>
      <c r="I736">
        <v>500</v>
      </c>
      <c r="J736">
        <v>2000</v>
      </c>
    </row>
    <row r="737" spans="1:10" x14ac:dyDescent="0.35">
      <c r="A737">
        <v>736</v>
      </c>
      <c r="B737" s="1">
        <v>44953</v>
      </c>
      <c r="C737" t="s">
        <v>749</v>
      </c>
      <c r="D737" t="s">
        <v>10</v>
      </c>
      <c r="E737">
        <v>29</v>
      </c>
      <c r="F737" t="str">
        <f>IF(Table1[[#This Row],[Age]]&lt;=25,"Young",IF(Table1[[#This Row],[Age]]&gt;55,"Old",IF(Table1[[#This Row],[Age]]&gt;25,"Middle","Na")))</f>
        <v>Middle</v>
      </c>
      <c r="G737" t="s">
        <v>14</v>
      </c>
      <c r="H737">
        <v>4</v>
      </c>
      <c r="I737">
        <v>25</v>
      </c>
      <c r="J737">
        <v>100</v>
      </c>
    </row>
    <row r="738" spans="1:10" x14ac:dyDescent="0.35">
      <c r="A738">
        <v>737</v>
      </c>
      <c r="B738" s="1">
        <v>45106</v>
      </c>
      <c r="C738" t="s">
        <v>750</v>
      </c>
      <c r="D738" t="s">
        <v>13</v>
      </c>
      <c r="E738">
        <v>33</v>
      </c>
      <c r="F738" t="str">
        <f>IF(Table1[[#This Row],[Age]]&lt;=25,"Young",IF(Table1[[#This Row],[Age]]&gt;55,"Old",IF(Table1[[#This Row],[Age]]&gt;25,"Middle","Na")))</f>
        <v>Middle</v>
      </c>
      <c r="G738" t="s">
        <v>14</v>
      </c>
      <c r="H738">
        <v>1</v>
      </c>
      <c r="I738">
        <v>50</v>
      </c>
      <c r="J738">
        <v>50</v>
      </c>
    </row>
    <row r="739" spans="1:10" x14ac:dyDescent="0.35">
      <c r="A739">
        <v>738</v>
      </c>
      <c r="B739" s="1">
        <v>45041</v>
      </c>
      <c r="C739" t="s">
        <v>751</v>
      </c>
      <c r="D739" t="s">
        <v>10</v>
      </c>
      <c r="E739">
        <v>41</v>
      </c>
      <c r="F739" t="str">
        <f>IF(Table1[[#This Row],[Age]]&lt;=25,"Young",IF(Table1[[#This Row],[Age]]&gt;55,"Old",IF(Table1[[#This Row],[Age]]&gt;25,"Middle","Na")))</f>
        <v>Middle</v>
      </c>
      <c r="G739" t="s">
        <v>14</v>
      </c>
      <c r="H739">
        <v>2</v>
      </c>
      <c r="I739">
        <v>50</v>
      </c>
      <c r="J739">
        <v>100</v>
      </c>
    </row>
    <row r="740" spans="1:10" x14ac:dyDescent="0.35">
      <c r="A740">
        <v>739</v>
      </c>
      <c r="B740" s="1">
        <v>45259</v>
      </c>
      <c r="C740" t="s">
        <v>752</v>
      </c>
      <c r="D740" t="s">
        <v>10</v>
      </c>
      <c r="E740">
        <v>36</v>
      </c>
      <c r="F740" t="str">
        <f>IF(Table1[[#This Row],[Age]]&lt;=25,"Young",IF(Table1[[#This Row],[Age]]&gt;55,"Old",IF(Table1[[#This Row],[Age]]&gt;25,"Middle","Na")))</f>
        <v>Middle</v>
      </c>
      <c r="G740" t="s">
        <v>11</v>
      </c>
      <c r="H740">
        <v>1</v>
      </c>
      <c r="I740">
        <v>25</v>
      </c>
      <c r="J740">
        <v>25</v>
      </c>
    </row>
    <row r="741" spans="1:10" x14ac:dyDescent="0.35">
      <c r="A741">
        <v>740</v>
      </c>
      <c r="B741" s="1">
        <v>44962</v>
      </c>
      <c r="C741" t="s">
        <v>753</v>
      </c>
      <c r="D741" t="s">
        <v>13</v>
      </c>
      <c r="E741">
        <v>25</v>
      </c>
      <c r="F741" t="str">
        <f>IF(Table1[[#This Row],[Age]]&lt;=25,"Young",IF(Table1[[#This Row],[Age]]&gt;55,"Old",IF(Table1[[#This Row],[Age]]&gt;25,"Middle","Na")))</f>
        <v>Young</v>
      </c>
      <c r="G741" t="s">
        <v>11</v>
      </c>
      <c r="H741">
        <v>4</v>
      </c>
      <c r="I741">
        <v>50</v>
      </c>
      <c r="J741">
        <v>200</v>
      </c>
    </row>
    <row r="742" spans="1:10" x14ac:dyDescent="0.35">
      <c r="A742">
        <v>741</v>
      </c>
      <c r="B742" s="1">
        <v>45260</v>
      </c>
      <c r="C742" t="s">
        <v>754</v>
      </c>
      <c r="D742" t="s">
        <v>10</v>
      </c>
      <c r="E742">
        <v>48</v>
      </c>
      <c r="F742" t="str">
        <f>IF(Table1[[#This Row],[Age]]&lt;=25,"Young",IF(Table1[[#This Row],[Age]]&gt;55,"Old",IF(Table1[[#This Row],[Age]]&gt;25,"Middle","Na")))</f>
        <v>Middle</v>
      </c>
      <c r="G742" t="s">
        <v>14</v>
      </c>
      <c r="H742">
        <v>1</v>
      </c>
      <c r="I742">
        <v>300</v>
      </c>
      <c r="J742">
        <v>300</v>
      </c>
    </row>
    <row r="743" spans="1:10" x14ac:dyDescent="0.35">
      <c r="A743">
        <v>742</v>
      </c>
      <c r="B743" s="1">
        <v>44947</v>
      </c>
      <c r="C743" t="s">
        <v>755</v>
      </c>
      <c r="D743" t="s">
        <v>13</v>
      </c>
      <c r="E743">
        <v>38</v>
      </c>
      <c r="F743" t="str">
        <f>IF(Table1[[#This Row],[Age]]&lt;=25,"Young",IF(Table1[[#This Row],[Age]]&gt;55,"Old",IF(Table1[[#This Row],[Age]]&gt;25,"Middle","Na")))</f>
        <v>Middle</v>
      </c>
      <c r="G743" t="s">
        <v>16</v>
      </c>
      <c r="H743">
        <v>4</v>
      </c>
      <c r="I743">
        <v>500</v>
      </c>
      <c r="J743">
        <v>2000</v>
      </c>
    </row>
    <row r="744" spans="1:10" x14ac:dyDescent="0.35">
      <c r="A744">
        <v>743</v>
      </c>
      <c r="B744" s="1">
        <v>44942</v>
      </c>
      <c r="C744" t="s">
        <v>756</v>
      </c>
      <c r="D744" t="s">
        <v>13</v>
      </c>
      <c r="E744">
        <v>34</v>
      </c>
      <c r="F744" t="str">
        <f>IF(Table1[[#This Row],[Age]]&lt;=25,"Young",IF(Table1[[#This Row],[Age]]&gt;55,"Old",IF(Table1[[#This Row],[Age]]&gt;25,"Middle","Na")))</f>
        <v>Middle</v>
      </c>
      <c r="G744" t="s">
        <v>11</v>
      </c>
      <c r="H744">
        <v>4</v>
      </c>
      <c r="I744">
        <v>500</v>
      </c>
      <c r="J744">
        <v>2000</v>
      </c>
    </row>
    <row r="745" spans="1:10" x14ac:dyDescent="0.35">
      <c r="A745">
        <v>744</v>
      </c>
      <c r="B745" s="1">
        <v>45053</v>
      </c>
      <c r="C745" t="s">
        <v>757</v>
      </c>
      <c r="D745" t="s">
        <v>10</v>
      </c>
      <c r="E745">
        <v>40</v>
      </c>
      <c r="F745" t="str">
        <f>IF(Table1[[#This Row],[Age]]&lt;=25,"Young",IF(Table1[[#This Row],[Age]]&gt;55,"Old",IF(Table1[[#This Row],[Age]]&gt;25,"Middle","Na")))</f>
        <v>Middle</v>
      </c>
      <c r="G745" t="s">
        <v>16</v>
      </c>
      <c r="H745">
        <v>1</v>
      </c>
      <c r="I745">
        <v>25</v>
      </c>
      <c r="J745">
        <v>25</v>
      </c>
    </row>
    <row r="746" spans="1:10" x14ac:dyDescent="0.35">
      <c r="A746">
        <v>745</v>
      </c>
      <c r="B746" s="1">
        <v>45029</v>
      </c>
      <c r="C746" t="s">
        <v>758</v>
      </c>
      <c r="D746" t="s">
        <v>10</v>
      </c>
      <c r="E746">
        <v>54</v>
      </c>
      <c r="F746" t="str">
        <f>IF(Table1[[#This Row],[Age]]&lt;=25,"Young",IF(Table1[[#This Row],[Age]]&gt;55,"Old",IF(Table1[[#This Row],[Age]]&gt;25,"Middle","Na")))</f>
        <v>Middle</v>
      </c>
      <c r="G746" t="s">
        <v>11</v>
      </c>
      <c r="H746">
        <v>2</v>
      </c>
      <c r="I746">
        <v>50</v>
      </c>
      <c r="J746">
        <v>100</v>
      </c>
    </row>
    <row r="747" spans="1:10" x14ac:dyDescent="0.35">
      <c r="A747">
        <v>746</v>
      </c>
      <c r="B747" s="1">
        <v>44937</v>
      </c>
      <c r="C747" t="s">
        <v>759</v>
      </c>
      <c r="D747" t="s">
        <v>13</v>
      </c>
      <c r="E747">
        <v>33</v>
      </c>
      <c r="F747" t="str">
        <f>IF(Table1[[#This Row],[Age]]&lt;=25,"Young",IF(Table1[[#This Row],[Age]]&gt;55,"Old",IF(Table1[[#This Row],[Age]]&gt;25,"Middle","Na")))</f>
        <v>Middle</v>
      </c>
      <c r="G747" t="s">
        <v>14</v>
      </c>
      <c r="H747">
        <v>3</v>
      </c>
      <c r="I747">
        <v>30</v>
      </c>
      <c r="J747">
        <v>90</v>
      </c>
    </row>
    <row r="748" spans="1:10" x14ac:dyDescent="0.35">
      <c r="A748">
        <v>747</v>
      </c>
      <c r="B748" s="1">
        <v>45245</v>
      </c>
      <c r="C748" t="s">
        <v>760</v>
      </c>
      <c r="D748" t="s">
        <v>10</v>
      </c>
      <c r="E748">
        <v>23</v>
      </c>
      <c r="F748" t="str">
        <f>IF(Table1[[#This Row],[Age]]&lt;=25,"Young",IF(Table1[[#This Row],[Age]]&gt;55,"Old",IF(Table1[[#This Row],[Age]]&gt;25,"Middle","Na")))</f>
        <v>Young</v>
      </c>
      <c r="G748" t="s">
        <v>11</v>
      </c>
      <c r="H748">
        <v>1</v>
      </c>
      <c r="I748">
        <v>30</v>
      </c>
      <c r="J748">
        <v>30</v>
      </c>
    </row>
    <row r="749" spans="1:10" x14ac:dyDescent="0.35">
      <c r="A749">
        <v>748</v>
      </c>
      <c r="B749" s="1">
        <v>45005</v>
      </c>
      <c r="C749" t="s">
        <v>761</v>
      </c>
      <c r="D749" t="s">
        <v>10</v>
      </c>
      <c r="E749">
        <v>25</v>
      </c>
      <c r="F749" t="str">
        <f>IF(Table1[[#This Row],[Age]]&lt;=25,"Young",IF(Table1[[#This Row],[Age]]&gt;55,"Old",IF(Table1[[#This Row],[Age]]&gt;25,"Middle","Na")))</f>
        <v>Young</v>
      </c>
      <c r="G749" t="s">
        <v>14</v>
      </c>
      <c r="H749">
        <v>3</v>
      </c>
      <c r="I749">
        <v>50</v>
      </c>
      <c r="J749">
        <v>150</v>
      </c>
    </row>
    <row r="750" spans="1:10" x14ac:dyDescent="0.35">
      <c r="A750">
        <v>749</v>
      </c>
      <c r="B750" s="1">
        <v>45049</v>
      </c>
      <c r="C750" t="s">
        <v>762</v>
      </c>
      <c r="D750" t="s">
        <v>10</v>
      </c>
      <c r="E750">
        <v>42</v>
      </c>
      <c r="F750" t="str">
        <f>IF(Table1[[#This Row],[Age]]&lt;=25,"Young",IF(Table1[[#This Row],[Age]]&gt;55,"Old",IF(Table1[[#This Row],[Age]]&gt;25,"Middle","Na")))</f>
        <v>Middle</v>
      </c>
      <c r="G750" t="s">
        <v>11</v>
      </c>
      <c r="H750">
        <v>1</v>
      </c>
      <c r="I750">
        <v>30</v>
      </c>
      <c r="J750">
        <v>30</v>
      </c>
    </row>
    <row r="751" spans="1:10" x14ac:dyDescent="0.35">
      <c r="A751">
        <v>750</v>
      </c>
      <c r="B751" s="1">
        <v>44991</v>
      </c>
      <c r="C751" t="s">
        <v>763</v>
      </c>
      <c r="D751" t="s">
        <v>13</v>
      </c>
      <c r="E751">
        <v>35</v>
      </c>
      <c r="F751" t="str">
        <f>IF(Table1[[#This Row],[Age]]&lt;=25,"Young",IF(Table1[[#This Row],[Age]]&gt;55,"Old",IF(Table1[[#This Row],[Age]]&gt;25,"Middle","Na")))</f>
        <v>Middle</v>
      </c>
      <c r="G751" t="s">
        <v>14</v>
      </c>
      <c r="H751">
        <v>3</v>
      </c>
      <c r="I751">
        <v>25</v>
      </c>
      <c r="J751">
        <v>75</v>
      </c>
    </row>
    <row r="752" spans="1:10" x14ac:dyDescent="0.35">
      <c r="A752">
        <v>751</v>
      </c>
      <c r="B752" s="1">
        <v>45169</v>
      </c>
      <c r="C752" t="s">
        <v>764</v>
      </c>
      <c r="D752" t="s">
        <v>13</v>
      </c>
      <c r="E752">
        <v>42</v>
      </c>
      <c r="F752" t="str">
        <f>IF(Table1[[#This Row],[Age]]&lt;=25,"Young",IF(Table1[[#This Row],[Age]]&gt;55,"Old",IF(Table1[[#This Row],[Age]]&gt;25,"Middle","Na")))</f>
        <v>Middle</v>
      </c>
      <c r="G752" t="s">
        <v>14</v>
      </c>
      <c r="H752">
        <v>2</v>
      </c>
      <c r="I752">
        <v>25</v>
      </c>
      <c r="J752">
        <v>50</v>
      </c>
    </row>
    <row r="753" spans="1:10" x14ac:dyDescent="0.35">
      <c r="A753">
        <v>752</v>
      </c>
      <c r="B753" s="1">
        <v>45269</v>
      </c>
      <c r="C753" t="s">
        <v>765</v>
      </c>
      <c r="D753" t="s">
        <v>10</v>
      </c>
      <c r="E753">
        <v>29</v>
      </c>
      <c r="F753" t="str">
        <f>IF(Table1[[#This Row],[Age]]&lt;=25,"Young",IF(Table1[[#This Row],[Age]]&gt;55,"Old",IF(Table1[[#This Row],[Age]]&gt;25,"Middle","Na")))</f>
        <v>Middle</v>
      </c>
      <c r="G753" t="s">
        <v>14</v>
      </c>
      <c r="H753">
        <v>2</v>
      </c>
      <c r="I753">
        <v>50</v>
      </c>
      <c r="J753">
        <v>100</v>
      </c>
    </row>
    <row r="754" spans="1:10" x14ac:dyDescent="0.35">
      <c r="A754">
        <v>753</v>
      </c>
      <c r="B754" s="1">
        <v>44985</v>
      </c>
      <c r="C754" t="s">
        <v>766</v>
      </c>
      <c r="D754" t="s">
        <v>13</v>
      </c>
      <c r="E754">
        <v>32</v>
      </c>
      <c r="F754" t="str">
        <f>IF(Table1[[#This Row],[Age]]&lt;=25,"Young",IF(Table1[[#This Row],[Age]]&gt;55,"Old",IF(Table1[[#This Row],[Age]]&gt;25,"Middle","Na")))</f>
        <v>Middle</v>
      </c>
      <c r="G754" t="s">
        <v>14</v>
      </c>
      <c r="H754">
        <v>1</v>
      </c>
      <c r="I754">
        <v>30</v>
      </c>
      <c r="J754">
        <v>30</v>
      </c>
    </row>
    <row r="755" spans="1:10" x14ac:dyDescent="0.35">
      <c r="A755">
        <v>754</v>
      </c>
      <c r="B755" s="1">
        <v>45215</v>
      </c>
      <c r="C755" t="s">
        <v>767</v>
      </c>
      <c r="D755" t="s">
        <v>13</v>
      </c>
      <c r="E755">
        <v>43</v>
      </c>
      <c r="F755" t="str">
        <f>IF(Table1[[#This Row],[Age]]&lt;=25,"Young",IF(Table1[[#This Row],[Age]]&gt;55,"Old",IF(Table1[[#This Row],[Age]]&gt;25,"Middle","Na")))</f>
        <v>Middle</v>
      </c>
      <c r="G755" t="s">
        <v>16</v>
      </c>
      <c r="H755">
        <v>4</v>
      </c>
      <c r="I755">
        <v>25</v>
      </c>
      <c r="J755">
        <v>100</v>
      </c>
    </row>
    <row r="756" spans="1:10" x14ac:dyDescent="0.35">
      <c r="A756">
        <v>755</v>
      </c>
      <c r="B756" s="1">
        <v>45038</v>
      </c>
      <c r="C756" t="s">
        <v>768</v>
      </c>
      <c r="D756" t="s">
        <v>13</v>
      </c>
      <c r="E756">
        <v>58</v>
      </c>
      <c r="F756" t="str">
        <f>IF(Table1[[#This Row],[Age]]&lt;=25,"Young",IF(Table1[[#This Row],[Age]]&gt;55,"Old",IF(Table1[[#This Row],[Age]]&gt;25,"Middle","Na")))</f>
        <v>Old</v>
      </c>
      <c r="G756" t="s">
        <v>14</v>
      </c>
      <c r="H756">
        <v>3</v>
      </c>
      <c r="I756">
        <v>25</v>
      </c>
      <c r="J756">
        <v>75</v>
      </c>
    </row>
    <row r="757" spans="1:10" x14ac:dyDescent="0.35">
      <c r="A757">
        <v>756</v>
      </c>
      <c r="B757" s="1">
        <v>45165</v>
      </c>
      <c r="C757" t="s">
        <v>769</v>
      </c>
      <c r="D757" t="s">
        <v>13</v>
      </c>
      <c r="E757">
        <v>62</v>
      </c>
      <c r="F757" t="str">
        <f>IF(Table1[[#This Row],[Age]]&lt;=25,"Young",IF(Table1[[#This Row],[Age]]&gt;55,"Old",IF(Table1[[#This Row],[Age]]&gt;25,"Middle","Na")))</f>
        <v>Old</v>
      </c>
      <c r="G757" t="s">
        <v>16</v>
      </c>
      <c r="H757">
        <v>4</v>
      </c>
      <c r="I757">
        <v>300</v>
      </c>
      <c r="J757">
        <v>1200</v>
      </c>
    </row>
    <row r="758" spans="1:10" x14ac:dyDescent="0.35">
      <c r="A758">
        <v>757</v>
      </c>
      <c r="B758" s="1">
        <v>45285</v>
      </c>
      <c r="C758" t="s">
        <v>770</v>
      </c>
      <c r="D758" t="s">
        <v>13</v>
      </c>
      <c r="E758">
        <v>43</v>
      </c>
      <c r="F758" t="str">
        <f>IF(Table1[[#This Row],[Age]]&lt;=25,"Young",IF(Table1[[#This Row],[Age]]&gt;55,"Old",IF(Table1[[#This Row],[Age]]&gt;25,"Middle","Na")))</f>
        <v>Middle</v>
      </c>
      <c r="G758" t="s">
        <v>16</v>
      </c>
      <c r="H758">
        <v>4</v>
      </c>
      <c r="I758">
        <v>300</v>
      </c>
      <c r="J758">
        <v>1200</v>
      </c>
    </row>
    <row r="759" spans="1:10" x14ac:dyDescent="0.35">
      <c r="A759">
        <v>758</v>
      </c>
      <c r="B759" s="1">
        <v>45058</v>
      </c>
      <c r="C759" t="s">
        <v>771</v>
      </c>
      <c r="D759" t="s">
        <v>10</v>
      </c>
      <c r="E759">
        <v>64</v>
      </c>
      <c r="F759" t="str">
        <f>IF(Table1[[#This Row],[Age]]&lt;=25,"Young",IF(Table1[[#This Row],[Age]]&gt;55,"Old",IF(Table1[[#This Row],[Age]]&gt;25,"Middle","Na")))</f>
        <v>Old</v>
      </c>
      <c r="G759" t="s">
        <v>14</v>
      </c>
      <c r="H759">
        <v>4</v>
      </c>
      <c r="I759">
        <v>25</v>
      </c>
      <c r="J759">
        <v>100</v>
      </c>
    </row>
    <row r="760" spans="1:10" x14ac:dyDescent="0.35">
      <c r="A760">
        <v>759</v>
      </c>
      <c r="B760" s="1">
        <v>45115</v>
      </c>
      <c r="C760" t="s">
        <v>772</v>
      </c>
      <c r="D760" t="s">
        <v>10</v>
      </c>
      <c r="E760">
        <v>49</v>
      </c>
      <c r="F760" t="str">
        <f>IF(Table1[[#This Row],[Age]]&lt;=25,"Young",IF(Table1[[#This Row],[Age]]&gt;55,"Old",IF(Table1[[#This Row],[Age]]&gt;25,"Middle","Na")))</f>
        <v>Middle</v>
      </c>
      <c r="G760" t="s">
        <v>16</v>
      </c>
      <c r="H760">
        <v>2</v>
      </c>
      <c r="I760">
        <v>50</v>
      </c>
      <c r="J760">
        <v>100</v>
      </c>
    </row>
    <row r="761" spans="1:10" x14ac:dyDescent="0.35">
      <c r="A761">
        <v>760</v>
      </c>
      <c r="B761" s="1">
        <v>45012</v>
      </c>
      <c r="C761" t="s">
        <v>773</v>
      </c>
      <c r="D761" t="s">
        <v>10</v>
      </c>
      <c r="E761">
        <v>27</v>
      </c>
      <c r="F761" t="str">
        <f>IF(Table1[[#This Row],[Age]]&lt;=25,"Young",IF(Table1[[#This Row],[Age]]&gt;55,"Old",IF(Table1[[#This Row],[Age]]&gt;25,"Middle","Na")))</f>
        <v>Middle</v>
      </c>
      <c r="G761" t="s">
        <v>11</v>
      </c>
      <c r="H761">
        <v>1</v>
      </c>
      <c r="I761">
        <v>500</v>
      </c>
      <c r="J761">
        <v>500</v>
      </c>
    </row>
    <row r="762" spans="1:10" x14ac:dyDescent="0.35">
      <c r="A762">
        <v>761</v>
      </c>
      <c r="B762" s="1">
        <v>45237</v>
      </c>
      <c r="C762" t="s">
        <v>774</v>
      </c>
      <c r="D762" t="s">
        <v>13</v>
      </c>
      <c r="E762">
        <v>33</v>
      </c>
      <c r="F762" t="str">
        <f>IF(Table1[[#This Row],[Age]]&lt;=25,"Young",IF(Table1[[#This Row],[Age]]&gt;55,"Old",IF(Table1[[#This Row],[Age]]&gt;25,"Middle","Na")))</f>
        <v>Middle</v>
      </c>
      <c r="G762" t="s">
        <v>14</v>
      </c>
      <c r="H762">
        <v>1</v>
      </c>
      <c r="I762">
        <v>500</v>
      </c>
      <c r="J762">
        <v>500</v>
      </c>
    </row>
    <row r="763" spans="1:10" x14ac:dyDescent="0.35">
      <c r="A763">
        <v>762</v>
      </c>
      <c r="B763" s="1">
        <v>45237</v>
      </c>
      <c r="C763" t="s">
        <v>775</v>
      </c>
      <c r="D763" t="s">
        <v>13</v>
      </c>
      <c r="E763">
        <v>24</v>
      </c>
      <c r="F763" t="str">
        <f>IF(Table1[[#This Row],[Age]]&lt;=25,"Young",IF(Table1[[#This Row],[Age]]&gt;55,"Old",IF(Table1[[#This Row],[Age]]&gt;25,"Middle","Na")))</f>
        <v>Young</v>
      </c>
      <c r="G763" t="s">
        <v>16</v>
      </c>
      <c r="H763">
        <v>2</v>
      </c>
      <c r="I763">
        <v>25</v>
      </c>
      <c r="J763">
        <v>50</v>
      </c>
    </row>
    <row r="764" spans="1:10" x14ac:dyDescent="0.35">
      <c r="A764">
        <v>763</v>
      </c>
      <c r="B764" s="1">
        <v>44985</v>
      </c>
      <c r="C764" t="s">
        <v>776</v>
      </c>
      <c r="D764" t="s">
        <v>10</v>
      </c>
      <c r="E764">
        <v>34</v>
      </c>
      <c r="F764" t="str">
        <f>IF(Table1[[#This Row],[Age]]&lt;=25,"Young",IF(Table1[[#This Row],[Age]]&gt;55,"Old",IF(Table1[[#This Row],[Age]]&gt;25,"Middle","Na")))</f>
        <v>Middle</v>
      </c>
      <c r="G764" t="s">
        <v>14</v>
      </c>
      <c r="H764">
        <v>2</v>
      </c>
      <c r="I764">
        <v>25</v>
      </c>
      <c r="J764">
        <v>50</v>
      </c>
    </row>
    <row r="765" spans="1:10" x14ac:dyDescent="0.35">
      <c r="A765">
        <v>764</v>
      </c>
      <c r="B765" s="1">
        <v>45010</v>
      </c>
      <c r="C765" t="s">
        <v>777</v>
      </c>
      <c r="D765" t="s">
        <v>13</v>
      </c>
      <c r="E765">
        <v>40</v>
      </c>
      <c r="F765" t="str">
        <f>IF(Table1[[#This Row],[Age]]&lt;=25,"Young",IF(Table1[[#This Row],[Age]]&gt;55,"Old",IF(Table1[[#This Row],[Age]]&gt;25,"Middle","Na")))</f>
        <v>Middle</v>
      </c>
      <c r="G765" t="s">
        <v>14</v>
      </c>
      <c r="H765">
        <v>1</v>
      </c>
      <c r="I765">
        <v>25</v>
      </c>
      <c r="J765">
        <v>25</v>
      </c>
    </row>
    <row r="766" spans="1:10" x14ac:dyDescent="0.35">
      <c r="A766">
        <v>765</v>
      </c>
      <c r="B766" s="1">
        <v>45086</v>
      </c>
      <c r="C766" t="s">
        <v>778</v>
      </c>
      <c r="D766" t="s">
        <v>10</v>
      </c>
      <c r="E766">
        <v>43</v>
      </c>
      <c r="F766" t="str">
        <f>IF(Table1[[#This Row],[Age]]&lt;=25,"Young",IF(Table1[[#This Row],[Age]]&gt;55,"Old",IF(Table1[[#This Row],[Age]]&gt;25,"Middle","Na")))</f>
        <v>Middle</v>
      </c>
      <c r="G766" t="s">
        <v>14</v>
      </c>
      <c r="H766">
        <v>4</v>
      </c>
      <c r="I766">
        <v>50</v>
      </c>
      <c r="J766">
        <v>200</v>
      </c>
    </row>
    <row r="767" spans="1:10" x14ac:dyDescent="0.35">
      <c r="A767">
        <v>766</v>
      </c>
      <c r="B767" s="1">
        <v>44982</v>
      </c>
      <c r="C767" t="s">
        <v>779</v>
      </c>
      <c r="D767" t="s">
        <v>10</v>
      </c>
      <c r="E767">
        <v>38</v>
      </c>
      <c r="F767" t="str">
        <f>IF(Table1[[#This Row],[Age]]&lt;=25,"Young",IF(Table1[[#This Row],[Age]]&gt;55,"Old",IF(Table1[[#This Row],[Age]]&gt;25,"Middle","Na")))</f>
        <v>Middle</v>
      </c>
      <c r="G767" t="s">
        <v>16</v>
      </c>
      <c r="H767">
        <v>3</v>
      </c>
      <c r="I767">
        <v>300</v>
      </c>
      <c r="J767">
        <v>900</v>
      </c>
    </row>
    <row r="768" spans="1:10" x14ac:dyDescent="0.35">
      <c r="A768">
        <v>767</v>
      </c>
      <c r="B768" s="1">
        <v>45223</v>
      </c>
      <c r="C768" t="s">
        <v>780</v>
      </c>
      <c r="D768" t="s">
        <v>10</v>
      </c>
      <c r="E768">
        <v>39</v>
      </c>
      <c r="F768" t="str">
        <f>IF(Table1[[#This Row],[Age]]&lt;=25,"Young",IF(Table1[[#This Row],[Age]]&gt;55,"Old",IF(Table1[[#This Row],[Age]]&gt;25,"Middle","Na")))</f>
        <v>Middle</v>
      </c>
      <c r="G768" t="s">
        <v>11</v>
      </c>
      <c r="H768">
        <v>3</v>
      </c>
      <c r="I768">
        <v>25</v>
      </c>
      <c r="J768">
        <v>75</v>
      </c>
    </row>
    <row r="769" spans="1:10" x14ac:dyDescent="0.35">
      <c r="A769">
        <v>768</v>
      </c>
      <c r="B769" s="1">
        <v>44940</v>
      </c>
      <c r="C769" t="s">
        <v>781</v>
      </c>
      <c r="D769" t="s">
        <v>13</v>
      </c>
      <c r="E769">
        <v>24</v>
      </c>
      <c r="F769" t="str">
        <f>IF(Table1[[#This Row],[Age]]&lt;=25,"Young",IF(Table1[[#This Row],[Age]]&gt;55,"Old",IF(Table1[[#This Row],[Age]]&gt;25,"Middle","Na")))</f>
        <v>Young</v>
      </c>
      <c r="G769" t="s">
        <v>11</v>
      </c>
      <c r="H769">
        <v>3</v>
      </c>
      <c r="I769">
        <v>25</v>
      </c>
      <c r="J769">
        <v>75</v>
      </c>
    </row>
    <row r="770" spans="1:10" x14ac:dyDescent="0.35">
      <c r="A770">
        <v>769</v>
      </c>
      <c r="B770" s="1">
        <v>45086</v>
      </c>
      <c r="C770" t="s">
        <v>782</v>
      </c>
      <c r="D770" t="s">
        <v>13</v>
      </c>
      <c r="E770">
        <v>31</v>
      </c>
      <c r="F770" t="str">
        <f>IF(Table1[[#This Row],[Age]]&lt;=25,"Young",IF(Table1[[#This Row],[Age]]&gt;55,"Old",IF(Table1[[#This Row],[Age]]&gt;25,"Middle","Na")))</f>
        <v>Middle</v>
      </c>
      <c r="G770" t="s">
        <v>16</v>
      </c>
      <c r="H770">
        <v>4</v>
      </c>
      <c r="I770">
        <v>30</v>
      </c>
      <c r="J770">
        <v>120</v>
      </c>
    </row>
    <row r="771" spans="1:10" x14ac:dyDescent="0.35">
      <c r="A771">
        <v>770</v>
      </c>
      <c r="B771" s="1">
        <v>45221</v>
      </c>
      <c r="C771" t="s">
        <v>783</v>
      </c>
      <c r="D771" t="s">
        <v>10</v>
      </c>
      <c r="E771">
        <v>32</v>
      </c>
      <c r="F771" t="str">
        <f>IF(Table1[[#This Row],[Age]]&lt;=25,"Young",IF(Table1[[#This Row],[Age]]&gt;55,"Old",IF(Table1[[#This Row],[Age]]&gt;25,"Middle","Na")))</f>
        <v>Middle</v>
      </c>
      <c r="G771" t="s">
        <v>14</v>
      </c>
      <c r="H771">
        <v>1</v>
      </c>
      <c r="I771">
        <v>50</v>
      </c>
      <c r="J771">
        <v>50</v>
      </c>
    </row>
    <row r="772" spans="1:10" x14ac:dyDescent="0.35">
      <c r="A772">
        <v>771</v>
      </c>
      <c r="B772" s="1">
        <v>45273</v>
      </c>
      <c r="C772" t="s">
        <v>784</v>
      </c>
      <c r="D772" t="s">
        <v>10</v>
      </c>
      <c r="E772">
        <v>24</v>
      </c>
      <c r="F772" t="str">
        <f>IF(Table1[[#This Row],[Age]]&lt;=25,"Young",IF(Table1[[#This Row],[Age]]&gt;55,"Old",IF(Table1[[#This Row],[Age]]&gt;25,"Middle","Na")))</f>
        <v>Young</v>
      </c>
      <c r="G772" t="s">
        <v>16</v>
      </c>
      <c r="H772">
        <v>2</v>
      </c>
      <c r="I772">
        <v>25</v>
      </c>
      <c r="J772">
        <v>50</v>
      </c>
    </row>
    <row r="773" spans="1:10" x14ac:dyDescent="0.35">
      <c r="A773">
        <v>772</v>
      </c>
      <c r="B773" s="1">
        <v>45119</v>
      </c>
      <c r="C773" t="s">
        <v>785</v>
      </c>
      <c r="D773" t="s">
        <v>10</v>
      </c>
      <c r="E773">
        <v>26</v>
      </c>
      <c r="F773" t="str">
        <f>IF(Table1[[#This Row],[Age]]&lt;=25,"Young",IF(Table1[[#This Row],[Age]]&gt;55,"Old",IF(Table1[[#This Row],[Age]]&gt;25,"Middle","Na")))</f>
        <v>Middle</v>
      </c>
      <c r="G773" t="s">
        <v>16</v>
      </c>
      <c r="H773">
        <v>1</v>
      </c>
      <c r="I773">
        <v>30</v>
      </c>
      <c r="J773">
        <v>30</v>
      </c>
    </row>
    <row r="774" spans="1:10" x14ac:dyDescent="0.35">
      <c r="A774">
        <v>773</v>
      </c>
      <c r="B774" s="1">
        <v>45130</v>
      </c>
      <c r="C774" t="s">
        <v>786</v>
      </c>
      <c r="D774" t="s">
        <v>10</v>
      </c>
      <c r="E774">
        <v>25</v>
      </c>
      <c r="F774" t="str">
        <f>IF(Table1[[#This Row],[Age]]&lt;=25,"Young",IF(Table1[[#This Row],[Age]]&gt;55,"Old",IF(Table1[[#This Row],[Age]]&gt;25,"Middle","Na")))</f>
        <v>Young</v>
      </c>
      <c r="G774" t="s">
        <v>16</v>
      </c>
      <c r="H774">
        <v>4</v>
      </c>
      <c r="I774">
        <v>500</v>
      </c>
      <c r="J774">
        <v>2000</v>
      </c>
    </row>
    <row r="775" spans="1:10" x14ac:dyDescent="0.35">
      <c r="A775">
        <v>774</v>
      </c>
      <c r="B775" s="1">
        <v>45028</v>
      </c>
      <c r="C775" t="s">
        <v>787</v>
      </c>
      <c r="D775" t="s">
        <v>13</v>
      </c>
      <c r="E775">
        <v>40</v>
      </c>
      <c r="F775" t="str">
        <f>IF(Table1[[#This Row],[Age]]&lt;=25,"Young",IF(Table1[[#This Row],[Age]]&gt;55,"Old",IF(Table1[[#This Row],[Age]]&gt;25,"Middle","Na")))</f>
        <v>Middle</v>
      </c>
      <c r="G775" t="s">
        <v>14</v>
      </c>
      <c r="H775">
        <v>2</v>
      </c>
      <c r="I775">
        <v>25</v>
      </c>
      <c r="J775">
        <v>50</v>
      </c>
    </row>
    <row r="776" spans="1:10" x14ac:dyDescent="0.35">
      <c r="A776">
        <v>775</v>
      </c>
      <c r="B776" s="1">
        <v>44965</v>
      </c>
      <c r="C776" t="s">
        <v>788</v>
      </c>
      <c r="D776" t="s">
        <v>13</v>
      </c>
      <c r="E776">
        <v>46</v>
      </c>
      <c r="F776" t="str">
        <f>IF(Table1[[#This Row],[Age]]&lt;=25,"Young",IF(Table1[[#This Row],[Age]]&gt;55,"Old",IF(Table1[[#This Row],[Age]]&gt;25,"Middle","Na")))</f>
        <v>Middle</v>
      </c>
      <c r="G776" t="s">
        <v>16</v>
      </c>
      <c r="H776">
        <v>4</v>
      </c>
      <c r="I776">
        <v>25</v>
      </c>
      <c r="J776">
        <v>100</v>
      </c>
    </row>
    <row r="777" spans="1:10" x14ac:dyDescent="0.35">
      <c r="A777">
        <v>776</v>
      </c>
      <c r="B777" s="1">
        <v>45230</v>
      </c>
      <c r="C777" t="s">
        <v>789</v>
      </c>
      <c r="D777" t="s">
        <v>10</v>
      </c>
      <c r="E777">
        <v>35</v>
      </c>
      <c r="F777" t="str">
        <f>IF(Table1[[#This Row],[Age]]&lt;=25,"Young",IF(Table1[[#This Row],[Age]]&gt;55,"Old",IF(Table1[[#This Row],[Age]]&gt;25,"Middle","Na")))</f>
        <v>Middle</v>
      </c>
      <c r="G777" t="s">
        <v>14</v>
      </c>
      <c r="H777">
        <v>3</v>
      </c>
      <c r="I777">
        <v>30</v>
      </c>
      <c r="J777">
        <v>90</v>
      </c>
    </row>
    <row r="778" spans="1:10" x14ac:dyDescent="0.35">
      <c r="A778">
        <v>777</v>
      </c>
      <c r="B778" s="1">
        <v>45280</v>
      </c>
      <c r="C778" t="s">
        <v>790</v>
      </c>
      <c r="D778" t="s">
        <v>10</v>
      </c>
      <c r="E778">
        <v>48</v>
      </c>
      <c r="F778" t="str">
        <f>IF(Table1[[#This Row],[Age]]&lt;=25,"Young",IF(Table1[[#This Row],[Age]]&gt;55,"Old",IF(Table1[[#This Row],[Age]]&gt;25,"Middle","Na")))</f>
        <v>Middle</v>
      </c>
      <c r="G778" t="s">
        <v>16</v>
      </c>
      <c r="H778">
        <v>3</v>
      </c>
      <c r="I778">
        <v>50</v>
      </c>
      <c r="J778">
        <v>150</v>
      </c>
    </row>
    <row r="779" spans="1:10" x14ac:dyDescent="0.35">
      <c r="A779">
        <v>778</v>
      </c>
      <c r="B779" s="1">
        <v>45248</v>
      </c>
      <c r="C779" t="s">
        <v>791</v>
      </c>
      <c r="D779" t="s">
        <v>13</v>
      </c>
      <c r="E779">
        <v>47</v>
      </c>
      <c r="F779" t="str">
        <f>IF(Table1[[#This Row],[Age]]&lt;=25,"Young",IF(Table1[[#This Row],[Age]]&gt;55,"Old",IF(Table1[[#This Row],[Age]]&gt;25,"Middle","Na")))</f>
        <v>Middle</v>
      </c>
      <c r="G779" t="s">
        <v>11</v>
      </c>
      <c r="H779">
        <v>4</v>
      </c>
      <c r="I779">
        <v>25</v>
      </c>
      <c r="J779">
        <v>100</v>
      </c>
    </row>
    <row r="780" spans="1:10" x14ac:dyDescent="0.35">
      <c r="A780">
        <v>779</v>
      </c>
      <c r="B780" s="1">
        <v>45051</v>
      </c>
      <c r="C780" t="s">
        <v>792</v>
      </c>
      <c r="D780" t="s">
        <v>13</v>
      </c>
      <c r="E780">
        <v>56</v>
      </c>
      <c r="F780" t="str">
        <f>IF(Table1[[#This Row],[Age]]&lt;=25,"Young",IF(Table1[[#This Row],[Age]]&gt;55,"Old",IF(Table1[[#This Row],[Age]]&gt;25,"Middle","Na")))</f>
        <v>Old</v>
      </c>
      <c r="G780" t="s">
        <v>16</v>
      </c>
      <c r="H780">
        <v>2</v>
      </c>
      <c r="I780">
        <v>500</v>
      </c>
      <c r="J780">
        <v>1000</v>
      </c>
    </row>
    <row r="781" spans="1:10" x14ac:dyDescent="0.35">
      <c r="A781">
        <v>780</v>
      </c>
      <c r="B781" s="1">
        <v>44979</v>
      </c>
      <c r="C781" t="s">
        <v>793</v>
      </c>
      <c r="D781" t="s">
        <v>10</v>
      </c>
      <c r="E781">
        <v>52</v>
      </c>
      <c r="F781" t="str">
        <f>IF(Table1[[#This Row],[Age]]&lt;=25,"Young",IF(Table1[[#This Row],[Age]]&gt;55,"Old",IF(Table1[[#This Row],[Age]]&gt;25,"Middle","Na")))</f>
        <v>Middle</v>
      </c>
      <c r="G781" t="s">
        <v>16</v>
      </c>
      <c r="H781">
        <v>2</v>
      </c>
      <c r="I781">
        <v>25</v>
      </c>
      <c r="J781">
        <v>50</v>
      </c>
    </row>
    <row r="782" spans="1:10" x14ac:dyDescent="0.35">
      <c r="A782">
        <v>781</v>
      </c>
      <c r="B782" s="1">
        <v>45283</v>
      </c>
      <c r="C782" t="s">
        <v>794</v>
      </c>
      <c r="D782" t="s">
        <v>10</v>
      </c>
      <c r="E782">
        <v>35</v>
      </c>
      <c r="F782" t="str">
        <f>IF(Table1[[#This Row],[Age]]&lt;=25,"Young",IF(Table1[[#This Row],[Age]]&gt;55,"Old",IF(Table1[[#This Row],[Age]]&gt;25,"Middle","Na")))</f>
        <v>Middle</v>
      </c>
      <c r="G782" t="s">
        <v>11</v>
      </c>
      <c r="H782">
        <v>1</v>
      </c>
      <c r="I782">
        <v>500</v>
      </c>
      <c r="J782">
        <v>500</v>
      </c>
    </row>
    <row r="783" spans="1:10" x14ac:dyDescent="0.35">
      <c r="A783">
        <v>782</v>
      </c>
      <c r="B783" s="1">
        <v>45081</v>
      </c>
      <c r="C783" t="s">
        <v>795</v>
      </c>
      <c r="D783" t="s">
        <v>10</v>
      </c>
      <c r="E783">
        <v>59</v>
      </c>
      <c r="F783" t="str">
        <f>IF(Table1[[#This Row],[Age]]&lt;=25,"Young",IF(Table1[[#This Row],[Age]]&gt;55,"Old",IF(Table1[[#This Row],[Age]]&gt;25,"Middle","Na")))</f>
        <v>Old</v>
      </c>
      <c r="G783" t="s">
        <v>14</v>
      </c>
      <c r="H783">
        <v>3</v>
      </c>
      <c r="I783">
        <v>300</v>
      </c>
      <c r="J783">
        <v>900</v>
      </c>
    </row>
    <row r="784" spans="1:10" x14ac:dyDescent="0.35">
      <c r="A784">
        <v>783</v>
      </c>
      <c r="B784" s="1">
        <v>45277</v>
      </c>
      <c r="C784" t="s">
        <v>796</v>
      </c>
      <c r="D784" t="s">
        <v>13</v>
      </c>
      <c r="E784">
        <v>56</v>
      </c>
      <c r="F784" t="str">
        <f>IF(Table1[[#This Row],[Age]]&lt;=25,"Young",IF(Table1[[#This Row],[Age]]&gt;55,"Old",IF(Table1[[#This Row],[Age]]&gt;25,"Middle","Na")))</f>
        <v>Old</v>
      </c>
      <c r="G784" t="s">
        <v>14</v>
      </c>
      <c r="H784">
        <v>1</v>
      </c>
      <c r="I784">
        <v>300</v>
      </c>
      <c r="J784">
        <v>300</v>
      </c>
    </row>
    <row r="785" spans="1:10" x14ac:dyDescent="0.35">
      <c r="A785">
        <v>784</v>
      </c>
      <c r="B785" s="1">
        <v>45234</v>
      </c>
      <c r="C785" t="s">
        <v>797</v>
      </c>
      <c r="D785" t="s">
        <v>13</v>
      </c>
      <c r="E785">
        <v>34</v>
      </c>
      <c r="F785" t="str">
        <f>IF(Table1[[#This Row],[Age]]&lt;=25,"Young",IF(Table1[[#This Row],[Age]]&gt;55,"Old",IF(Table1[[#This Row],[Age]]&gt;25,"Middle","Na")))</f>
        <v>Middle</v>
      </c>
      <c r="G785" t="s">
        <v>16</v>
      </c>
      <c r="H785">
        <v>1</v>
      </c>
      <c r="I785">
        <v>500</v>
      </c>
      <c r="J785">
        <v>500</v>
      </c>
    </row>
    <row r="786" spans="1:10" x14ac:dyDescent="0.35">
      <c r="A786">
        <v>785</v>
      </c>
      <c r="B786" s="1">
        <v>44988</v>
      </c>
      <c r="C786" t="s">
        <v>798</v>
      </c>
      <c r="D786" t="s">
        <v>13</v>
      </c>
      <c r="E786">
        <v>31</v>
      </c>
      <c r="F786" t="str">
        <f>IF(Table1[[#This Row],[Age]]&lt;=25,"Young",IF(Table1[[#This Row],[Age]]&gt;55,"Old",IF(Table1[[#This Row],[Age]]&gt;25,"Middle","Na")))</f>
        <v>Middle</v>
      </c>
      <c r="G786" t="s">
        <v>11</v>
      </c>
      <c r="H786">
        <v>4</v>
      </c>
      <c r="I786">
        <v>50</v>
      </c>
      <c r="J786">
        <v>200</v>
      </c>
    </row>
    <row r="787" spans="1:10" x14ac:dyDescent="0.35">
      <c r="A787">
        <v>786</v>
      </c>
      <c r="B787" s="1">
        <v>45216</v>
      </c>
      <c r="C787" t="s">
        <v>799</v>
      </c>
      <c r="D787" t="s">
        <v>10</v>
      </c>
      <c r="E787">
        <v>48</v>
      </c>
      <c r="F787" t="str">
        <f>IF(Table1[[#This Row],[Age]]&lt;=25,"Young",IF(Table1[[#This Row],[Age]]&gt;55,"Old",IF(Table1[[#This Row],[Age]]&gt;25,"Middle","Na")))</f>
        <v>Middle</v>
      </c>
      <c r="G787" t="s">
        <v>14</v>
      </c>
      <c r="H787">
        <v>4</v>
      </c>
      <c r="I787">
        <v>25</v>
      </c>
      <c r="J787">
        <v>100</v>
      </c>
    </row>
    <row r="788" spans="1:10" x14ac:dyDescent="0.35">
      <c r="A788">
        <v>787</v>
      </c>
      <c r="B788" s="1">
        <v>44948</v>
      </c>
      <c r="C788" t="s">
        <v>800</v>
      </c>
      <c r="D788" t="s">
        <v>10</v>
      </c>
      <c r="E788">
        <v>41</v>
      </c>
      <c r="F788" t="str">
        <f>IF(Table1[[#This Row],[Age]]&lt;=25,"Young",IF(Table1[[#This Row],[Age]]&gt;55,"Old",IF(Table1[[#This Row],[Age]]&gt;25,"Middle","Na")))</f>
        <v>Middle</v>
      </c>
      <c r="G788" t="s">
        <v>16</v>
      </c>
      <c r="H788">
        <v>1</v>
      </c>
      <c r="I788">
        <v>25</v>
      </c>
      <c r="J788">
        <v>25</v>
      </c>
    </row>
    <row r="789" spans="1:10" x14ac:dyDescent="0.35">
      <c r="A789">
        <v>788</v>
      </c>
      <c r="B789" s="1">
        <v>45104</v>
      </c>
      <c r="C789" t="s">
        <v>801</v>
      </c>
      <c r="D789" t="s">
        <v>13</v>
      </c>
      <c r="E789">
        <v>52</v>
      </c>
      <c r="F789" t="str">
        <f>IF(Table1[[#This Row],[Age]]&lt;=25,"Young",IF(Table1[[#This Row],[Age]]&gt;55,"Old",IF(Table1[[#This Row],[Age]]&gt;25,"Middle","Na")))</f>
        <v>Middle</v>
      </c>
      <c r="G789" t="s">
        <v>11</v>
      </c>
      <c r="H789">
        <v>3</v>
      </c>
      <c r="I789">
        <v>300</v>
      </c>
      <c r="J789">
        <v>900</v>
      </c>
    </row>
    <row r="790" spans="1:10" x14ac:dyDescent="0.35">
      <c r="A790">
        <v>789</v>
      </c>
      <c r="B790" s="1">
        <v>45199</v>
      </c>
      <c r="C790" t="s">
        <v>802</v>
      </c>
      <c r="D790" t="s">
        <v>13</v>
      </c>
      <c r="E790">
        <v>61</v>
      </c>
      <c r="F790" t="str">
        <f>IF(Table1[[#This Row],[Age]]&lt;=25,"Young",IF(Table1[[#This Row],[Age]]&gt;55,"Old",IF(Table1[[#This Row],[Age]]&gt;25,"Middle","Na")))</f>
        <v>Old</v>
      </c>
      <c r="G790" t="s">
        <v>14</v>
      </c>
      <c r="H790">
        <v>4</v>
      </c>
      <c r="I790">
        <v>500</v>
      </c>
      <c r="J790">
        <v>2000</v>
      </c>
    </row>
    <row r="791" spans="1:10" x14ac:dyDescent="0.35">
      <c r="A791">
        <v>790</v>
      </c>
      <c r="B791" s="1">
        <v>45146</v>
      </c>
      <c r="C791" t="s">
        <v>803</v>
      </c>
      <c r="D791" t="s">
        <v>10</v>
      </c>
      <c r="E791">
        <v>62</v>
      </c>
      <c r="F791" t="str">
        <f>IF(Table1[[#This Row],[Age]]&lt;=25,"Young",IF(Table1[[#This Row],[Age]]&gt;55,"Old",IF(Table1[[#This Row],[Age]]&gt;25,"Middle","Na")))</f>
        <v>Old</v>
      </c>
      <c r="G791" t="s">
        <v>14</v>
      </c>
      <c r="H791">
        <v>1</v>
      </c>
      <c r="I791">
        <v>25</v>
      </c>
      <c r="J791">
        <v>25</v>
      </c>
    </row>
    <row r="792" spans="1:10" x14ac:dyDescent="0.35">
      <c r="A792">
        <v>791</v>
      </c>
      <c r="B792" s="1">
        <v>45265</v>
      </c>
      <c r="C792" t="s">
        <v>804</v>
      </c>
      <c r="D792" t="s">
        <v>13</v>
      </c>
      <c r="E792">
        <v>51</v>
      </c>
      <c r="F792" t="str">
        <f>IF(Table1[[#This Row],[Age]]&lt;=25,"Young",IF(Table1[[#This Row],[Age]]&gt;55,"Old",IF(Table1[[#This Row],[Age]]&gt;25,"Middle","Na")))</f>
        <v>Middle</v>
      </c>
      <c r="G792" t="s">
        <v>11</v>
      </c>
      <c r="H792">
        <v>1</v>
      </c>
      <c r="I792">
        <v>25</v>
      </c>
      <c r="J792">
        <v>25</v>
      </c>
    </row>
    <row r="793" spans="1:10" x14ac:dyDescent="0.35">
      <c r="A793">
        <v>792</v>
      </c>
      <c r="B793" s="1">
        <v>45116</v>
      </c>
      <c r="C793" t="s">
        <v>805</v>
      </c>
      <c r="D793" t="s">
        <v>13</v>
      </c>
      <c r="E793">
        <v>20</v>
      </c>
      <c r="F793" t="str">
        <f>IF(Table1[[#This Row],[Age]]&lt;=25,"Young",IF(Table1[[#This Row],[Age]]&gt;55,"Old",IF(Table1[[#This Row],[Age]]&gt;25,"Middle","Na")))</f>
        <v>Young</v>
      </c>
      <c r="G793" t="s">
        <v>11</v>
      </c>
      <c r="H793">
        <v>1</v>
      </c>
      <c r="I793">
        <v>50</v>
      </c>
      <c r="J793">
        <v>50</v>
      </c>
    </row>
    <row r="794" spans="1:10" x14ac:dyDescent="0.35">
      <c r="A794">
        <v>793</v>
      </c>
      <c r="B794" s="1">
        <v>44962</v>
      </c>
      <c r="C794" t="s">
        <v>806</v>
      </c>
      <c r="D794" t="s">
        <v>10</v>
      </c>
      <c r="E794">
        <v>54</v>
      </c>
      <c r="F794" t="str">
        <f>IF(Table1[[#This Row],[Age]]&lt;=25,"Young",IF(Table1[[#This Row],[Age]]&gt;55,"Old",IF(Table1[[#This Row],[Age]]&gt;25,"Middle","Na")))</f>
        <v>Middle</v>
      </c>
      <c r="G794" t="s">
        <v>11</v>
      </c>
      <c r="H794">
        <v>1</v>
      </c>
      <c r="I794">
        <v>30</v>
      </c>
      <c r="J794">
        <v>30</v>
      </c>
    </row>
    <row r="795" spans="1:10" x14ac:dyDescent="0.35">
      <c r="A795">
        <v>794</v>
      </c>
      <c r="B795" s="1">
        <v>45186</v>
      </c>
      <c r="C795" t="s">
        <v>807</v>
      </c>
      <c r="D795" t="s">
        <v>13</v>
      </c>
      <c r="E795">
        <v>60</v>
      </c>
      <c r="F795" t="str">
        <f>IF(Table1[[#This Row],[Age]]&lt;=25,"Young",IF(Table1[[#This Row],[Age]]&gt;55,"Old",IF(Table1[[#This Row],[Age]]&gt;25,"Middle","Na")))</f>
        <v>Old</v>
      </c>
      <c r="G795" t="s">
        <v>11</v>
      </c>
      <c r="H795">
        <v>1</v>
      </c>
      <c r="I795">
        <v>300</v>
      </c>
      <c r="J795">
        <v>300</v>
      </c>
    </row>
    <row r="796" spans="1:10" x14ac:dyDescent="0.35">
      <c r="A796">
        <v>795</v>
      </c>
      <c r="B796" s="1">
        <v>45258</v>
      </c>
      <c r="C796" t="s">
        <v>808</v>
      </c>
      <c r="D796" t="s">
        <v>10</v>
      </c>
      <c r="E796">
        <v>57</v>
      </c>
      <c r="F796" t="str">
        <f>IF(Table1[[#This Row],[Age]]&lt;=25,"Young",IF(Table1[[#This Row],[Age]]&gt;55,"Old",IF(Table1[[#This Row],[Age]]&gt;25,"Middle","Na")))</f>
        <v>Old</v>
      </c>
      <c r="G796" t="s">
        <v>16</v>
      </c>
      <c r="H796">
        <v>1</v>
      </c>
      <c r="I796">
        <v>300</v>
      </c>
      <c r="J796">
        <v>300</v>
      </c>
    </row>
    <row r="797" spans="1:10" x14ac:dyDescent="0.35">
      <c r="A797">
        <v>796</v>
      </c>
      <c r="B797" s="1">
        <v>45101</v>
      </c>
      <c r="C797" t="s">
        <v>809</v>
      </c>
      <c r="D797" t="s">
        <v>10</v>
      </c>
      <c r="E797">
        <v>43</v>
      </c>
      <c r="F797" t="str">
        <f>IF(Table1[[#This Row],[Age]]&lt;=25,"Young",IF(Table1[[#This Row],[Age]]&gt;55,"Old",IF(Table1[[#This Row],[Age]]&gt;25,"Middle","Na")))</f>
        <v>Middle</v>
      </c>
      <c r="G797" t="s">
        <v>11</v>
      </c>
      <c r="H797">
        <v>4</v>
      </c>
      <c r="I797">
        <v>30</v>
      </c>
      <c r="J797">
        <v>120</v>
      </c>
    </row>
    <row r="798" spans="1:10" x14ac:dyDescent="0.35">
      <c r="A798">
        <v>797</v>
      </c>
      <c r="B798" s="1">
        <v>44933</v>
      </c>
      <c r="C798" t="s">
        <v>810</v>
      </c>
      <c r="D798" t="s">
        <v>10</v>
      </c>
      <c r="E798">
        <v>40</v>
      </c>
      <c r="F798" t="str">
        <f>IF(Table1[[#This Row],[Age]]&lt;=25,"Young",IF(Table1[[#This Row],[Age]]&gt;55,"Old",IF(Table1[[#This Row],[Age]]&gt;25,"Middle","Na")))</f>
        <v>Middle</v>
      </c>
      <c r="G798" t="s">
        <v>14</v>
      </c>
      <c r="H798">
        <v>3</v>
      </c>
      <c r="I798">
        <v>25</v>
      </c>
      <c r="J798">
        <v>75</v>
      </c>
    </row>
    <row r="799" spans="1:10" x14ac:dyDescent="0.35">
      <c r="A799">
        <v>798</v>
      </c>
      <c r="B799" s="1">
        <v>45142</v>
      </c>
      <c r="C799" t="s">
        <v>811</v>
      </c>
      <c r="D799" t="s">
        <v>10</v>
      </c>
      <c r="E799">
        <v>61</v>
      </c>
      <c r="F799" t="str">
        <f>IF(Table1[[#This Row],[Age]]&lt;=25,"Young",IF(Table1[[#This Row],[Age]]&gt;55,"Old",IF(Table1[[#This Row],[Age]]&gt;25,"Middle","Na")))</f>
        <v>Old</v>
      </c>
      <c r="G799" t="s">
        <v>14</v>
      </c>
      <c r="H799">
        <v>1</v>
      </c>
      <c r="I799">
        <v>50</v>
      </c>
      <c r="J799">
        <v>50</v>
      </c>
    </row>
    <row r="800" spans="1:10" x14ac:dyDescent="0.35">
      <c r="A800">
        <v>799</v>
      </c>
      <c r="B800" s="1">
        <v>45177</v>
      </c>
      <c r="C800" t="s">
        <v>812</v>
      </c>
      <c r="D800" t="s">
        <v>10</v>
      </c>
      <c r="E800">
        <v>56</v>
      </c>
      <c r="F800" t="str">
        <f>IF(Table1[[#This Row],[Age]]&lt;=25,"Young",IF(Table1[[#This Row],[Age]]&gt;55,"Old",IF(Table1[[#This Row],[Age]]&gt;25,"Middle","Na")))</f>
        <v>Old</v>
      </c>
      <c r="G800" t="s">
        <v>16</v>
      </c>
      <c r="H800">
        <v>2</v>
      </c>
      <c r="I800">
        <v>50</v>
      </c>
      <c r="J800">
        <v>100</v>
      </c>
    </row>
    <row r="801" spans="1:10" x14ac:dyDescent="0.35">
      <c r="A801">
        <v>800</v>
      </c>
      <c r="B801" s="1">
        <v>44981</v>
      </c>
      <c r="C801" t="s">
        <v>813</v>
      </c>
      <c r="D801" t="s">
        <v>10</v>
      </c>
      <c r="E801">
        <v>32</v>
      </c>
      <c r="F801" t="str">
        <f>IF(Table1[[#This Row],[Age]]&lt;=25,"Young",IF(Table1[[#This Row],[Age]]&gt;55,"Old",IF(Table1[[#This Row],[Age]]&gt;25,"Middle","Na")))</f>
        <v>Middle</v>
      </c>
      <c r="G801" t="s">
        <v>14</v>
      </c>
      <c r="H801">
        <v>4</v>
      </c>
      <c r="I801">
        <v>300</v>
      </c>
      <c r="J801">
        <v>1200</v>
      </c>
    </row>
    <row r="802" spans="1:10" x14ac:dyDescent="0.35">
      <c r="A802">
        <v>801</v>
      </c>
      <c r="B802" s="1">
        <v>45148</v>
      </c>
      <c r="C802" t="s">
        <v>814</v>
      </c>
      <c r="D802" t="s">
        <v>10</v>
      </c>
      <c r="E802">
        <v>21</v>
      </c>
      <c r="F802" t="str">
        <f>IF(Table1[[#This Row],[Age]]&lt;=25,"Young",IF(Table1[[#This Row],[Age]]&gt;55,"Old",IF(Table1[[#This Row],[Age]]&gt;25,"Middle","Na")))</f>
        <v>Young</v>
      </c>
      <c r="G802" t="s">
        <v>14</v>
      </c>
      <c r="H802">
        <v>4</v>
      </c>
      <c r="I802">
        <v>50</v>
      </c>
      <c r="J802">
        <v>200</v>
      </c>
    </row>
    <row r="803" spans="1:10" x14ac:dyDescent="0.35">
      <c r="A803">
        <v>802</v>
      </c>
      <c r="B803" s="1">
        <v>45112</v>
      </c>
      <c r="C803" t="s">
        <v>815</v>
      </c>
      <c r="D803" t="s">
        <v>13</v>
      </c>
      <c r="E803">
        <v>46</v>
      </c>
      <c r="F803" t="str">
        <f>IF(Table1[[#This Row],[Age]]&lt;=25,"Young",IF(Table1[[#This Row],[Age]]&gt;55,"Old",IF(Table1[[#This Row],[Age]]&gt;25,"Middle","Na")))</f>
        <v>Middle</v>
      </c>
      <c r="G803" t="s">
        <v>11</v>
      </c>
      <c r="H803">
        <v>1</v>
      </c>
      <c r="I803">
        <v>30</v>
      </c>
      <c r="J803">
        <v>30</v>
      </c>
    </row>
    <row r="804" spans="1:10" x14ac:dyDescent="0.35">
      <c r="A804">
        <v>803</v>
      </c>
      <c r="B804" s="1">
        <v>45252</v>
      </c>
      <c r="C804" t="s">
        <v>816</v>
      </c>
      <c r="D804" t="s">
        <v>10</v>
      </c>
      <c r="E804">
        <v>39</v>
      </c>
      <c r="F804" t="str">
        <f>IF(Table1[[#This Row],[Age]]&lt;=25,"Young",IF(Table1[[#This Row],[Age]]&gt;55,"Old",IF(Table1[[#This Row],[Age]]&gt;25,"Middle","Na")))</f>
        <v>Middle</v>
      </c>
      <c r="G804" t="s">
        <v>14</v>
      </c>
      <c r="H804">
        <v>4</v>
      </c>
      <c r="I804">
        <v>25</v>
      </c>
      <c r="J804">
        <v>100</v>
      </c>
    </row>
    <row r="805" spans="1:10" x14ac:dyDescent="0.35">
      <c r="A805">
        <v>804</v>
      </c>
      <c r="B805" s="1">
        <v>45162</v>
      </c>
      <c r="C805" t="s">
        <v>817</v>
      </c>
      <c r="D805" t="s">
        <v>10</v>
      </c>
      <c r="E805">
        <v>42</v>
      </c>
      <c r="F805" t="str">
        <f>IF(Table1[[#This Row],[Age]]&lt;=25,"Young",IF(Table1[[#This Row],[Age]]&gt;55,"Old",IF(Table1[[#This Row],[Age]]&gt;25,"Middle","Na")))</f>
        <v>Middle</v>
      </c>
      <c r="G805" t="s">
        <v>16</v>
      </c>
      <c r="H805">
        <v>1</v>
      </c>
      <c r="I805">
        <v>30</v>
      </c>
      <c r="J805">
        <v>30</v>
      </c>
    </row>
    <row r="806" spans="1:10" x14ac:dyDescent="0.35">
      <c r="A806">
        <v>805</v>
      </c>
      <c r="B806" s="1">
        <v>45289</v>
      </c>
      <c r="C806" t="s">
        <v>818</v>
      </c>
      <c r="D806" t="s">
        <v>13</v>
      </c>
      <c r="E806">
        <v>30</v>
      </c>
      <c r="F806" t="str">
        <f>IF(Table1[[#This Row],[Age]]&lt;=25,"Young",IF(Table1[[#This Row],[Age]]&gt;55,"Old",IF(Table1[[#This Row],[Age]]&gt;25,"Middle","Na")))</f>
        <v>Middle</v>
      </c>
      <c r="G806" t="s">
        <v>11</v>
      </c>
      <c r="H806">
        <v>3</v>
      </c>
      <c r="I806">
        <v>500</v>
      </c>
      <c r="J806">
        <v>1500</v>
      </c>
    </row>
    <row r="807" spans="1:10" x14ac:dyDescent="0.35">
      <c r="A807">
        <v>806</v>
      </c>
      <c r="B807" s="1">
        <v>45005</v>
      </c>
      <c r="C807" t="s">
        <v>819</v>
      </c>
      <c r="D807" t="s">
        <v>13</v>
      </c>
      <c r="E807">
        <v>35</v>
      </c>
      <c r="F807" t="str">
        <f>IF(Table1[[#This Row],[Age]]&lt;=25,"Young",IF(Table1[[#This Row],[Age]]&gt;55,"Old",IF(Table1[[#This Row],[Age]]&gt;25,"Middle","Na")))</f>
        <v>Middle</v>
      </c>
      <c r="G807" t="s">
        <v>11</v>
      </c>
      <c r="H807">
        <v>3</v>
      </c>
      <c r="I807">
        <v>300</v>
      </c>
      <c r="J807">
        <v>900</v>
      </c>
    </row>
    <row r="808" spans="1:10" x14ac:dyDescent="0.35">
      <c r="A808">
        <v>807</v>
      </c>
      <c r="B808" s="1">
        <v>45149</v>
      </c>
      <c r="C808" t="s">
        <v>820</v>
      </c>
      <c r="D808" t="s">
        <v>13</v>
      </c>
      <c r="E808">
        <v>50</v>
      </c>
      <c r="F808" t="str">
        <f>IF(Table1[[#This Row],[Age]]&lt;=25,"Young",IF(Table1[[#This Row],[Age]]&gt;55,"Old",IF(Table1[[#This Row],[Age]]&gt;25,"Middle","Na")))</f>
        <v>Middle</v>
      </c>
      <c r="G808" t="s">
        <v>16</v>
      </c>
      <c r="H808">
        <v>4</v>
      </c>
      <c r="I808">
        <v>50</v>
      </c>
      <c r="J808">
        <v>200</v>
      </c>
    </row>
    <row r="809" spans="1:10" x14ac:dyDescent="0.35">
      <c r="A809">
        <v>808</v>
      </c>
      <c r="B809" s="1">
        <v>45017</v>
      </c>
      <c r="C809" t="s">
        <v>821</v>
      </c>
      <c r="D809" t="s">
        <v>10</v>
      </c>
      <c r="E809">
        <v>33</v>
      </c>
      <c r="F809" t="str">
        <f>IF(Table1[[#This Row],[Age]]&lt;=25,"Young",IF(Table1[[#This Row],[Age]]&gt;55,"Old",IF(Table1[[#This Row],[Age]]&gt;25,"Middle","Na")))</f>
        <v>Middle</v>
      </c>
      <c r="G809" t="s">
        <v>11</v>
      </c>
      <c r="H809">
        <v>4</v>
      </c>
      <c r="I809">
        <v>500</v>
      </c>
      <c r="J809">
        <v>2000</v>
      </c>
    </row>
    <row r="810" spans="1:10" x14ac:dyDescent="0.35">
      <c r="A810">
        <v>809</v>
      </c>
      <c r="B810" s="1">
        <v>45194</v>
      </c>
      <c r="C810" t="s">
        <v>822</v>
      </c>
      <c r="D810" t="s">
        <v>13</v>
      </c>
      <c r="E810">
        <v>62</v>
      </c>
      <c r="F810" t="str">
        <f>IF(Table1[[#This Row],[Age]]&lt;=25,"Young",IF(Table1[[#This Row],[Age]]&gt;55,"Old",IF(Table1[[#This Row],[Age]]&gt;25,"Middle","Na")))</f>
        <v>Old</v>
      </c>
      <c r="G810" t="s">
        <v>11</v>
      </c>
      <c r="H810">
        <v>2</v>
      </c>
      <c r="I810">
        <v>50</v>
      </c>
      <c r="J810">
        <v>100</v>
      </c>
    </row>
    <row r="811" spans="1:10" x14ac:dyDescent="0.35">
      <c r="A811">
        <v>810</v>
      </c>
      <c r="B811" s="1">
        <v>45260</v>
      </c>
      <c r="C811" t="s">
        <v>823</v>
      </c>
      <c r="D811" t="s">
        <v>10</v>
      </c>
      <c r="E811">
        <v>59</v>
      </c>
      <c r="F811" t="str">
        <f>IF(Table1[[#This Row],[Age]]&lt;=25,"Young",IF(Table1[[#This Row],[Age]]&gt;55,"Old",IF(Table1[[#This Row],[Age]]&gt;25,"Middle","Na")))</f>
        <v>Old</v>
      </c>
      <c r="G811" t="s">
        <v>16</v>
      </c>
      <c r="H811">
        <v>4</v>
      </c>
      <c r="I811">
        <v>25</v>
      </c>
      <c r="J811">
        <v>100</v>
      </c>
    </row>
    <row r="812" spans="1:10" x14ac:dyDescent="0.35">
      <c r="A812">
        <v>811</v>
      </c>
      <c r="B812" s="1">
        <v>45065</v>
      </c>
      <c r="C812" t="s">
        <v>824</v>
      </c>
      <c r="D812" t="s">
        <v>10</v>
      </c>
      <c r="E812">
        <v>61</v>
      </c>
      <c r="F812" t="str">
        <f>IF(Table1[[#This Row],[Age]]&lt;=25,"Young",IF(Table1[[#This Row],[Age]]&gt;55,"Old",IF(Table1[[#This Row],[Age]]&gt;25,"Middle","Na")))</f>
        <v>Old</v>
      </c>
      <c r="G812" t="s">
        <v>11</v>
      </c>
      <c r="H812">
        <v>2</v>
      </c>
      <c r="I812">
        <v>25</v>
      </c>
      <c r="J812">
        <v>50</v>
      </c>
    </row>
    <row r="813" spans="1:10" x14ac:dyDescent="0.35">
      <c r="A813">
        <v>812</v>
      </c>
      <c r="B813" s="1">
        <v>45242</v>
      </c>
      <c r="C813" t="s">
        <v>825</v>
      </c>
      <c r="D813" t="s">
        <v>10</v>
      </c>
      <c r="E813">
        <v>19</v>
      </c>
      <c r="F813" t="str">
        <f>IF(Table1[[#This Row],[Age]]&lt;=25,"Young",IF(Table1[[#This Row],[Age]]&gt;55,"Old",IF(Table1[[#This Row],[Age]]&gt;25,"Middle","Na")))</f>
        <v>Young</v>
      </c>
      <c r="G813" t="s">
        <v>16</v>
      </c>
      <c r="H813">
        <v>3</v>
      </c>
      <c r="I813">
        <v>25</v>
      </c>
      <c r="J813">
        <v>75</v>
      </c>
    </row>
    <row r="814" spans="1:10" x14ac:dyDescent="0.35">
      <c r="A814">
        <v>813</v>
      </c>
      <c r="B814" s="1">
        <v>45202</v>
      </c>
      <c r="C814" t="s">
        <v>826</v>
      </c>
      <c r="D814" t="s">
        <v>10</v>
      </c>
      <c r="E814">
        <v>52</v>
      </c>
      <c r="F814" t="str">
        <f>IF(Table1[[#This Row],[Age]]&lt;=25,"Young",IF(Table1[[#This Row],[Age]]&gt;55,"Old",IF(Table1[[#This Row],[Age]]&gt;25,"Middle","Na")))</f>
        <v>Middle</v>
      </c>
      <c r="G814" t="s">
        <v>16</v>
      </c>
      <c r="H814">
        <v>3</v>
      </c>
      <c r="I814">
        <v>50</v>
      </c>
      <c r="J814">
        <v>150</v>
      </c>
    </row>
    <row r="815" spans="1:10" x14ac:dyDescent="0.35">
      <c r="A815">
        <v>814</v>
      </c>
      <c r="B815" s="1">
        <v>45174</v>
      </c>
      <c r="C815" t="s">
        <v>827</v>
      </c>
      <c r="D815" t="s">
        <v>13</v>
      </c>
      <c r="E815">
        <v>59</v>
      </c>
      <c r="F815" t="str">
        <f>IF(Table1[[#This Row],[Age]]&lt;=25,"Young",IF(Table1[[#This Row],[Age]]&gt;55,"Old",IF(Table1[[#This Row],[Age]]&gt;25,"Middle","Na")))</f>
        <v>Old</v>
      </c>
      <c r="G815" t="s">
        <v>14</v>
      </c>
      <c r="H815">
        <v>1</v>
      </c>
      <c r="I815">
        <v>500</v>
      </c>
      <c r="J815">
        <v>500</v>
      </c>
    </row>
    <row r="816" spans="1:10" x14ac:dyDescent="0.35">
      <c r="A816">
        <v>815</v>
      </c>
      <c r="B816" s="1">
        <v>45165</v>
      </c>
      <c r="C816" t="s">
        <v>828</v>
      </c>
      <c r="D816" t="s">
        <v>13</v>
      </c>
      <c r="E816">
        <v>51</v>
      </c>
      <c r="F816" t="str">
        <f>IF(Table1[[#This Row],[Age]]&lt;=25,"Young",IF(Table1[[#This Row],[Age]]&gt;55,"Old",IF(Table1[[#This Row],[Age]]&gt;25,"Middle","Na")))</f>
        <v>Middle</v>
      </c>
      <c r="G816" t="s">
        <v>14</v>
      </c>
      <c r="H816">
        <v>3</v>
      </c>
      <c r="I816">
        <v>25</v>
      </c>
      <c r="J816">
        <v>75</v>
      </c>
    </row>
    <row r="817" spans="1:10" x14ac:dyDescent="0.35">
      <c r="A817">
        <v>816</v>
      </c>
      <c r="B817" s="1">
        <v>45150</v>
      </c>
      <c r="C817" t="s">
        <v>829</v>
      </c>
      <c r="D817" t="s">
        <v>10</v>
      </c>
      <c r="E817">
        <v>47</v>
      </c>
      <c r="F817" t="str">
        <f>IF(Table1[[#This Row],[Age]]&lt;=25,"Young",IF(Table1[[#This Row],[Age]]&gt;55,"Old",IF(Table1[[#This Row],[Age]]&gt;25,"Middle","Na")))</f>
        <v>Middle</v>
      </c>
      <c r="G817" t="s">
        <v>11</v>
      </c>
      <c r="H817">
        <v>2</v>
      </c>
      <c r="I817">
        <v>500</v>
      </c>
      <c r="J817">
        <v>1000</v>
      </c>
    </row>
    <row r="818" spans="1:10" x14ac:dyDescent="0.35">
      <c r="A818">
        <v>817</v>
      </c>
      <c r="B818" s="1">
        <v>45230</v>
      </c>
      <c r="C818" t="s">
        <v>830</v>
      </c>
      <c r="D818" t="s">
        <v>10</v>
      </c>
      <c r="E818">
        <v>30</v>
      </c>
      <c r="F818" t="str">
        <f>IF(Table1[[#This Row],[Age]]&lt;=25,"Young",IF(Table1[[#This Row],[Age]]&gt;55,"Old",IF(Table1[[#This Row],[Age]]&gt;25,"Middle","Na")))</f>
        <v>Middle</v>
      </c>
      <c r="G818" t="s">
        <v>11</v>
      </c>
      <c r="H818">
        <v>4</v>
      </c>
      <c r="I818">
        <v>50</v>
      </c>
      <c r="J818">
        <v>200</v>
      </c>
    </row>
    <row r="819" spans="1:10" x14ac:dyDescent="0.35">
      <c r="A819">
        <v>818</v>
      </c>
      <c r="B819" s="1">
        <v>45064</v>
      </c>
      <c r="C819" t="s">
        <v>831</v>
      </c>
      <c r="D819" t="s">
        <v>10</v>
      </c>
      <c r="E819">
        <v>30</v>
      </c>
      <c r="F819" t="str">
        <f>IF(Table1[[#This Row],[Age]]&lt;=25,"Young",IF(Table1[[#This Row],[Age]]&gt;55,"Old",IF(Table1[[#This Row],[Age]]&gt;25,"Middle","Na")))</f>
        <v>Middle</v>
      </c>
      <c r="G819" t="s">
        <v>16</v>
      </c>
      <c r="H819">
        <v>1</v>
      </c>
      <c r="I819">
        <v>500</v>
      </c>
      <c r="J819">
        <v>500</v>
      </c>
    </row>
    <row r="820" spans="1:10" x14ac:dyDescent="0.35">
      <c r="A820">
        <v>819</v>
      </c>
      <c r="B820" s="1">
        <v>45092</v>
      </c>
      <c r="C820" t="s">
        <v>832</v>
      </c>
      <c r="D820" t="s">
        <v>13</v>
      </c>
      <c r="E820">
        <v>35</v>
      </c>
      <c r="F820" t="str">
        <f>IF(Table1[[#This Row],[Age]]&lt;=25,"Young",IF(Table1[[#This Row],[Age]]&gt;55,"Old",IF(Table1[[#This Row],[Age]]&gt;25,"Middle","Na")))</f>
        <v>Middle</v>
      </c>
      <c r="G820" t="s">
        <v>11</v>
      </c>
      <c r="H820">
        <v>2</v>
      </c>
      <c r="I820">
        <v>50</v>
      </c>
      <c r="J820">
        <v>100</v>
      </c>
    </row>
    <row r="821" spans="1:10" x14ac:dyDescent="0.35">
      <c r="A821">
        <v>820</v>
      </c>
      <c r="B821" s="1">
        <v>45052</v>
      </c>
      <c r="C821" t="s">
        <v>833</v>
      </c>
      <c r="D821" t="s">
        <v>10</v>
      </c>
      <c r="E821">
        <v>49</v>
      </c>
      <c r="F821" t="str">
        <f>IF(Table1[[#This Row],[Age]]&lt;=25,"Young",IF(Table1[[#This Row],[Age]]&gt;55,"Old",IF(Table1[[#This Row],[Age]]&gt;25,"Middle","Na")))</f>
        <v>Middle</v>
      </c>
      <c r="G821" t="s">
        <v>16</v>
      </c>
      <c r="H821">
        <v>4</v>
      </c>
      <c r="I821">
        <v>50</v>
      </c>
      <c r="J821">
        <v>200</v>
      </c>
    </row>
    <row r="822" spans="1:10" x14ac:dyDescent="0.35">
      <c r="A822">
        <v>821</v>
      </c>
      <c r="B822" s="1">
        <v>44971</v>
      </c>
      <c r="C822" t="s">
        <v>834</v>
      </c>
      <c r="D822" t="s">
        <v>10</v>
      </c>
      <c r="E822">
        <v>49</v>
      </c>
      <c r="F822" t="str">
        <f>IF(Table1[[#This Row],[Age]]&lt;=25,"Young",IF(Table1[[#This Row],[Age]]&gt;55,"Old",IF(Table1[[#This Row],[Age]]&gt;25,"Middle","Na")))</f>
        <v>Middle</v>
      </c>
      <c r="G822" t="s">
        <v>16</v>
      </c>
      <c r="H822">
        <v>1</v>
      </c>
      <c r="I822">
        <v>300</v>
      </c>
      <c r="J822">
        <v>300</v>
      </c>
    </row>
    <row r="823" spans="1:10" x14ac:dyDescent="0.35">
      <c r="A823">
        <v>822</v>
      </c>
      <c r="B823" s="1">
        <v>45069</v>
      </c>
      <c r="C823" t="s">
        <v>835</v>
      </c>
      <c r="D823" t="s">
        <v>13</v>
      </c>
      <c r="E823">
        <v>52</v>
      </c>
      <c r="F823" t="str">
        <f>IF(Table1[[#This Row],[Age]]&lt;=25,"Young",IF(Table1[[#This Row],[Age]]&gt;55,"Old",IF(Table1[[#This Row],[Age]]&gt;25,"Middle","Na")))</f>
        <v>Middle</v>
      </c>
      <c r="G823" t="s">
        <v>11</v>
      </c>
      <c r="H823">
        <v>3</v>
      </c>
      <c r="I823">
        <v>50</v>
      </c>
      <c r="J823">
        <v>150</v>
      </c>
    </row>
    <row r="824" spans="1:10" x14ac:dyDescent="0.35">
      <c r="A824">
        <v>823</v>
      </c>
      <c r="B824" s="1">
        <v>45157</v>
      </c>
      <c r="C824" t="s">
        <v>836</v>
      </c>
      <c r="D824" t="s">
        <v>13</v>
      </c>
      <c r="E824">
        <v>56</v>
      </c>
      <c r="F824" t="str">
        <f>IF(Table1[[#This Row],[Age]]&lt;=25,"Young",IF(Table1[[#This Row],[Age]]&gt;55,"Old",IF(Table1[[#This Row],[Age]]&gt;25,"Middle","Na")))</f>
        <v>Old</v>
      </c>
      <c r="G824" t="s">
        <v>16</v>
      </c>
      <c r="H824">
        <v>2</v>
      </c>
      <c r="I824">
        <v>50</v>
      </c>
      <c r="J824">
        <v>100</v>
      </c>
    </row>
    <row r="825" spans="1:10" x14ac:dyDescent="0.35">
      <c r="A825">
        <v>824</v>
      </c>
      <c r="B825" s="1">
        <v>45051</v>
      </c>
      <c r="C825" t="s">
        <v>837</v>
      </c>
      <c r="D825" t="s">
        <v>10</v>
      </c>
      <c r="E825">
        <v>63</v>
      </c>
      <c r="F825" t="str">
        <f>IF(Table1[[#This Row],[Age]]&lt;=25,"Young",IF(Table1[[#This Row],[Age]]&gt;55,"Old",IF(Table1[[#This Row],[Age]]&gt;25,"Middle","Na")))</f>
        <v>Old</v>
      </c>
      <c r="G825" t="s">
        <v>14</v>
      </c>
      <c r="H825">
        <v>4</v>
      </c>
      <c r="I825">
        <v>30</v>
      </c>
      <c r="J825">
        <v>120</v>
      </c>
    </row>
    <row r="826" spans="1:10" x14ac:dyDescent="0.35">
      <c r="A826">
        <v>825</v>
      </c>
      <c r="B826" s="1">
        <v>45164</v>
      </c>
      <c r="C826" t="s">
        <v>838</v>
      </c>
      <c r="D826" t="s">
        <v>13</v>
      </c>
      <c r="E826">
        <v>46</v>
      </c>
      <c r="F826" t="str">
        <f>IF(Table1[[#This Row],[Age]]&lt;=25,"Young",IF(Table1[[#This Row],[Age]]&gt;55,"Old",IF(Table1[[#This Row],[Age]]&gt;25,"Middle","Na")))</f>
        <v>Middle</v>
      </c>
      <c r="G826" t="s">
        <v>11</v>
      </c>
      <c r="H826">
        <v>1</v>
      </c>
      <c r="I826">
        <v>25</v>
      </c>
      <c r="J826">
        <v>25</v>
      </c>
    </row>
    <row r="827" spans="1:10" x14ac:dyDescent="0.35">
      <c r="A827">
        <v>826</v>
      </c>
      <c r="B827" s="1">
        <v>45218</v>
      </c>
      <c r="C827" t="s">
        <v>839</v>
      </c>
      <c r="D827" t="s">
        <v>13</v>
      </c>
      <c r="E827">
        <v>46</v>
      </c>
      <c r="F827" t="str">
        <f>IF(Table1[[#This Row],[Age]]&lt;=25,"Young",IF(Table1[[#This Row],[Age]]&gt;55,"Old",IF(Table1[[#This Row],[Age]]&gt;25,"Middle","Na")))</f>
        <v>Middle</v>
      </c>
      <c r="G827" t="s">
        <v>14</v>
      </c>
      <c r="H827">
        <v>1</v>
      </c>
      <c r="I827">
        <v>300</v>
      </c>
      <c r="J827">
        <v>300</v>
      </c>
    </row>
    <row r="828" spans="1:10" x14ac:dyDescent="0.35">
      <c r="A828">
        <v>827</v>
      </c>
      <c r="B828" s="1">
        <v>45239</v>
      </c>
      <c r="C828" t="s">
        <v>840</v>
      </c>
      <c r="D828" t="s">
        <v>10</v>
      </c>
      <c r="E828">
        <v>61</v>
      </c>
      <c r="F828" t="str">
        <f>IF(Table1[[#This Row],[Age]]&lt;=25,"Young",IF(Table1[[#This Row],[Age]]&gt;55,"Old",IF(Table1[[#This Row],[Age]]&gt;25,"Middle","Na")))</f>
        <v>Old</v>
      </c>
      <c r="G828" t="s">
        <v>11</v>
      </c>
      <c r="H828">
        <v>3</v>
      </c>
      <c r="I828">
        <v>300</v>
      </c>
      <c r="J828">
        <v>900</v>
      </c>
    </row>
    <row r="829" spans="1:10" x14ac:dyDescent="0.35">
      <c r="A829">
        <v>828</v>
      </c>
      <c r="B829" s="1">
        <v>45269</v>
      </c>
      <c r="C829" t="s">
        <v>841</v>
      </c>
      <c r="D829" t="s">
        <v>13</v>
      </c>
      <c r="E829">
        <v>33</v>
      </c>
      <c r="F829" t="str">
        <f>IF(Table1[[#This Row],[Age]]&lt;=25,"Young",IF(Table1[[#This Row],[Age]]&gt;55,"Old",IF(Table1[[#This Row],[Age]]&gt;25,"Middle","Na")))</f>
        <v>Middle</v>
      </c>
      <c r="G829" t="s">
        <v>16</v>
      </c>
      <c r="H829">
        <v>4</v>
      </c>
      <c r="I829">
        <v>300</v>
      </c>
      <c r="J829">
        <v>1200</v>
      </c>
    </row>
    <row r="830" spans="1:10" x14ac:dyDescent="0.35">
      <c r="A830">
        <v>829</v>
      </c>
      <c r="B830" s="1">
        <v>45121</v>
      </c>
      <c r="C830" t="s">
        <v>842</v>
      </c>
      <c r="D830" t="s">
        <v>10</v>
      </c>
      <c r="E830">
        <v>61</v>
      </c>
      <c r="F830" t="str">
        <f>IF(Table1[[#This Row],[Age]]&lt;=25,"Young",IF(Table1[[#This Row],[Age]]&gt;55,"Old",IF(Table1[[#This Row],[Age]]&gt;25,"Middle","Na")))</f>
        <v>Old</v>
      </c>
      <c r="G830" t="s">
        <v>11</v>
      </c>
      <c r="H830">
        <v>3</v>
      </c>
      <c r="I830">
        <v>30</v>
      </c>
      <c r="J830">
        <v>90</v>
      </c>
    </row>
    <row r="831" spans="1:10" x14ac:dyDescent="0.35">
      <c r="A831">
        <v>830</v>
      </c>
      <c r="B831" s="1">
        <v>45099</v>
      </c>
      <c r="C831" t="s">
        <v>843</v>
      </c>
      <c r="D831" t="s">
        <v>13</v>
      </c>
      <c r="E831">
        <v>64</v>
      </c>
      <c r="F831" t="str">
        <f>IF(Table1[[#This Row],[Age]]&lt;=25,"Young",IF(Table1[[#This Row],[Age]]&gt;55,"Old",IF(Table1[[#This Row],[Age]]&gt;25,"Middle","Na")))</f>
        <v>Old</v>
      </c>
      <c r="G831" t="s">
        <v>14</v>
      </c>
      <c r="H831">
        <v>3</v>
      </c>
      <c r="I831">
        <v>50</v>
      </c>
      <c r="J831">
        <v>150</v>
      </c>
    </row>
    <row r="832" spans="1:10" x14ac:dyDescent="0.35">
      <c r="A832">
        <v>831</v>
      </c>
      <c r="B832" s="1">
        <v>44941</v>
      </c>
      <c r="C832" t="s">
        <v>844</v>
      </c>
      <c r="D832" t="s">
        <v>10</v>
      </c>
      <c r="E832">
        <v>27</v>
      </c>
      <c r="F832" t="str">
        <f>IF(Table1[[#This Row],[Age]]&lt;=25,"Young",IF(Table1[[#This Row],[Age]]&gt;55,"Old",IF(Table1[[#This Row],[Age]]&gt;25,"Middle","Na")))</f>
        <v>Middle</v>
      </c>
      <c r="G832" t="s">
        <v>16</v>
      </c>
      <c r="H832">
        <v>4</v>
      </c>
      <c r="I832">
        <v>25</v>
      </c>
      <c r="J832">
        <v>100</v>
      </c>
    </row>
    <row r="833" spans="1:10" x14ac:dyDescent="0.35">
      <c r="A833">
        <v>832</v>
      </c>
      <c r="B833" s="1">
        <v>45180</v>
      </c>
      <c r="C833" t="s">
        <v>845</v>
      </c>
      <c r="D833" t="s">
        <v>10</v>
      </c>
      <c r="E833">
        <v>47</v>
      </c>
      <c r="F833" t="str">
        <f>IF(Table1[[#This Row],[Age]]&lt;=25,"Young",IF(Table1[[#This Row],[Age]]&gt;55,"Old",IF(Table1[[#This Row],[Age]]&gt;25,"Middle","Na")))</f>
        <v>Middle</v>
      </c>
      <c r="G833" t="s">
        <v>11</v>
      </c>
      <c r="H833">
        <v>4</v>
      </c>
      <c r="I833">
        <v>500</v>
      </c>
      <c r="J833">
        <v>2000</v>
      </c>
    </row>
    <row r="834" spans="1:10" x14ac:dyDescent="0.35">
      <c r="A834">
        <v>833</v>
      </c>
      <c r="B834" s="1">
        <v>45093</v>
      </c>
      <c r="C834" t="s">
        <v>846</v>
      </c>
      <c r="D834" t="s">
        <v>10</v>
      </c>
      <c r="E834">
        <v>42</v>
      </c>
      <c r="F834" t="str">
        <f>IF(Table1[[#This Row],[Age]]&lt;=25,"Young",IF(Table1[[#This Row],[Age]]&gt;55,"Old",IF(Table1[[#This Row],[Age]]&gt;25,"Middle","Na")))</f>
        <v>Middle</v>
      </c>
      <c r="G834" t="s">
        <v>11</v>
      </c>
      <c r="H834">
        <v>4</v>
      </c>
      <c r="I834">
        <v>50</v>
      </c>
      <c r="J834">
        <v>200</v>
      </c>
    </row>
    <row r="835" spans="1:10" x14ac:dyDescent="0.35">
      <c r="A835">
        <v>834</v>
      </c>
      <c r="B835" s="1">
        <v>45020</v>
      </c>
      <c r="C835" t="s">
        <v>847</v>
      </c>
      <c r="D835" t="s">
        <v>13</v>
      </c>
      <c r="E835">
        <v>56</v>
      </c>
      <c r="F835" t="str">
        <f>IF(Table1[[#This Row],[Age]]&lt;=25,"Young",IF(Table1[[#This Row],[Age]]&gt;55,"Old",IF(Table1[[#This Row],[Age]]&gt;25,"Middle","Na")))</f>
        <v>Old</v>
      </c>
      <c r="G835" t="s">
        <v>11</v>
      </c>
      <c r="H835">
        <v>2</v>
      </c>
      <c r="I835">
        <v>30</v>
      </c>
      <c r="J835">
        <v>60</v>
      </c>
    </row>
    <row r="836" spans="1:10" x14ac:dyDescent="0.35">
      <c r="A836">
        <v>835</v>
      </c>
      <c r="B836" s="1">
        <v>45176</v>
      </c>
      <c r="C836" t="s">
        <v>848</v>
      </c>
      <c r="D836" t="s">
        <v>10</v>
      </c>
      <c r="E836">
        <v>37</v>
      </c>
      <c r="F836" t="str">
        <f>IF(Table1[[#This Row],[Age]]&lt;=25,"Young",IF(Table1[[#This Row],[Age]]&gt;55,"Old",IF(Table1[[#This Row],[Age]]&gt;25,"Middle","Na")))</f>
        <v>Middle</v>
      </c>
      <c r="G836" t="s">
        <v>14</v>
      </c>
      <c r="H836">
        <v>4</v>
      </c>
      <c r="I836">
        <v>50</v>
      </c>
      <c r="J836">
        <v>200</v>
      </c>
    </row>
    <row r="837" spans="1:10" x14ac:dyDescent="0.35">
      <c r="A837">
        <v>836</v>
      </c>
      <c r="B837" s="1">
        <v>45035</v>
      </c>
      <c r="C837" t="s">
        <v>849</v>
      </c>
      <c r="D837" t="s">
        <v>13</v>
      </c>
      <c r="E837">
        <v>22</v>
      </c>
      <c r="F837" t="str">
        <f>IF(Table1[[#This Row],[Age]]&lt;=25,"Young",IF(Table1[[#This Row],[Age]]&gt;55,"Old",IF(Table1[[#This Row],[Age]]&gt;25,"Middle","Na")))</f>
        <v>Young</v>
      </c>
      <c r="G837" t="s">
        <v>14</v>
      </c>
      <c r="H837">
        <v>1</v>
      </c>
      <c r="I837">
        <v>50</v>
      </c>
      <c r="J837">
        <v>50</v>
      </c>
    </row>
    <row r="838" spans="1:10" x14ac:dyDescent="0.35">
      <c r="A838">
        <v>837</v>
      </c>
      <c r="B838" s="1">
        <v>45108</v>
      </c>
      <c r="C838" t="s">
        <v>850</v>
      </c>
      <c r="D838" t="s">
        <v>10</v>
      </c>
      <c r="E838">
        <v>18</v>
      </c>
      <c r="F838" t="str">
        <f>IF(Table1[[#This Row],[Age]]&lt;=25,"Young",IF(Table1[[#This Row],[Age]]&gt;55,"Old",IF(Table1[[#This Row],[Age]]&gt;25,"Middle","Na")))</f>
        <v>Young</v>
      </c>
      <c r="G838" t="s">
        <v>11</v>
      </c>
      <c r="H838">
        <v>3</v>
      </c>
      <c r="I838">
        <v>30</v>
      </c>
      <c r="J838">
        <v>90</v>
      </c>
    </row>
    <row r="839" spans="1:10" x14ac:dyDescent="0.35">
      <c r="A839">
        <v>838</v>
      </c>
      <c r="B839" s="1">
        <v>45059</v>
      </c>
      <c r="C839" t="s">
        <v>851</v>
      </c>
      <c r="D839" t="s">
        <v>10</v>
      </c>
      <c r="E839">
        <v>47</v>
      </c>
      <c r="F839" t="str">
        <f>IF(Table1[[#This Row],[Age]]&lt;=25,"Young",IF(Table1[[#This Row],[Age]]&gt;55,"Old",IF(Table1[[#This Row],[Age]]&gt;25,"Middle","Na")))</f>
        <v>Middle</v>
      </c>
      <c r="G839" t="s">
        <v>16</v>
      </c>
      <c r="H839">
        <v>2</v>
      </c>
      <c r="I839">
        <v>300</v>
      </c>
      <c r="J839">
        <v>600</v>
      </c>
    </row>
    <row r="840" spans="1:10" x14ac:dyDescent="0.35">
      <c r="A840">
        <v>839</v>
      </c>
      <c r="B840" s="1">
        <v>45101</v>
      </c>
      <c r="C840" t="s">
        <v>852</v>
      </c>
      <c r="D840" t="s">
        <v>13</v>
      </c>
      <c r="E840">
        <v>20</v>
      </c>
      <c r="F840" t="str">
        <f>IF(Table1[[#This Row],[Age]]&lt;=25,"Young",IF(Table1[[#This Row],[Age]]&gt;55,"Old",IF(Table1[[#This Row],[Age]]&gt;25,"Middle","Na")))</f>
        <v>Young</v>
      </c>
      <c r="G840" t="s">
        <v>16</v>
      </c>
      <c r="H840">
        <v>4</v>
      </c>
      <c r="I840">
        <v>300</v>
      </c>
      <c r="J840">
        <v>1200</v>
      </c>
    </row>
    <row r="841" spans="1:10" x14ac:dyDescent="0.35">
      <c r="A841">
        <v>840</v>
      </c>
      <c r="B841" s="1">
        <v>45070</v>
      </c>
      <c r="C841" t="s">
        <v>853</v>
      </c>
      <c r="D841" t="s">
        <v>10</v>
      </c>
      <c r="E841">
        <v>62</v>
      </c>
      <c r="F841" t="str">
        <f>IF(Table1[[#This Row],[Age]]&lt;=25,"Young",IF(Table1[[#This Row],[Age]]&gt;55,"Old",IF(Table1[[#This Row],[Age]]&gt;25,"Middle","Na")))</f>
        <v>Old</v>
      </c>
      <c r="G841" t="s">
        <v>14</v>
      </c>
      <c r="H841">
        <v>2</v>
      </c>
      <c r="I841">
        <v>25</v>
      </c>
      <c r="J841">
        <v>50</v>
      </c>
    </row>
    <row r="842" spans="1:10" x14ac:dyDescent="0.35">
      <c r="A842">
        <v>841</v>
      </c>
      <c r="B842" s="1">
        <v>45232</v>
      </c>
      <c r="C842" t="s">
        <v>854</v>
      </c>
      <c r="D842" t="s">
        <v>10</v>
      </c>
      <c r="E842">
        <v>31</v>
      </c>
      <c r="F842" t="str">
        <f>IF(Table1[[#This Row],[Age]]&lt;=25,"Young",IF(Table1[[#This Row],[Age]]&gt;55,"Old",IF(Table1[[#This Row],[Age]]&gt;25,"Middle","Na")))</f>
        <v>Middle</v>
      </c>
      <c r="G842" t="s">
        <v>16</v>
      </c>
      <c r="H842">
        <v>4</v>
      </c>
      <c r="I842">
        <v>25</v>
      </c>
      <c r="J842">
        <v>100</v>
      </c>
    </row>
    <row r="843" spans="1:10" x14ac:dyDescent="0.35">
      <c r="A843">
        <v>842</v>
      </c>
      <c r="B843" s="1">
        <v>45286</v>
      </c>
      <c r="C843" t="s">
        <v>855</v>
      </c>
      <c r="D843" t="s">
        <v>13</v>
      </c>
      <c r="E843">
        <v>47</v>
      </c>
      <c r="F843" t="str">
        <f>IF(Table1[[#This Row],[Age]]&lt;=25,"Young",IF(Table1[[#This Row],[Age]]&gt;55,"Old",IF(Table1[[#This Row],[Age]]&gt;25,"Middle","Na")))</f>
        <v>Middle</v>
      </c>
      <c r="G843" t="s">
        <v>14</v>
      </c>
      <c r="H843">
        <v>2</v>
      </c>
      <c r="I843">
        <v>300</v>
      </c>
      <c r="J843">
        <v>600</v>
      </c>
    </row>
    <row r="844" spans="1:10" x14ac:dyDescent="0.35">
      <c r="A844">
        <v>843</v>
      </c>
      <c r="B844" s="1">
        <v>45068</v>
      </c>
      <c r="C844" t="s">
        <v>856</v>
      </c>
      <c r="D844" t="s">
        <v>10</v>
      </c>
      <c r="E844">
        <v>21</v>
      </c>
      <c r="F844" t="str">
        <f>IF(Table1[[#This Row],[Age]]&lt;=25,"Young",IF(Table1[[#This Row],[Age]]&gt;55,"Old",IF(Table1[[#This Row],[Age]]&gt;25,"Middle","Na")))</f>
        <v>Young</v>
      </c>
      <c r="G844" t="s">
        <v>11</v>
      </c>
      <c r="H844">
        <v>3</v>
      </c>
      <c r="I844">
        <v>500</v>
      </c>
      <c r="J844">
        <v>1500</v>
      </c>
    </row>
    <row r="845" spans="1:10" x14ac:dyDescent="0.35">
      <c r="A845">
        <v>844</v>
      </c>
      <c r="B845" s="1">
        <v>45211</v>
      </c>
      <c r="C845" t="s">
        <v>857</v>
      </c>
      <c r="D845" t="s">
        <v>10</v>
      </c>
      <c r="E845">
        <v>35</v>
      </c>
      <c r="F845" t="str">
        <f>IF(Table1[[#This Row],[Age]]&lt;=25,"Young",IF(Table1[[#This Row],[Age]]&gt;55,"Old",IF(Table1[[#This Row],[Age]]&gt;25,"Middle","Na")))</f>
        <v>Middle</v>
      </c>
      <c r="G845" t="s">
        <v>14</v>
      </c>
      <c r="H845">
        <v>3</v>
      </c>
      <c r="I845">
        <v>50</v>
      </c>
      <c r="J845">
        <v>150</v>
      </c>
    </row>
    <row r="846" spans="1:10" x14ac:dyDescent="0.35">
      <c r="A846">
        <v>845</v>
      </c>
      <c r="B846" s="1">
        <v>44932</v>
      </c>
      <c r="C846" t="s">
        <v>858</v>
      </c>
      <c r="D846" t="s">
        <v>10</v>
      </c>
      <c r="E846">
        <v>54</v>
      </c>
      <c r="F846" t="str">
        <f>IF(Table1[[#This Row],[Age]]&lt;=25,"Young",IF(Table1[[#This Row],[Age]]&gt;55,"Old",IF(Table1[[#This Row],[Age]]&gt;25,"Middle","Na")))</f>
        <v>Middle</v>
      </c>
      <c r="G846" t="s">
        <v>14</v>
      </c>
      <c r="H846">
        <v>1</v>
      </c>
      <c r="I846">
        <v>500</v>
      </c>
      <c r="J846">
        <v>500</v>
      </c>
    </row>
    <row r="847" spans="1:10" x14ac:dyDescent="0.35">
      <c r="A847">
        <v>846</v>
      </c>
      <c r="B847" s="1">
        <v>45191</v>
      </c>
      <c r="C847" t="s">
        <v>859</v>
      </c>
      <c r="D847" t="s">
        <v>10</v>
      </c>
      <c r="E847">
        <v>42</v>
      </c>
      <c r="F847" t="str">
        <f>IF(Table1[[#This Row],[Age]]&lt;=25,"Young",IF(Table1[[#This Row],[Age]]&gt;55,"Old",IF(Table1[[#This Row],[Age]]&gt;25,"Middle","Na")))</f>
        <v>Middle</v>
      </c>
      <c r="G847" t="s">
        <v>11</v>
      </c>
      <c r="H847">
        <v>1</v>
      </c>
      <c r="I847">
        <v>50</v>
      </c>
      <c r="J847">
        <v>50</v>
      </c>
    </row>
    <row r="848" spans="1:10" x14ac:dyDescent="0.35">
      <c r="A848">
        <v>847</v>
      </c>
      <c r="B848" s="1">
        <v>45024</v>
      </c>
      <c r="C848" t="s">
        <v>860</v>
      </c>
      <c r="D848" t="s">
        <v>13</v>
      </c>
      <c r="E848">
        <v>18</v>
      </c>
      <c r="F848" t="str">
        <f>IF(Table1[[#This Row],[Age]]&lt;=25,"Young",IF(Table1[[#This Row],[Age]]&gt;55,"Old",IF(Table1[[#This Row],[Age]]&gt;25,"Middle","Na")))</f>
        <v>Young</v>
      </c>
      <c r="G848" t="s">
        <v>16</v>
      </c>
      <c r="H848">
        <v>4</v>
      </c>
      <c r="I848">
        <v>300</v>
      </c>
      <c r="J848">
        <v>1200</v>
      </c>
    </row>
    <row r="849" spans="1:10" x14ac:dyDescent="0.35">
      <c r="A849">
        <v>848</v>
      </c>
      <c r="B849" s="1">
        <v>44970</v>
      </c>
      <c r="C849" t="s">
        <v>861</v>
      </c>
      <c r="D849" t="s">
        <v>13</v>
      </c>
      <c r="E849">
        <v>63</v>
      </c>
      <c r="F849" t="str">
        <f>IF(Table1[[#This Row],[Age]]&lt;=25,"Young",IF(Table1[[#This Row],[Age]]&gt;55,"Old",IF(Table1[[#This Row],[Age]]&gt;25,"Middle","Na")))</f>
        <v>Old</v>
      </c>
      <c r="G849" t="s">
        <v>14</v>
      </c>
      <c r="H849">
        <v>3</v>
      </c>
      <c r="I849">
        <v>25</v>
      </c>
      <c r="J849">
        <v>75</v>
      </c>
    </row>
    <row r="850" spans="1:10" x14ac:dyDescent="0.35">
      <c r="A850">
        <v>849</v>
      </c>
      <c r="B850" s="1">
        <v>45050</v>
      </c>
      <c r="C850" t="s">
        <v>862</v>
      </c>
      <c r="D850" t="s">
        <v>10</v>
      </c>
      <c r="E850">
        <v>32</v>
      </c>
      <c r="F850" t="str">
        <f>IF(Table1[[#This Row],[Age]]&lt;=25,"Young",IF(Table1[[#This Row],[Age]]&gt;55,"Old",IF(Table1[[#This Row],[Age]]&gt;25,"Middle","Na")))</f>
        <v>Middle</v>
      </c>
      <c r="G850" t="s">
        <v>14</v>
      </c>
      <c r="H850">
        <v>2</v>
      </c>
      <c r="I850">
        <v>25</v>
      </c>
      <c r="J850">
        <v>50</v>
      </c>
    </row>
    <row r="851" spans="1:10" x14ac:dyDescent="0.35">
      <c r="A851">
        <v>850</v>
      </c>
      <c r="B851" s="1">
        <v>45135</v>
      </c>
      <c r="C851" t="s">
        <v>863</v>
      </c>
      <c r="D851" t="s">
        <v>13</v>
      </c>
      <c r="E851">
        <v>26</v>
      </c>
      <c r="F851" t="str">
        <f>IF(Table1[[#This Row],[Age]]&lt;=25,"Young",IF(Table1[[#This Row],[Age]]&gt;55,"Old",IF(Table1[[#This Row],[Age]]&gt;25,"Middle","Na")))</f>
        <v>Middle</v>
      </c>
      <c r="G851" t="s">
        <v>11</v>
      </c>
      <c r="H851">
        <v>2</v>
      </c>
      <c r="I851">
        <v>500</v>
      </c>
      <c r="J851">
        <v>1000</v>
      </c>
    </row>
    <row r="852" spans="1:10" x14ac:dyDescent="0.35">
      <c r="A852">
        <v>851</v>
      </c>
      <c r="B852" s="1">
        <v>45177</v>
      </c>
      <c r="C852" t="s">
        <v>864</v>
      </c>
      <c r="D852" t="s">
        <v>10</v>
      </c>
      <c r="E852">
        <v>32</v>
      </c>
      <c r="F852" t="str">
        <f>IF(Table1[[#This Row],[Age]]&lt;=25,"Young",IF(Table1[[#This Row],[Age]]&gt;55,"Old",IF(Table1[[#This Row],[Age]]&gt;25,"Middle","Na")))</f>
        <v>Middle</v>
      </c>
      <c r="G852" t="s">
        <v>16</v>
      </c>
      <c r="H852">
        <v>2</v>
      </c>
      <c r="I852">
        <v>25</v>
      </c>
      <c r="J852">
        <v>50</v>
      </c>
    </row>
    <row r="853" spans="1:10" x14ac:dyDescent="0.35">
      <c r="A853">
        <v>852</v>
      </c>
      <c r="B853" s="1">
        <v>45211</v>
      </c>
      <c r="C853" t="s">
        <v>865</v>
      </c>
      <c r="D853" t="s">
        <v>13</v>
      </c>
      <c r="E853">
        <v>41</v>
      </c>
      <c r="F853" t="str">
        <f>IF(Table1[[#This Row],[Age]]&lt;=25,"Young",IF(Table1[[#This Row],[Age]]&gt;55,"Old",IF(Table1[[#This Row],[Age]]&gt;25,"Middle","Na")))</f>
        <v>Middle</v>
      </c>
      <c r="G853" t="s">
        <v>14</v>
      </c>
      <c r="H853">
        <v>1</v>
      </c>
      <c r="I853">
        <v>300</v>
      </c>
      <c r="J853">
        <v>300</v>
      </c>
    </row>
    <row r="854" spans="1:10" x14ac:dyDescent="0.35">
      <c r="A854">
        <v>853</v>
      </c>
      <c r="B854" s="1">
        <v>45050</v>
      </c>
      <c r="C854" t="s">
        <v>866</v>
      </c>
      <c r="D854" t="s">
        <v>10</v>
      </c>
      <c r="E854">
        <v>21</v>
      </c>
      <c r="F854" t="str">
        <f>IF(Table1[[#This Row],[Age]]&lt;=25,"Young",IF(Table1[[#This Row],[Age]]&gt;55,"Old",IF(Table1[[#This Row],[Age]]&gt;25,"Middle","Na")))</f>
        <v>Young</v>
      </c>
      <c r="G854" t="s">
        <v>11</v>
      </c>
      <c r="H854">
        <v>2</v>
      </c>
      <c r="I854">
        <v>500</v>
      </c>
      <c r="J854">
        <v>1000</v>
      </c>
    </row>
    <row r="855" spans="1:10" x14ac:dyDescent="0.35">
      <c r="A855">
        <v>854</v>
      </c>
      <c r="B855" s="1">
        <v>45280</v>
      </c>
      <c r="C855" t="s">
        <v>867</v>
      </c>
      <c r="D855" t="s">
        <v>10</v>
      </c>
      <c r="E855">
        <v>29</v>
      </c>
      <c r="F855" t="str">
        <f>IF(Table1[[#This Row],[Age]]&lt;=25,"Young",IF(Table1[[#This Row],[Age]]&gt;55,"Old",IF(Table1[[#This Row],[Age]]&gt;25,"Middle","Na")))</f>
        <v>Middle</v>
      </c>
      <c r="G855" t="s">
        <v>14</v>
      </c>
      <c r="H855">
        <v>1</v>
      </c>
      <c r="I855">
        <v>50</v>
      </c>
      <c r="J855">
        <v>50</v>
      </c>
    </row>
    <row r="856" spans="1:10" x14ac:dyDescent="0.35">
      <c r="A856">
        <v>855</v>
      </c>
      <c r="B856" s="1">
        <v>45170</v>
      </c>
      <c r="C856" t="s">
        <v>868</v>
      </c>
      <c r="D856" t="s">
        <v>10</v>
      </c>
      <c r="E856">
        <v>54</v>
      </c>
      <c r="F856" t="str">
        <f>IF(Table1[[#This Row],[Age]]&lt;=25,"Young",IF(Table1[[#This Row],[Age]]&gt;55,"Old",IF(Table1[[#This Row],[Age]]&gt;25,"Middle","Na")))</f>
        <v>Middle</v>
      </c>
      <c r="G856" t="s">
        <v>11</v>
      </c>
      <c r="H856">
        <v>1</v>
      </c>
      <c r="I856">
        <v>25</v>
      </c>
      <c r="J856">
        <v>25</v>
      </c>
    </row>
    <row r="857" spans="1:10" x14ac:dyDescent="0.35">
      <c r="A857">
        <v>856</v>
      </c>
      <c r="B857" s="1">
        <v>45257</v>
      </c>
      <c r="C857" t="s">
        <v>869</v>
      </c>
      <c r="D857" t="s">
        <v>10</v>
      </c>
      <c r="E857">
        <v>54</v>
      </c>
      <c r="F857" t="str">
        <f>IF(Table1[[#This Row],[Age]]&lt;=25,"Young",IF(Table1[[#This Row],[Age]]&gt;55,"Old",IF(Table1[[#This Row],[Age]]&gt;25,"Middle","Na")))</f>
        <v>Middle</v>
      </c>
      <c r="G857" t="s">
        <v>16</v>
      </c>
      <c r="H857">
        <v>4</v>
      </c>
      <c r="I857">
        <v>30</v>
      </c>
      <c r="J857">
        <v>120</v>
      </c>
    </row>
    <row r="858" spans="1:10" x14ac:dyDescent="0.35">
      <c r="A858">
        <v>857</v>
      </c>
      <c r="B858" s="1">
        <v>45291</v>
      </c>
      <c r="C858" t="s">
        <v>870</v>
      </c>
      <c r="D858" t="s">
        <v>10</v>
      </c>
      <c r="E858">
        <v>60</v>
      </c>
      <c r="F858" t="str">
        <f>IF(Table1[[#This Row],[Age]]&lt;=25,"Young",IF(Table1[[#This Row],[Age]]&gt;55,"Old",IF(Table1[[#This Row],[Age]]&gt;25,"Middle","Na")))</f>
        <v>Old</v>
      </c>
      <c r="G858" t="s">
        <v>16</v>
      </c>
      <c r="H858">
        <v>2</v>
      </c>
      <c r="I858">
        <v>25</v>
      </c>
      <c r="J858">
        <v>50</v>
      </c>
    </row>
    <row r="859" spans="1:10" x14ac:dyDescent="0.35">
      <c r="A859">
        <v>858</v>
      </c>
      <c r="B859" s="1">
        <v>45178</v>
      </c>
      <c r="C859" t="s">
        <v>871</v>
      </c>
      <c r="D859" t="s">
        <v>10</v>
      </c>
      <c r="E859">
        <v>23</v>
      </c>
      <c r="F859" t="str">
        <f>IF(Table1[[#This Row],[Age]]&lt;=25,"Young",IF(Table1[[#This Row],[Age]]&gt;55,"Old",IF(Table1[[#This Row],[Age]]&gt;25,"Middle","Na")))</f>
        <v>Young</v>
      </c>
      <c r="G859" t="s">
        <v>16</v>
      </c>
      <c r="H859">
        <v>2</v>
      </c>
      <c r="I859">
        <v>50</v>
      </c>
      <c r="J859">
        <v>100</v>
      </c>
    </row>
    <row r="860" spans="1:10" x14ac:dyDescent="0.35">
      <c r="A860">
        <v>859</v>
      </c>
      <c r="B860" s="1">
        <v>45156</v>
      </c>
      <c r="C860" t="s">
        <v>872</v>
      </c>
      <c r="D860" t="s">
        <v>13</v>
      </c>
      <c r="E860">
        <v>56</v>
      </c>
      <c r="F860" t="str">
        <f>IF(Table1[[#This Row],[Age]]&lt;=25,"Young",IF(Table1[[#This Row],[Age]]&gt;55,"Old",IF(Table1[[#This Row],[Age]]&gt;25,"Middle","Na")))</f>
        <v>Old</v>
      </c>
      <c r="G860" t="s">
        <v>16</v>
      </c>
      <c r="H860">
        <v>3</v>
      </c>
      <c r="I860">
        <v>500</v>
      </c>
      <c r="J860">
        <v>1500</v>
      </c>
    </row>
    <row r="861" spans="1:10" x14ac:dyDescent="0.35">
      <c r="A861">
        <v>860</v>
      </c>
      <c r="B861" s="1">
        <v>44935</v>
      </c>
      <c r="C861" t="s">
        <v>873</v>
      </c>
      <c r="D861" t="s">
        <v>10</v>
      </c>
      <c r="E861">
        <v>63</v>
      </c>
      <c r="F861" t="str">
        <f>IF(Table1[[#This Row],[Age]]&lt;=25,"Young",IF(Table1[[#This Row],[Age]]&gt;55,"Old",IF(Table1[[#This Row],[Age]]&gt;25,"Middle","Na")))</f>
        <v>Old</v>
      </c>
      <c r="G861" t="s">
        <v>14</v>
      </c>
      <c r="H861">
        <v>4</v>
      </c>
      <c r="I861">
        <v>50</v>
      </c>
      <c r="J861">
        <v>200</v>
      </c>
    </row>
    <row r="862" spans="1:10" x14ac:dyDescent="0.35">
      <c r="A862">
        <v>861</v>
      </c>
      <c r="B862" s="1">
        <v>44974</v>
      </c>
      <c r="C862" t="s">
        <v>874</v>
      </c>
      <c r="D862" t="s">
        <v>13</v>
      </c>
      <c r="E862">
        <v>41</v>
      </c>
      <c r="F862" t="str">
        <f>IF(Table1[[#This Row],[Age]]&lt;=25,"Young",IF(Table1[[#This Row],[Age]]&gt;55,"Old",IF(Table1[[#This Row],[Age]]&gt;25,"Middle","Na")))</f>
        <v>Middle</v>
      </c>
      <c r="G862" t="s">
        <v>14</v>
      </c>
      <c r="H862">
        <v>3</v>
      </c>
      <c r="I862">
        <v>30</v>
      </c>
      <c r="J862">
        <v>90</v>
      </c>
    </row>
    <row r="863" spans="1:10" x14ac:dyDescent="0.35">
      <c r="A863">
        <v>862</v>
      </c>
      <c r="B863" s="1">
        <v>45077</v>
      </c>
      <c r="C863" t="s">
        <v>875</v>
      </c>
      <c r="D863" t="s">
        <v>10</v>
      </c>
      <c r="E863">
        <v>28</v>
      </c>
      <c r="F863" t="str">
        <f>IF(Table1[[#This Row],[Age]]&lt;=25,"Young",IF(Table1[[#This Row],[Age]]&gt;55,"Old",IF(Table1[[#This Row],[Age]]&gt;25,"Middle","Na")))</f>
        <v>Middle</v>
      </c>
      <c r="G863" t="s">
        <v>16</v>
      </c>
      <c r="H863">
        <v>4</v>
      </c>
      <c r="I863">
        <v>300</v>
      </c>
      <c r="J863">
        <v>1200</v>
      </c>
    </row>
    <row r="864" spans="1:10" x14ac:dyDescent="0.35">
      <c r="A864">
        <v>863</v>
      </c>
      <c r="B864" s="1">
        <v>45040</v>
      </c>
      <c r="C864" t="s">
        <v>876</v>
      </c>
      <c r="D864" t="s">
        <v>13</v>
      </c>
      <c r="E864">
        <v>30</v>
      </c>
      <c r="F864" t="str">
        <f>IF(Table1[[#This Row],[Age]]&lt;=25,"Young",IF(Table1[[#This Row],[Age]]&gt;55,"Old",IF(Table1[[#This Row],[Age]]&gt;25,"Middle","Na")))</f>
        <v>Middle</v>
      </c>
      <c r="G864" t="s">
        <v>16</v>
      </c>
      <c r="H864">
        <v>2</v>
      </c>
      <c r="I864">
        <v>25</v>
      </c>
      <c r="J864">
        <v>50</v>
      </c>
    </row>
    <row r="865" spans="1:10" x14ac:dyDescent="0.35">
      <c r="A865">
        <v>864</v>
      </c>
      <c r="B865" s="1">
        <v>45134</v>
      </c>
      <c r="C865" t="s">
        <v>877</v>
      </c>
      <c r="D865" t="s">
        <v>13</v>
      </c>
      <c r="E865">
        <v>51</v>
      </c>
      <c r="F865" t="str">
        <f>IF(Table1[[#This Row],[Age]]&lt;=25,"Young",IF(Table1[[#This Row],[Age]]&gt;55,"Old",IF(Table1[[#This Row],[Age]]&gt;25,"Middle","Na")))</f>
        <v>Middle</v>
      </c>
      <c r="G865" t="s">
        <v>16</v>
      </c>
      <c r="H865">
        <v>1</v>
      </c>
      <c r="I865">
        <v>500</v>
      </c>
      <c r="J865">
        <v>500</v>
      </c>
    </row>
    <row r="866" spans="1:10" x14ac:dyDescent="0.35">
      <c r="A866">
        <v>865</v>
      </c>
      <c r="B866" s="1">
        <v>45281</v>
      </c>
      <c r="C866" t="s">
        <v>878</v>
      </c>
      <c r="D866" t="s">
        <v>13</v>
      </c>
      <c r="E866">
        <v>42</v>
      </c>
      <c r="F866" t="str">
        <f>IF(Table1[[#This Row],[Age]]&lt;=25,"Young",IF(Table1[[#This Row],[Age]]&gt;55,"Old",IF(Table1[[#This Row],[Age]]&gt;25,"Middle","Na")))</f>
        <v>Middle</v>
      </c>
      <c r="G866" t="s">
        <v>14</v>
      </c>
      <c r="H866">
        <v>1</v>
      </c>
      <c r="I866">
        <v>300</v>
      </c>
      <c r="J866">
        <v>300</v>
      </c>
    </row>
    <row r="867" spans="1:10" x14ac:dyDescent="0.35">
      <c r="A867">
        <v>866</v>
      </c>
      <c r="B867" s="1">
        <v>45051</v>
      </c>
      <c r="C867" t="s">
        <v>879</v>
      </c>
      <c r="D867" t="s">
        <v>10</v>
      </c>
      <c r="E867">
        <v>24</v>
      </c>
      <c r="F867" t="str">
        <f>IF(Table1[[#This Row],[Age]]&lt;=25,"Young",IF(Table1[[#This Row],[Age]]&gt;55,"Old",IF(Table1[[#This Row],[Age]]&gt;25,"Middle","Na")))</f>
        <v>Young</v>
      </c>
      <c r="G867" t="s">
        <v>16</v>
      </c>
      <c r="H867">
        <v>1</v>
      </c>
      <c r="I867">
        <v>50</v>
      </c>
      <c r="J867">
        <v>50</v>
      </c>
    </row>
    <row r="868" spans="1:10" x14ac:dyDescent="0.35">
      <c r="A868">
        <v>867</v>
      </c>
      <c r="B868" s="1">
        <v>45083</v>
      </c>
      <c r="C868" t="s">
        <v>880</v>
      </c>
      <c r="D868" t="s">
        <v>10</v>
      </c>
      <c r="E868">
        <v>21</v>
      </c>
      <c r="F868" t="str">
        <f>IF(Table1[[#This Row],[Age]]&lt;=25,"Young",IF(Table1[[#This Row],[Age]]&gt;55,"Old",IF(Table1[[#This Row],[Age]]&gt;25,"Middle","Na")))</f>
        <v>Young</v>
      </c>
      <c r="G868" t="s">
        <v>16</v>
      </c>
      <c r="H868">
        <v>1</v>
      </c>
      <c r="I868">
        <v>500</v>
      </c>
      <c r="J868">
        <v>500</v>
      </c>
    </row>
    <row r="869" spans="1:10" x14ac:dyDescent="0.35">
      <c r="A869">
        <v>868</v>
      </c>
      <c r="B869" s="1">
        <v>45266</v>
      </c>
      <c r="C869" t="s">
        <v>881</v>
      </c>
      <c r="D869" t="s">
        <v>13</v>
      </c>
      <c r="E869">
        <v>25</v>
      </c>
      <c r="F869" t="str">
        <f>IF(Table1[[#This Row],[Age]]&lt;=25,"Young",IF(Table1[[#This Row],[Age]]&gt;55,"Old",IF(Table1[[#This Row],[Age]]&gt;25,"Middle","Na")))</f>
        <v>Young</v>
      </c>
      <c r="G869" t="s">
        <v>16</v>
      </c>
      <c r="H869">
        <v>1</v>
      </c>
      <c r="I869">
        <v>300</v>
      </c>
      <c r="J869">
        <v>300</v>
      </c>
    </row>
    <row r="870" spans="1:10" x14ac:dyDescent="0.35">
      <c r="A870">
        <v>869</v>
      </c>
      <c r="B870" s="1">
        <v>45224</v>
      </c>
      <c r="C870" t="s">
        <v>882</v>
      </c>
      <c r="D870" t="s">
        <v>10</v>
      </c>
      <c r="E870">
        <v>37</v>
      </c>
      <c r="F870" t="str">
        <f>IF(Table1[[#This Row],[Age]]&lt;=25,"Young",IF(Table1[[#This Row],[Age]]&gt;55,"Old",IF(Table1[[#This Row],[Age]]&gt;25,"Middle","Na")))</f>
        <v>Middle</v>
      </c>
      <c r="G870" t="s">
        <v>11</v>
      </c>
      <c r="H870">
        <v>3</v>
      </c>
      <c r="I870">
        <v>500</v>
      </c>
      <c r="J870">
        <v>1500</v>
      </c>
    </row>
    <row r="871" spans="1:10" x14ac:dyDescent="0.35">
      <c r="A871">
        <v>870</v>
      </c>
      <c r="B871" s="1">
        <v>45115</v>
      </c>
      <c r="C871" t="s">
        <v>883</v>
      </c>
      <c r="D871" t="s">
        <v>13</v>
      </c>
      <c r="E871">
        <v>46</v>
      </c>
      <c r="F871" t="str">
        <f>IF(Table1[[#This Row],[Age]]&lt;=25,"Young",IF(Table1[[#This Row],[Age]]&gt;55,"Old",IF(Table1[[#This Row],[Age]]&gt;25,"Middle","Na")))</f>
        <v>Middle</v>
      </c>
      <c r="G871" t="s">
        <v>16</v>
      </c>
      <c r="H871">
        <v>4</v>
      </c>
      <c r="I871">
        <v>30</v>
      </c>
      <c r="J871">
        <v>120</v>
      </c>
    </row>
    <row r="872" spans="1:10" x14ac:dyDescent="0.35">
      <c r="A872">
        <v>871</v>
      </c>
      <c r="B872" s="1">
        <v>45169</v>
      </c>
      <c r="C872" t="s">
        <v>884</v>
      </c>
      <c r="D872" t="s">
        <v>10</v>
      </c>
      <c r="E872">
        <v>62</v>
      </c>
      <c r="F872" t="str">
        <f>IF(Table1[[#This Row],[Age]]&lt;=25,"Young",IF(Table1[[#This Row],[Age]]&gt;55,"Old",IF(Table1[[#This Row],[Age]]&gt;25,"Middle","Na")))</f>
        <v>Old</v>
      </c>
      <c r="G872" t="s">
        <v>11</v>
      </c>
      <c r="H872">
        <v>2</v>
      </c>
      <c r="I872">
        <v>30</v>
      </c>
      <c r="J872">
        <v>60</v>
      </c>
    </row>
    <row r="873" spans="1:10" x14ac:dyDescent="0.35">
      <c r="A873">
        <v>872</v>
      </c>
      <c r="B873" s="1">
        <v>45210</v>
      </c>
      <c r="C873" t="s">
        <v>885</v>
      </c>
      <c r="D873" t="s">
        <v>13</v>
      </c>
      <c r="E873">
        <v>63</v>
      </c>
      <c r="F873" t="str">
        <f>IF(Table1[[#This Row],[Age]]&lt;=25,"Young",IF(Table1[[#This Row],[Age]]&gt;55,"Old",IF(Table1[[#This Row],[Age]]&gt;25,"Middle","Na")))</f>
        <v>Old</v>
      </c>
      <c r="G873" t="s">
        <v>11</v>
      </c>
      <c r="H873">
        <v>3</v>
      </c>
      <c r="I873">
        <v>25</v>
      </c>
      <c r="J873">
        <v>75</v>
      </c>
    </row>
    <row r="874" spans="1:10" x14ac:dyDescent="0.35">
      <c r="A874">
        <v>873</v>
      </c>
      <c r="B874" s="1">
        <v>45198</v>
      </c>
      <c r="C874" t="s">
        <v>886</v>
      </c>
      <c r="D874" t="s">
        <v>13</v>
      </c>
      <c r="E874">
        <v>27</v>
      </c>
      <c r="F874" t="str">
        <f>IF(Table1[[#This Row],[Age]]&lt;=25,"Young",IF(Table1[[#This Row],[Age]]&gt;55,"Old",IF(Table1[[#This Row],[Age]]&gt;25,"Middle","Na")))</f>
        <v>Middle</v>
      </c>
      <c r="G874" t="s">
        <v>16</v>
      </c>
      <c r="H874">
        <v>4</v>
      </c>
      <c r="I874">
        <v>25</v>
      </c>
      <c r="J874">
        <v>100</v>
      </c>
    </row>
    <row r="875" spans="1:10" x14ac:dyDescent="0.35">
      <c r="A875">
        <v>874</v>
      </c>
      <c r="B875" s="1">
        <v>45103</v>
      </c>
      <c r="C875" t="s">
        <v>887</v>
      </c>
      <c r="D875" t="s">
        <v>10</v>
      </c>
      <c r="E875">
        <v>60</v>
      </c>
      <c r="F875" t="str">
        <f>IF(Table1[[#This Row],[Age]]&lt;=25,"Young",IF(Table1[[#This Row],[Age]]&gt;55,"Old",IF(Table1[[#This Row],[Age]]&gt;25,"Middle","Na")))</f>
        <v>Old</v>
      </c>
      <c r="G875" t="s">
        <v>11</v>
      </c>
      <c r="H875">
        <v>1</v>
      </c>
      <c r="I875">
        <v>30</v>
      </c>
      <c r="J875">
        <v>30</v>
      </c>
    </row>
    <row r="876" spans="1:10" x14ac:dyDescent="0.35">
      <c r="A876">
        <v>875</v>
      </c>
      <c r="B876" s="1">
        <v>45144</v>
      </c>
      <c r="C876" t="s">
        <v>888</v>
      </c>
      <c r="D876" t="s">
        <v>13</v>
      </c>
      <c r="E876">
        <v>51</v>
      </c>
      <c r="F876" t="str">
        <f>IF(Table1[[#This Row],[Age]]&lt;=25,"Young",IF(Table1[[#This Row],[Age]]&gt;55,"Old",IF(Table1[[#This Row],[Age]]&gt;25,"Middle","Na")))</f>
        <v>Middle</v>
      </c>
      <c r="G876" t="s">
        <v>16</v>
      </c>
      <c r="H876">
        <v>4</v>
      </c>
      <c r="I876">
        <v>500</v>
      </c>
      <c r="J876">
        <v>2000</v>
      </c>
    </row>
    <row r="877" spans="1:10" x14ac:dyDescent="0.35">
      <c r="A877">
        <v>876</v>
      </c>
      <c r="B877" s="1">
        <v>45208</v>
      </c>
      <c r="C877" t="s">
        <v>889</v>
      </c>
      <c r="D877" t="s">
        <v>10</v>
      </c>
      <c r="E877">
        <v>43</v>
      </c>
      <c r="F877" t="str">
        <f>IF(Table1[[#This Row],[Age]]&lt;=25,"Young",IF(Table1[[#This Row],[Age]]&gt;55,"Old",IF(Table1[[#This Row],[Age]]&gt;25,"Middle","Na")))</f>
        <v>Middle</v>
      </c>
      <c r="G877" t="s">
        <v>14</v>
      </c>
      <c r="H877">
        <v>4</v>
      </c>
      <c r="I877">
        <v>30</v>
      </c>
      <c r="J877">
        <v>120</v>
      </c>
    </row>
    <row r="878" spans="1:10" x14ac:dyDescent="0.35">
      <c r="A878">
        <v>877</v>
      </c>
      <c r="B878" s="1">
        <v>45096</v>
      </c>
      <c r="C878" t="s">
        <v>890</v>
      </c>
      <c r="D878" t="s">
        <v>13</v>
      </c>
      <c r="E878">
        <v>58</v>
      </c>
      <c r="F878" t="str">
        <f>IF(Table1[[#This Row],[Age]]&lt;=25,"Young",IF(Table1[[#This Row],[Age]]&gt;55,"Old",IF(Table1[[#This Row],[Age]]&gt;25,"Middle","Na")))</f>
        <v>Old</v>
      </c>
      <c r="G878" t="s">
        <v>14</v>
      </c>
      <c r="H878">
        <v>1</v>
      </c>
      <c r="I878">
        <v>25</v>
      </c>
      <c r="J878">
        <v>25</v>
      </c>
    </row>
    <row r="879" spans="1:10" x14ac:dyDescent="0.35">
      <c r="A879">
        <v>878</v>
      </c>
      <c r="B879" s="1">
        <v>45107</v>
      </c>
      <c r="C879" t="s">
        <v>891</v>
      </c>
      <c r="D879" t="s">
        <v>13</v>
      </c>
      <c r="E879">
        <v>20</v>
      </c>
      <c r="F879" t="str">
        <f>IF(Table1[[#This Row],[Age]]&lt;=25,"Young",IF(Table1[[#This Row],[Age]]&gt;55,"Old",IF(Table1[[#This Row],[Age]]&gt;25,"Middle","Na")))</f>
        <v>Young</v>
      </c>
      <c r="G879" t="s">
        <v>14</v>
      </c>
      <c r="H879">
        <v>1</v>
      </c>
      <c r="I879">
        <v>30</v>
      </c>
      <c r="J879">
        <v>30</v>
      </c>
    </row>
    <row r="880" spans="1:10" x14ac:dyDescent="0.35">
      <c r="A880">
        <v>879</v>
      </c>
      <c r="B880" s="1">
        <v>45286</v>
      </c>
      <c r="C880" t="s">
        <v>892</v>
      </c>
      <c r="D880" t="s">
        <v>10</v>
      </c>
      <c r="E880">
        <v>23</v>
      </c>
      <c r="F880" t="str">
        <f>IF(Table1[[#This Row],[Age]]&lt;=25,"Young",IF(Table1[[#This Row],[Age]]&gt;55,"Old",IF(Table1[[#This Row],[Age]]&gt;25,"Middle","Na")))</f>
        <v>Young</v>
      </c>
      <c r="G880" t="s">
        <v>14</v>
      </c>
      <c r="H880">
        <v>1</v>
      </c>
      <c r="I880">
        <v>30</v>
      </c>
      <c r="J880">
        <v>30</v>
      </c>
    </row>
    <row r="881" spans="1:10" x14ac:dyDescent="0.35">
      <c r="A881">
        <v>880</v>
      </c>
      <c r="B881" s="1">
        <v>45159</v>
      </c>
      <c r="C881" t="s">
        <v>893</v>
      </c>
      <c r="D881" t="s">
        <v>10</v>
      </c>
      <c r="E881">
        <v>22</v>
      </c>
      <c r="F881" t="str">
        <f>IF(Table1[[#This Row],[Age]]&lt;=25,"Young",IF(Table1[[#This Row],[Age]]&gt;55,"Old",IF(Table1[[#This Row],[Age]]&gt;25,"Middle","Na")))</f>
        <v>Young</v>
      </c>
      <c r="G881" t="s">
        <v>11</v>
      </c>
      <c r="H881">
        <v>2</v>
      </c>
      <c r="I881">
        <v>500</v>
      </c>
      <c r="J881">
        <v>1000</v>
      </c>
    </row>
    <row r="882" spans="1:10" x14ac:dyDescent="0.35">
      <c r="A882">
        <v>881</v>
      </c>
      <c r="B882" s="1">
        <v>45065</v>
      </c>
      <c r="C882" t="s">
        <v>894</v>
      </c>
      <c r="D882" t="s">
        <v>10</v>
      </c>
      <c r="E882">
        <v>22</v>
      </c>
      <c r="F882" t="str">
        <f>IF(Table1[[#This Row],[Age]]&lt;=25,"Young",IF(Table1[[#This Row],[Age]]&gt;55,"Old",IF(Table1[[#This Row],[Age]]&gt;25,"Middle","Na")))</f>
        <v>Young</v>
      </c>
      <c r="G882" t="s">
        <v>16</v>
      </c>
      <c r="H882">
        <v>1</v>
      </c>
      <c r="I882">
        <v>300</v>
      </c>
      <c r="J882">
        <v>300</v>
      </c>
    </row>
    <row r="883" spans="1:10" x14ac:dyDescent="0.35">
      <c r="A883">
        <v>882</v>
      </c>
      <c r="B883" s="1">
        <v>45083</v>
      </c>
      <c r="C883" t="s">
        <v>895</v>
      </c>
      <c r="D883" t="s">
        <v>13</v>
      </c>
      <c r="E883">
        <v>64</v>
      </c>
      <c r="F883" t="str">
        <f>IF(Table1[[#This Row],[Age]]&lt;=25,"Young",IF(Table1[[#This Row],[Age]]&gt;55,"Old",IF(Table1[[#This Row],[Age]]&gt;25,"Middle","Na")))</f>
        <v>Old</v>
      </c>
      <c r="G883" t="s">
        <v>16</v>
      </c>
      <c r="H883">
        <v>2</v>
      </c>
      <c r="I883">
        <v>25</v>
      </c>
      <c r="J883">
        <v>50</v>
      </c>
    </row>
    <row r="884" spans="1:10" x14ac:dyDescent="0.35">
      <c r="A884">
        <v>883</v>
      </c>
      <c r="B884" s="1">
        <v>45055</v>
      </c>
      <c r="C884" t="s">
        <v>896</v>
      </c>
      <c r="D884" t="s">
        <v>10</v>
      </c>
      <c r="E884">
        <v>40</v>
      </c>
      <c r="F884" t="str">
        <f>IF(Table1[[#This Row],[Age]]&lt;=25,"Young",IF(Table1[[#This Row],[Age]]&gt;55,"Old",IF(Table1[[#This Row],[Age]]&gt;25,"Middle","Na")))</f>
        <v>Middle</v>
      </c>
      <c r="G884" t="s">
        <v>16</v>
      </c>
      <c r="H884">
        <v>1</v>
      </c>
      <c r="I884">
        <v>500</v>
      </c>
      <c r="J884">
        <v>500</v>
      </c>
    </row>
    <row r="885" spans="1:10" x14ac:dyDescent="0.35">
      <c r="A885">
        <v>884</v>
      </c>
      <c r="B885" s="1">
        <v>45045</v>
      </c>
      <c r="C885" t="s">
        <v>897</v>
      </c>
      <c r="D885" t="s">
        <v>13</v>
      </c>
      <c r="E885">
        <v>26</v>
      </c>
      <c r="F885" t="str">
        <f>IF(Table1[[#This Row],[Age]]&lt;=25,"Young",IF(Table1[[#This Row],[Age]]&gt;55,"Old",IF(Table1[[#This Row],[Age]]&gt;25,"Middle","Na")))</f>
        <v>Middle</v>
      </c>
      <c r="G885" t="s">
        <v>14</v>
      </c>
      <c r="H885">
        <v>2</v>
      </c>
      <c r="I885">
        <v>30</v>
      </c>
      <c r="J885">
        <v>60</v>
      </c>
    </row>
    <row r="886" spans="1:10" x14ac:dyDescent="0.35">
      <c r="A886">
        <v>885</v>
      </c>
      <c r="B886" s="1">
        <v>44988</v>
      </c>
      <c r="C886" t="s">
        <v>898</v>
      </c>
      <c r="D886" t="s">
        <v>13</v>
      </c>
      <c r="E886">
        <v>52</v>
      </c>
      <c r="F886" t="str">
        <f>IF(Table1[[#This Row],[Age]]&lt;=25,"Young",IF(Table1[[#This Row],[Age]]&gt;55,"Old",IF(Table1[[#This Row],[Age]]&gt;25,"Middle","Na")))</f>
        <v>Middle</v>
      </c>
      <c r="G886" t="s">
        <v>14</v>
      </c>
      <c r="H886">
        <v>4</v>
      </c>
      <c r="I886">
        <v>30</v>
      </c>
      <c r="J886">
        <v>120</v>
      </c>
    </row>
    <row r="887" spans="1:10" x14ac:dyDescent="0.35">
      <c r="A887">
        <v>886</v>
      </c>
      <c r="B887" s="1">
        <v>45025</v>
      </c>
      <c r="C887" t="s">
        <v>899</v>
      </c>
      <c r="D887" t="s">
        <v>10</v>
      </c>
      <c r="E887">
        <v>37</v>
      </c>
      <c r="F887" t="str">
        <f>IF(Table1[[#This Row],[Age]]&lt;=25,"Young",IF(Table1[[#This Row],[Age]]&gt;55,"Old",IF(Table1[[#This Row],[Age]]&gt;25,"Middle","Na")))</f>
        <v>Middle</v>
      </c>
      <c r="G887" t="s">
        <v>16</v>
      </c>
      <c r="H887">
        <v>3</v>
      </c>
      <c r="I887">
        <v>300</v>
      </c>
      <c r="J887">
        <v>900</v>
      </c>
    </row>
    <row r="888" spans="1:10" x14ac:dyDescent="0.35">
      <c r="A888">
        <v>887</v>
      </c>
      <c r="B888" s="1">
        <v>45088</v>
      </c>
      <c r="C888" t="s">
        <v>900</v>
      </c>
      <c r="D888" t="s">
        <v>10</v>
      </c>
      <c r="E888">
        <v>59</v>
      </c>
      <c r="F888" t="str">
        <f>IF(Table1[[#This Row],[Age]]&lt;=25,"Young",IF(Table1[[#This Row],[Age]]&gt;55,"Old",IF(Table1[[#This Row],[Age]]&gt;25,"Middle","Na")))</f>
        <v>Old</v>
      </c>
      <c r="G888" t="s">
        <v>14</v>
      </c>
      <c r="H888">
        <v>4</v>
      </c>
      <c r="I888">
        <v>25</v>
      </c>
      <c r="J888">
        <v>100</v>
      </c>
    </row>
    <row r="889" spans="1:10" x14ac:dyDescent="0.35">
      <c r="A889">
        <v>888</v>
      </c>
      <c r="B889" s="1">
        <v>44988</v>
      </c>
      <c r="C889" t="s">
        <v>901</v>
      </c>
      <c r="D889" t="s">
        <v>13</v>
      </c>
      <c r="E889">
        <v>52</v>
      </c>
      <c r="F889" t="str">
        <f>IF(Table1[[#This Row],[Age]]&lt;=25,"Young",IF(Table1[[#This Row],[Age]]&gt;55,"Old",IF(Table1[[#This Row],[Age]]&gt;25,"Middle","Na")))</f>
        <v>Middle</v>
      </c>
      <c r="G889" t="s">
        <v>16</v>
      </c>
      <c r="H889">
        <v>4</v>
      </c>
      <c r="I889">
        <v>25</v>
      </c>
      <c r="J889">
        <v>100</v>
      </c>
    </row>
    <row r="890" spans="1:10" x14ac:dyDescent="0.35">
      <c r="A890">
        <v>889</v>
      </c>
      <c r="B890" s="1">
        <v>45201</v>
      </c>
      <c r="C890" t="s">
        <v>902</v>
      </c>
      <c r="D890" t="s">
        <v>13</v>
      </c>
      <c r="E890">
        <v>35</v>
      </c>
      <c r="F890" t="str">
        <f>IF(Table1[[#This Row],[Age]]&lt;=25,"Young",IF(Table1[[#This Row],[Age]]&gt;55,"Old",IF(Table1[[#This Row],[Age]]&gt;25,"Middle","Na")))</f>
        <v>Middle</v>
      </c>
      <c r="G890" t="s">
        <v>16</v>
      </c>
      <c r="H890">
        <v>1</v>
      </c>
      <c r="I890">
        <v>50</v>
      </c>
      <c r="J890">
        <v>50</v>
      </c>
    </row>
    <row r="891" spans="1:10" x14ac:dyDescent="0.35">
      <c r="A891">
        <v>890</v>
      </c>
      <c r="B891" s="1">
        <v>45280</v>
      </c>
      <c r="C891" t="s">
        <v>903</v>
      </c>
      <c r="D891" t="s">
        <v>10</v>
      </c>
      <c r="E891">
        <v>34</v>
      </c>
      <c r="F891" t="str">
        <f>IF(Table1[[#This Row],[Age]]&lt;=25,"Young",IF(Table1[[#This Row],[Age]]&gt;55,"Old",IF(Table1[[#This Row],[Age]]&gt;25,"Middle","Na")))</f>
        <v>Middle</v>
      </c>
      <c r="G891" t="s">
        <v>16</v>
      </c>
      <c r="H891">
        <v>2</v>
      </c>
      <c r="I891">
        <v>25</v>
      </c>
      <c r="J891">
        <v>50</v>
      </c>
    </row>
    <row r="892" spans="1:10" x14ac:dyDescent="0.35">
      <c r="A892">
        <v>891</v>
      </c>
      <c r="B892" s="1">
        <v>45021</v>
      </c>
      <c r="C892" t="s">
        <v>904</v>
      </c>
      <c r="D892" t="s">
        <v>10</v>
      </c>
      <c r="E892">
        <v>41</v>
      </c>
      <c r="F892" t="str">
        <f>IF(Table1[[#This Row],[Age]]&lt;=25,"Young",IF(Table1[[#This Row],[Age]]&gt;55,"Old",IF(Table1[[#This Row],[Age]]&gt;25,"Middle","Na")))</f>
        <v>Middle</v>
      </c>
      <c r="G892" t="s">
        <v>16</v>
      </c>
      <c r="H892">
        <v>3</v>
      </c>
      <c r="I892">
        <v>300</v>
      </c>
      <c r="J892">
        <v>900</v>
      </c>
    </row>
    <row r="893" spans="1:10" x14ac:dyDescent="0.35">
      <c r="A893">
        <v>892</v>
      </c>
      <c r="B893" s="1">
        <v>45025</v>
      </c>
      <c r="C893" t="s">
        <v>905</v>
      </c>
      <c r="D893" t="s">
        <v>10</v>
      </c>
      <c r="E893">
        <v>20</v>
      </c>
      <c r="F893" t="str">
        <f>IF(Table1[[#This Row],[Age]]&lt;=25,"Young",IF(Table1[[#This Row],[Age]]&gt;55,"Old",IF(Table1[[#This Row],[Age]]&gt;25,"Middle","Na")))</f>
        <v>Young</v>
      </c>
      <c r="G893" t="s">
        <v>16</v>
      </c>
      <c r="H893">
        <v>1</v>
      </c>
      <c r="I893">
        <v>50</v>
      </c>
      <c r="J893">
        <v>50</v>
      </c>
    </row>
    <row r="894" spans="1:10" x14ac:dyDescent="0.35">
      <c r="A894">
        <v>893</v>
      </c>
      <c r="B894" s="1">
        <v>45037</v>
      </c>
      <c r="C894" t="s">
        <v>906</v>
      </c>
      <c r="D894" t="s">
        <v>10</v>
      </c>
      <c r="E894">
        <v>49</v>
      </c>
      <c r="F894" t="str">
        <f>IF(Table1[[#This Row],[Age]]&lt;=25,"Young",IF(Table1[[#This Row],[Age]]&gt;55,"Old",IF(Table1[[#This Row],[Age]]&gt;25,"Middle","Na")))</f>
        <v>Middle</v>
      </c>
      <c r="G894" t="s">
        <v>16</v>
      </c>
      <c r="H894">
        <v>1</v>
      </c>
      <c r="I894">
        <v>50</v>
      </c>
      <c r="J894">
        <v>50</v>
      </c>
    </row>
    <row r="895" spans="1:10" x14ac:dyDescent="0.35">
      <c r="A895">
        <v>894</v>
      </c>
      <c r="B895" s="1">
        <v>45174</v>
      </c>
      <c r="C895" t="s">
        <v>907</v>
      </c>
      <c r="D895" t="s">
        <v>10</v>
      </c>
      <c r="E895">
        <v>52</v>
      </c>
      <c r="F895" t="str">
        <f>IF(Table1[[#This Row],[Age]]&lt;=25,"Young",IF(Table1[[#This Row],[Age]]&gt;55,"Old",IF(Table1[[#This Row],[Age]]&gt;25,"Middle","Na")))</f>
        <v>Middle</v>
      </c>
      <c r="G895" t="s">
        <v>16</v>
      </c>
      <c r="H895">
        <v>1</v>
      </c>
      <c r="I895">
        <v>30</v>
      </c>
      <c r="J895">
        <v>30</v>
      </c>
    </row>
    <row r="896" spans="1:10" x14ac:dyDescent="0.35">
      <c r="A896">
        <v>895</v>
      </c>
      <c r="B896" s="1">
        <v>45068</v>
      </c>
      <c r="C896" t="s">
        <v>908</v>
      </c>
      <c r="D896" t="s">
        <v>13</v>
      </c>
      <c r="E896">
        <v>55</v>
      </c>
      <c r="F896" t="str">
        <f>IF(Table1[[#This Row],[Age]]&lt;=25,"Young",IF(Table1[[#This Row],[Age]]&gt;55,"Old",IF(Table1[[#This Row],[Age]]&gt;25,"Middle","Na")))</f>
        <v>Middle</v>
      </c>
      <c r="G896" t="s">
        <v>14</v>
      </c>
      <c r="H896">
        <v>4</v>
      </c>
      <c r="I896">
        <v>30</v>
      </c>
      <c r="J896">
        <v>120</v>
      </c>
    </row>
    <row r="897" spans="1:10" x14ac:dyDescent="0.35">
      <c r="A897">
        <v>896</v>
      </c>
      <c r="B897" s="1">
        <v>45228</v>
      </c>
      <c r="C897" t="s">
        <v>909</v>
      </c>
      <c r="D897" t="s">
        <v>13</v>
      </c>
      <c r="E897">
        <v>30</v>
      </c>
      <c r="F897" t="str">
        <f>IF(Table1[[#This Row],[Age]]&lt;=25,"Young",IF(Table1[[#This Row],[Age]]&gt;55,"Old",IF(Table1[[#This Row],[Age]]&gt;25,"Middle","Na")))</f>
        <v>Middle</v>
      </c>
      <c r="G897" t="s">
        <v>16</v>
      </c>
      <c r="H897">
        <v>2</v>
      </c>
      <c r="I897">
        <v>25</v>
      </c>
      <c r="J897">
        <v>50</v>
      </c>
    </row>
    <row r="898" spans="1:10" x14ac:dyDescent="0.35">
      <c r="A898">
        <v>897</v>
      </c>
      <c r="B898" s="1">
        <v>45195</v>
      </c>
      <c r="C898" t="s">
        <v>910</v>
      </c>
      <c r="D898" t="s">
        <v>13</v>
      </c>
      <c r="E898">
        <v>64</v>
      </c>
      <c r="F898" t="str">
        <f>IF(Table1[[#This Row],[Age]]&lt;=25,"Young",IF(Table1[[#This Row],[Age]]&gt;55,"Old",IF(Table1[[#This Row],[Age]]&gt;25,"Middle","Na")))</f>
        <v>Old</v>
      </c>
      <c r="G898" t="s">
        <v>16</v>
      </c>
      <c r="H898">
        <v>2</v>
      </c>
      <c r="I898">
        <v>50</v>
      </c>
      <c r="J898">
        <v>100</v>
      </c>
    </row>
    <row r="899" spans="1:10" x14ac:dyDescent="0.35">
      <c r="A899">
        <v>898</v>
      </c>
      <c r="B899" s="1">
        <v>45232</v>
      </c>
      <c r="C899" t="s">
        <v>911</v>
      </c>
      <c r="D899" t="s">
        <v>13</v>
      </c>
      <c r="E899">
        <v>42</v>
      </c>
      <c r="F899" t="str">
        <f>IF(Table1[[#This Row],[Age]]&lt;=25,"Young",IF(Table1[[#This Row],[Age]]&gt;55,"Old",IF(Table1[[#This Row],[Age]]&gt;25,"Middle","Na")))</f>
        <v>Middle</v>
      </c>
      <c r="G899" t="s">
        <v>14</v>
      </c>
      <c r="H899">
        <v>3</v>
      </c>
      <c r="I899">
        <v>30</v>
      </c>
      <c r="J899">
        <v>90</v>
      </c>
    </row>
    <row r="900" spans="1:10" x14ac:dyDescent="0.35">
      <c r="A900">
        <v>899</v>
      </c>
      <c r="B900" s="1">
        <v>45071</v>
      </c>
      <c r="C900" t="s">
        <v>912</v>
      </c>
      <c r="D900" t="s">
        <v>10</v>
      </c>
      <c r="E900">
        <v>26</v>
      </c>
      <c r="F900" t="str">
        <f>IF(Table1[[#This Row],[Age]]&lt;=25,"Young",IF(Table1[[#This Row],[Age]]&gt;55,"Old",IF(Table1[[#This Row],[Age]]&gt;25,"Middle","Na")))</f>
        <v>Middle</v>
      </c>
      <c r="G900" t="s">
        <v>14</v>
      </c>
      <c r="H900">
        <v>2</v>
      </c>
      <c r="I900">
        <v>300</v>
      </c>
      <c r="J900">
        <v>600</v>
      </c>
    </row>
    <row r="901" spans="1:10" x14ac:dyDescent="0.35">
      <c r="A901">
        <v>900</v>
      </c>
      <c r="B901" s="1">
        <v>44978</v>
      </c>
      <c r="C901" t="s">
        <v>913</v>
      </c>
      <c r="D901" t="s">
        <v>10</v>
      </c>
      <c r="E901">
        <v>21</v>
      </c>
      <c r="F901" t="str">
        <f>IF(Table1[[#This Row],[Age]]&lt;=25,"Young",IF(Table1[[#This Row],[Age]]&gt;55,"Old",IF(Table1[[#This Row],[Age]]&gt;25,"Middle","Na")))</f>
        <v>Young</v>
      </c>
      <c r="G901" t="s">
        <v>14</v>
      </c>
      <c r="H901">
        <v>2</v>
      </c>
      <c r="I901">
        <v>30</v>
      </c>
      <c r="J901">
        <v>60</v>
      </c>
    </row>
    <row r="902" spans="1:10" x14ac:dyDescent="0.35">
      <c r="A902">
        <v>901</v>
      </c>
      <c r="B902" s="1">
        <v>45026</v>
      </c>
      <c r="C902" t="s">
        <v>914</v>
      </c>
      <c r="D902" t="s">
        <v>10</v>
      </c>
      <c r="E902">
        <v>31</v>
      </c>
      <c r="F902" t="str">
        <f>IF(Table1[[#This Row],[Age]]&lt;=25,"Young",IF(Table1[[#This Row],[Age]]&gt;55,"Old",IF(Table1[[#This Row],[Age]]&gt;25,"Middle","Na")))</f>
        <v>Middle</v>
      </c>
      <c r="G902" t="s">
        <v>16</v>
      </c>
      <c r="H902">
        <v>1</v>
      </c>
      <c r="I902">
        <v>30</v>
      </c>
      <c r="J902">
        <v>30</v>
      </c>
    </row>
    <row r="903" spans="1:10" x14ac:dyDescent="0.35">
      <c r="A903">
        <v>902</v>
      </c>
      <c r="B903" s="1">
        <v>45078</v>
      </c>
      <c r="C903" t="s">
        <v>915</v>
      </c>
      <c r="D903" t="s">
        <v>13</v>
      </c>
      <c r="E903">
        <v>54</v>
      </c>
      <c r="F903" t="str">
        <f>IF(Table1[[#This Row],[Age]]&lt;=25,"Young",IF(Table1[[#This Row],[Age]]&gt;55,"Old",IF(Table1[[#This Row],[Age]]&gt;25,"Middle","Na")))</f>
        <v>Middle</v>
      </c>
      <c r="G903" t="s">
        <v>11</v>
      </c>
      <c r="H903">
        <v>1</v>
      </c>
      <c r="I903">
        <v>50</v>
      </c>
      <c r="J903">
        <v>50</v>
      </c>
    </row>
    <row r="904" spans="1:10" x14ac:dyDescent="0.35">
      <c r="A904">
        <v>903</v>
      </c>
      <c r="B904" s="1">
        <v>45043</v>
      </c>
      <c r="C904" t="s">
        <v>916</v>
      </c>
      <c r="D904" t="s">
        <v>13</v>
      </c>
      <c r="E904">
        <v>51</v>
      </c>
      <c r="F904" t="str">
        <f>IF(Table1[[#This Row],[Age]]&lt;=25,"Young",IF(Table1[[#This Row],[Age]]&gt;55,"Old",IF(Table1[[#This Row],[Age]]&gt;25,"Middle","Na")))</f>
        <v>Middle</v>
      </c>
      <c r="G904" t="s">
        <v>11</v>
      </c>
      <c r="H904">
        <v>4</v>
      </c>
      <c r="I904">
        <v>50</v>
      </c>
      <c r="J904">
        <v>200</v>
      </c>
    </row>
    <row r="905" spans="1:10" x14ac:dyDescent="0.35">
      <c r="A905">
        <v>904</v>
      </c>
      <c r="B905" s="1">
        <v>45111</v>
      </c>
      <c r="C905" t="s">
        <v>917</v>
      </c>
      <c r="D905" t="s">
        <v>10</v>
      </c>
      <c r="E905">
        <v>28</v>
      </c>
      <c r="F905" t="str">
        <f>IF(Table1[[#This Row],[Age]]&lt;=25,"Young",IF(Table1[[#This Row],[Age]]&gt;55,"Old",IF(Table1[[#This Row],[Age]]&gt;25,"Middle","Na")))</f>
        <v>Middle</v>
      </c>
      <c r="G905" t="s">
        <v>14</v>
      </c>
      <c r="H905">
        <v>1</v>
      </c>
      <c r="I905">
        <v>500</v>
      </c>
      <c r="J905">
        <v>500</v>
      </c>
    </row>
    <row r="906" spans="1:10" x14ac:dyDescent="0.35">
      <c r="A906">
        <v>905</v>
      </c>
      <c r="B906" s="1">
        <v>45018</v>
      </c>
      <c r="C906" t="s">
        <v>918</v>
      </c>
      <c r="D906" t="s">
        <v>10</v>
      </c>
      <c r="E906">
        <v>58</v>
      </c>
      <c r="F906" t="str">
        <f>IF(Table1[[#This Row],[Age]]&lt;=25,"Young",IF(Table1[[#This Row],[Age]]&gt;55,"Old",IF(Table1[[#This Row],[Age]]&gt;25,"Middle","Na")))</f>
        <v>Old</v>
      </c>
      <c r="G906" t="s">
        <v>11</v>
      </c>
      <c r="H906">
        <v>1</v>
      </c>
      <c r="I906">
        <v>300</v>
      </c>
      <c r="J906">
        <v>300</v>
      </c>
    </row>
    <row r="907" spans="1:10" x14ac:dyDescent="0.35">
      <c r="A907">
        <v>906</v>
      </c>
      <c r="B907" s="1">
        <v>45081</v>
      </c>
      <c r="C907" t="s">
        <v>919</v>
      </c>
      <c r="D907" t="s">
        <v>13</v>
      </c>
      <c r="E907">
        <v>20</v>
      </c>
      <c r="F907" t="str">
        <f>IF(Table1[[#This Row],[Age]]&lt;=25,"Young",IF(Table1[[#This Row],[Age]]&gt;55,"Old",IF(Table1[[#This Row],[Age]]&gt;25,"Middle","Na")))</f>
        <v>Young</v>
      </c>
      <c r="G907" t="s">
        <v>14</v>
      </c>
      <c r="H907">
        <v>1</v>
      </c>
      <c r="I907">
        <v>50</v>
      </c>
      <c r="J907">
        <v>50</v>
      </c>
    </row>
    <row r="908" spans="1:10" x14ac:dyDescent="0.35">
      <c r="A908">
        <v>907</v>
      </c>
      <c r="B908" s="1">
        <v>44934</v>
      </c>
      <c r="C908" t="s">
        <v>920</v>
      </c>
      <c r="D908" t="s">
        <v>13</v>
      </c>
      <c r="E908">
        <v>45</v>
      </c>
      <c r="F908" t="str">
        <f>IF(Table1[[#This Row],[Age]]&lt;=25,"Young",IF(Table1[[#This Row],[Age]]&gt;55,"Old",IF(Table1[[#This Row],[Age]]&gt;25,"Middle","Na")))</f>
        <v>Middle</v>
      </c>
      <c r="G908" t="s">
        <v>16</v>
      </c>
      <c r="H908">
        <v>1</v>
      </c>
      <c r="I908">
        <v>25</v>
      </c>
      <c r="J908">
        <v>25</v>
      </c>
    </row>
    <row r="909" spans="1:10" x14ac:dyDescent="0.35">
      <c r="A909">
        <v>908</v>
      </c>
      <c r="B909" s="1">
        <v>45289</v>
      </c>
      <c r="C909" t="s">
        <v>921</v>
      </c>
      <c r="D909" t="s">
        <v>10</v>
      </c>
      <c r="E909">
        <v>46</v>
      </c>
      <c r="F909" t="str">
        <f>IF(Table1[[#This Row],[Age]]&lt;=25,"Young",IF(Table1[[#This Row],[Age]]&gt;55,"Old",IF(Table1[[#This Row],[Age]]&gt;25,"Middle","Na")))</f>
        <v>Middle</v>
      </c>
      <c r="G909" t="s">
        <v>11</v>
      </c>
      <c r="H909">
        <v>4</v>
      </c>
      <c r="I909">
        <v>300</v>
      </c>
      <c r="J909">
        <v>1200</v>
      </c>
    </row>
    <row r="910" spans="1:10" x14ac:dyDescent="0.35">
      <c r="A910">
        <v>909</v>
      </c>
      <c r="B910" s="1">
        <v>45200</v>
      </c>
      <c r="C910" t="s">
        <v>922</v>
      </c>
      <c r="D910" t="s">
        <v>10</v>
      </c>
      <c r="E910">
        <v>26</v>
      </c>
      <c r="F910" t="str">
        <f>IF(Table1[[#This Row],[Age]]&lt;=25,"Young",IF(Table1[[#This Row],[Age]]&gt;55,"Old",IF(Table1[[#This Row],[Age]]&gt;25,"Middle","Na")))</f>
        <v>Middle</v>
      </c>
      <c r="G910" t="s">
        <v>16</v>
      </c>
      <c r="H910">
        <v>1</v>
      </c>
      <c r="I910">
        <v>300</v>
      </c>
      <c r="J910">
        <v>300</v>
      </c>
    </row>
    <row r="911" spans="1:10" x14ac:dyDescent="0.35">
      <c r="A911">
        <v>910</v>
      </c>
      <c r="B911" s="1">
        <v>44991</v>
      </c>
      <c r="C911" t="s">
        <v>923</v>
      </c>
      <c r="D911" t="s">
        <v>13</v>
      </c>
      <c r="E911">
        <v>20</v>
      </c>
      <c r="F911" t="str">
        <f>IF(Table1[[#This Row],[Age]]&lt;=25,"Young",IF(Table1[[#This Row],[Age]]&gt;55,"Old",IF(Table1[[#This Row],[Age]]&gt;25,"Middle","Na")))</f>
        <v>Young</v>
      </c>
      <c r="G911" t="s">
        <v>11</v>
      </c>
      <c r="H911">
        <v>3</v>
      </c>
      <c r="I911">
        <v>50</v>
      </c>
      <c r="J911">
        <v>150</v>
      </c>
    </row>
    <row r="912" spans="1:10" x14ac:dyDescent="0.35">
      <c r="A912">
        <v>911</v>
      </c>
      <c r="B912" s="1">
        <v>45067</v>
      </c>
      <c r="C912" t="s">
        <v>924</v>
      </c>
      <c r="D912" t="s">
        <v>10</v>
      </c>
      <c r="E912">
        <v>42</v>
      </c>
      <c r="F912" t="str">
        <f>IF(Table1[[#This Row],[Age]]&lt;=25,"Young",IF(Table1[[#This Row],[Age]]&gt;55,"Old",IF(Table1[[#This Row],[Age]]&gt;25,"Middle","Na")))</f>
        <v>Middle</v>
      </c>
      <c r="G912" t="s">
        <v>16</v>
      </c>
      <c r="H912">
        <v>3</v>
      </c>
      <c r="I912">
        <v>300</v>
      </c>
      <c r="J912">
        <v>900</v>
      </c>
    </row>
    <row r="913" spans="1:10" x14ac:dyDescent="0.35">
      <c r="A913">
        <v>912</v>
      </c>
      <c r="B913" s="1">
        <v>44950</v>
      </c>
      <c r="C913" t="s">
        <v>925</v>
      </c>
      <c r="D913" t="s">
        <v>10</v>
      </c>
      <c r="E913">
        <v>51</v>
      </c>
      <c r="F913" t="str">
        <f>IF(Table1[[#This Row],[Age]]&lt;=25,"Young",IF(Table1[[#This Row],[Age]]&gt;55,"Old",IF(Table1[[#This Row],[Age]]&gt;25,"Middle","Na")))</f>
        <v>Middle</v>
      </c>
      <c r="G913" t="s">
        <v>11</v>
      </c>
      <c r="H913">
        <v>3</v>
      </c>
      <c r="I913">
        <v>50</v>
      </c>
      <c r="J913">
        <v>150</v>
      </c>
    </row>
    <row r="914" spans="1:10" x14ac:dyDescent="0.35">
      <c r="A914">
        <v>913</v>
      </c>
      <c r="B914" s="1">
        <v>44954</v>
      </c>
      <c r="C914" t="s">
        <v>926</v>
      </c>
      <c r="D914" t="s">
        <v>10</v>
      </c>
      <c r="E914">
        <v>29</v>
      </c>
      <c r="F914" t="str">
        <f>IF(Table1[[#This Row],[Age]]&lt;=25,"Young",IF(Table1[[#This Row],[Age]]&gt;55,"Old",IF(Table1[[#This Row],[Age]]&gt;25,"Middle","Na")))</f>
        <v>Middle</v>
      </c>
      <c r="G914" t="s">
        <v>16</v>
      </c>
      <c r="H914">
        <v>3</v>
      </c>
      <c r="I914">
        <v>30</v>
      </c>
      <c r="J914">
        <v>90</v>
      </c>
    </row>
    <row r="915" spans="1:10" x14ac:dyDescent="0.35">
      <c r="A915">
        <v>914</v>
      </c>
      <c r="B915" s="1">
        <v>45210</v>
      </c>
      <c r="C915" t="s">
        <v>927</v>
      </c>
      <c r="D915" t="s">
        <v>13</v>
      </c>
      <c r="E915">
        <v>59</v>
      </c>
      <c r="F915" t="str">
        <f>IF(Table1[[#This Row],[Age]]&lt;=25,"Young",IF(Table1[[#This Row],[Age]]&gt;55,"Old",IF(Table1[[#This Row],[Age]]&gt;25,"Middle","Na")))</f>
        <v>Old</v>
      </c>
      <c r="G915" t="s">
        <v>16</v>
      </c>
      <c r="H915">
        <v>1</v>
      </c>
      <c r="I915">
        <v>500</v>
      </c>
      <c r="J915">
        <v>500</v>
      </c>
    </row>
    <row r="916" spans="1:10" x14ac:dyDescent="0.35">
      <c r="A916">
        <v>915</v>
      </c>
      <c r="B916" s="1">
        <v>45076</v>
      </c>
      <c r="C916" t="s">
        <v>928</v>
      </c>
      <c r="D916" t="s">
        <v>13</v>
      </c>
      <c r="E916">
        <v>26</v>
      </c>
      <c r="F916" t="str">
        <f>IF(Table1[[#This Row],[Age]]&lt;=25,"Young",IF(Table1[[#This Row],[Age]]&gt;55,"Old",IF(Table1[[#This Row],[Age]]&gt;25,"Middle","Na")))</f>
        <v>Middle</v>
      </c>
      <c r="G916" t="s">
        <v>11</v>
      </c>
      <c r="H916">
        <v>3</v>
      </c>
      <c r="I916">
        <v>30</v>
      </c>
      <c r="J916">
        <v>90</v>
      </c>
    </row>
    <row r="917" spans="1:10" x14ac:dyDescent="0.35">
      <c r="A917">
        <v>916</v>
      </c>
      <c r="B917" s="1">
        <v>45284</v>
      </c>
      <c r="C917" t="s">
        <v>929</v>
      </c>
      <c r="D917" t="s">
        <v>13</v>
      </c>
      <c r="E917">
        <v>32</v>
      </c>
      <c r="F917" t="str">
        <f>IF(Table1[[#This Row],[Age]]&lt;=25,"Young",IF(Table1[[#This Row],[Age]]&gt;55,"Old",IF(Table1[[#This Row],[Age]]&gt;25,"Middle","Na")))</f>
        <v>Middle</v>
      </c>
      <c r="G917" t="s">
        <v>16</v>
      </c>
      <c r="H917">
        <v>1</v>
      </c>
      <c r="I917">
        <v>50</v>
      </c>
      <c r="J917">
        <v>50</v>
      </c>
    </row>
    <row r="918" spans="1:10" x14ac:dyDescent="0.35">
      <c r="A918">
        <v>917</v>
      </c>
      <c r="B918" s="1">
        <v>44991</v>
      </c>
      <c r="C918" t="s">
        <v>930</v>
      </c>
      <c r="D918" t="s">
        <v>13</v>
      </c>
      <c r="E918">
        <v>57</v>
      </c>
      <c r="F918" t="str">
        <f>IF(Table1[[#This Row],[Age]]&lt;=25,"Young",IF(Table1[[#This Row],[Age]]&gt;55,"Old",IF(Table1[[#This Row],[Age]]&gt;25,"Middle","Na")))</f>
        <v>Old</v>
      </c>
      <c r="G918" t="s">
        <v>16</v>
      </c>
      <c r="H918">
        <v>4</v>
      </c>
      <c r="I918">
        <v>50</v>
      </c>
      <c r="J918">
        <v>200</v>
      </c>
    </row>
    <row r="919" spans="1:10" x14ac:dyDescent="0.35">
      <c r="A919">
        <v>918</v>
      </c>
      <c r="B919" s="1">
        <v>45253</v>
      </c>
      <c r="C919" t="s">
        <v>931</v>
      </c>
      <c r="D919" t="s">
        <v>13</v>
      </c>
      <c r="E919">
        <v>42</v>
      </c>
      <c r="F919" t="str">
        <f>IF(Table1[[#This Row],[Age]]&lt;=25,"Young",IF(Table1[[#This Row],[Age]]&gt;55,"Old",IF(Table1[[#This Row],[Age]]&gt;25,"Middle","Na")))</f>
        <v>Middle</v>
      </c>
      <c r="G919" t="s">
        <v>16</v>
      </c>
      <c r="H919">
        <v>3</v>
      </c>
      <c r="I919">
        <v>30</v>
      </c>
      <c r="J919">
        <v>90</v>
      </c>
    </row>
    <row r="920" spans="1:10" x14ac:dyDescent="0.35">
      <c r="A920">
        <v>919</v>
      </c>
      <c r="B920" s="1">
        <v>45178</v>
      </c>
      <c r="C920" t="s">
        <v>932</v>
      </c>
      <c r="D920" t="s">
        <v>13</v>
      </c>
      <c r="E920">
        <v>22</v>
      </c>
      <c r="F920" t="str">
        <f>IF(Table1[[#This Row],[Age]]&lt;=25,"Young",IF(Table1[[#This Row],[Age]]&gt;55,"Old",IF(Table1[[#This Row],[Age]]&gt;25,"Middle","Na")))</f>
        <v>Young</v>
      </c>
      <c r="G920" t="s">
        <v>11</v>
      </c>
      <c r="H920">
        <v>2</v>
      </c>
      <c r="I920">
        <v>25</v>
      </c>
      <c r="J920">
        <v>50</v>
      </c>
    </row>
    <row r="921" spans="1:10" x14ac:dyDescent="0.35">
      <c r="A921">
        <v>920</v>
      </c>
      <c r="B921" s="1">
        <v>44979</v>
      </c>
      <c r="C921" t="s">
        <v>933</v>
      </c>
      <c r="D921" t="s">
        <v>13</v>
      </c>
      <c r="E921">
        <v>28</v>
      </c>
      <c r="F921" t="str">
        <f>IF(Table1[[#This Row],[Age]]&lt;=25,"Young",IF(Table1[[#This Row],[Age]]&gt;55,"Old",IF(Table1[[#This Row],[Age]]&gt;25,"Middle","Na")))</f>
        <v>Middle</v>
      </c>
      <c r="G921" t="s">
        <v>11</v>
      </c>
      <c r="H921">
        <v>3</v>
      </c>
      <c r="I921">
        <v>25</v>
      </c>
      <c r="J921">
        <v>75</v>
      </c>
    </row>
    <row r="922" spans="1:10" x14ac:dyDescent="0.35">
      <c r="A922">
        <v>921</v>
      </c>
      <c r="B922" s="1">
        <v>44933</v>
      </c>
      <c r="C922" t="s">
        <v>934</v>
      </c>
      <c r="D922" t="s">
        <v>10</v>
      </c>
      <c r="E922">
        <v>51</v>
      </c>
      <c r="F922" t="str">
        <f>IF(Table1[[#This Row],[Age]]&lt;=25,"Young",IF(Table1[[#This Row],[Age]]&gt;55,"Old",IF(Table1[[#This Row],[Age]]&gt;25,"Middle","Na")))</f>
        <v>Middle</v>
      </c>
      <c r="G922" t="s">
        <v>16</v>
      </c>
      <c r="H922">
        <v>3</v>
      </c>
      <c r="I922">
        <v>25</v>
      </c>
      <c r="J922">
        <v>75</v>
      </c>
    </row>
    <row r="923" spans="1:10" x14ac:dyDescent="0.35">
      <c r="A923">
        <v>922</v>
      </c>
      <c r="B923" s="1">
        <v>45220</v>
      </c>
      <c r="C923" t="s">
        <v>935</v>
      </c>
      <c r="D923" t="s">
        <v>10</v>
      </c>
      <c r="E923">
        <v>41</v>
      </c>
      <c r="F923" t="str">
        <f>IF(Table1[[#This Row],[Age]]&lt;=25,"Young",IF(Table1[[#This Row],[Age]]&gt;55,"Old",IF(Table1[[#This Row],[Age]]&gt;25,"Middle","Na")))</f>
        <v>Middle</v>
      </c>
      <c r="G923" t="s">
        <v>16</v>
      </c>
      <c r="H923">
        <v>1</v>
      </c>
      <c r="I923">
        <v>50</v>
      </c>
      <c r="J923">
        <v>50</v>
      </c>
    </row>
    <row r="924" spans="1:10" x14ac:dyDescent="0.35">
      <c r="A924">
        <v>923</v>
      </c>
      <c r="B924" s="1">
        <v>45072</v>
      </c>
      <c r="C924" t="s">
        <v>936</v>
      </c>
      <c r="D924" t="s">
        <v>10</v>
      </c>
      <c r="E924">
        <v>32</v>
      </c>
      <c r="F924" t="str">
        <f>IF(Table1[[#This Row],[Age]]&lt;=25,"Young",IF(Table1[[#This Row],[Age]]&gt;55,"Old",IF(Table1[[#This Row],[Age]]&gt;25,"Middle","Na")))</f>
        <v>Middle</v>
      </c>
      <c r="G924" t="s">
        <v>11</v>
      </c>
      <c r="H924">
        <v>3</v>
      </c>
      <c r="I924">
        <v>300</v>
      </c>
      <c r="J924">
        <v>900</v>
      </c>
    </row>
    <row r="925" spans="1:10" x14ac:dyDescent="0.35">
      <c r="A925">
        <v>924</v>
      </c>
      <c r="B925" s="1">
        <v>45167</v>
      </c>
      <c r="C925" t="s">
        <v>937</v>
      </c>
      <c r="D925" t="s">
        <v>10</v>
      </c>
      <c r="E925">
        <v>55</v>
      </c>
      <c r="F925" t="str">
        <f>IF(Table1[[#This Row],[Age]]&lt;=25,"Young",IF(Table1[[#This Row],[Age]]&gt;55,"Old",IF(Table1[[#This Row],[Age]]&gt;25,"Middle","Na")))</f>
        <v>Middle</v>
      </c>
      <c r="G925" t="s">
        <v>11</v>
      </c>
      <c r="H925">
        <v>2</v>
      </c>
      <c r="I925">
        <v>50</v>
      </c>
      <c r="J925">
        <v>100</v>
      </c>
    </row>
    <row r="926" spans="1:10" x14ac:dyDescent="0.35">
      <c r="A926">
        <v>925</v>
      </c>
      <c r="B926" s="1">
        <v>45172</v>
      </c>
      <c r="C926" t="s">
        <v>938</v>
      </c>
      <c r="D926" t="s">
        <v>10</v>
      </c>
      <c r="E926">
        <v>25</v>
      </c>
      <c r="F926" t="str">
        <f>IF(Table1[[#This Row],[Age]]&lt;=25,"Young",IF(Table1[[#This Row],[Age]]&gt;55,"Old",IF(Table1[[#This Row],[Age]]&gt;25,"Middle","Na")))</f>
        <v>Young</v>
      </c>
      <c r="G926" t="s">
        <v>16</v>
      </c>
      <c r="H926">
        <v>1</v>
      </c>
      <c r="I926">
        <v>300</v>
      </c>
      <c r="J926">
        <v>300</v>
      </c>
    </row>
    <row r="927" spans="1:10" x14ac:dyDescent="0.35">
      <c r="A927">
        <v>926</v>
      </c>
      <c r="B927" s="1">
        <v>45152</v>
      </c>
      <c r="C927" t="s">
        <v>939</v>
      </c>
      <c r="D927" t="s">
        <v>10</v>
      </c>
      <c r="E927">
        <v>22</v>
      </c>
      <c r="F927" t="str">
        <f>IF(Table1[[#This Row],[Age]]&lt;=25,"Young",IF(Table1[[#This Row],[Age]]&gt;55,"Old",IF(Table1[[#This Row],[Age]]&gt;25,"Middle","Na")))</f>
        <v>Young</v>
      </c>
      <c r="G927" t="s">
        <v>16</v>
      </c>
      <c r="H927">
        <v>1</v>
      </c>
      <c r="I927">
        <v>30</v>
      </c>
      <c r="J927">
        <v>30</v>
      </c>
    </row>
    <row r="928" spans="1:10" x14ac:dyDescent="0.35">
      <c r="A928">
        <v>927</v>
      </c>
      <c r="B928" s="1">
        <v>45101</v>
      </c>
      <c r="C928" t="s">
        <v>940</v>
      </c>
      <c r="D928" t="s">
        <v>10</v>
      </c>
      <c r="E928">
        <v>43</v>
      </c>
      <c r="F928" t="str">
        <f>IF(Table1[[#This Row],[Age]]&lt;=25,"Young",IF(Table1[[#This Row],[Age]]&gt;55,"Old",IF(Table1[[#This Row],[Age]]&gt;25,"Middle","Na")))</f>
        <v>Middle</v>
      </c>
      <c r="G928" t="s">
        <v>16</v>
      </c>
      <c r="H928">
        <v>4</v>
      </c>
      <c r="I928">
        <v>500</v>
      </c>
      <c r="J928">
        <v>2000</v>
      </c>
    </row>
    <row r="929" spans="1:10" x14ac:dyDescent="0.35">
      <c r="A929">
        <v>928</v>
      </c>
      <c r="B929" s="1">
        <v>45021</v>
      </c>
      <c r="C929" t="s">
        <v>941</v>
      </c>
      <c r="D929" t="s">
        <v>13</v>
      </c>
      <c r="E929">
        <v>35</v>
      </c>
      <c r="F929" t="str">
        <f>IF(Table1[[#This Row],[Age]]&lt;=25,"Young",IF(Table1[[#This Row],[Age]]&gt;55,"Old",IF(Table1[[#This Row],[Age]]&gt;25,"Middle","Na")))</f>
        <v>Middle</v>
      </c>
      <c r="G929" t="s">
        <v>14</v>
      </c>
      <c r="H929">
        <v>4</v>
      </c>
      <c r="I929">
        <v>300</v>
      </c>
      <c r="J929">
        <v>1200</v>
      </c>
    </row>
    <row r="930" spans="1:10" x14ac:dyDescent="0.35">
      <c r="A930">
        <v>929</v>
      </c>
      <c r="B930" s="1">
        <v>44953</v>
      </c>
      <c r="C930" t="s">
        <v>942</v>
      </c>
      <c r="D930" t="s">
        <v>13</v>
      </c>
      <c r="E930">
        <v>23</v>
      </c>
      <c r="F930" t="str">
        <f>IF(Table1[[#This Row],[Age]]&lt;=25,"Young",IF(Table1[[#This Row],[Age]]&gt;55,"Old",IF(Table1[[#This Row],[Age]]&gt;25,"Middle","Na")))</f>
        <v>Young</v>
      </c>
      <c r="G930" t="s">
        <v>11</v>
      </c>
      <c r="H930">
        <v>3</v>
      </c>
      <c r="I930">
        <v>25</v>
      </c>
      <c r="J930">
        <v>75</v>
      </c>
    </row>
    <row r="931" spans="1:10" x14ac:dyDescent="0.35">
      <c r="A931">
        <v>930</v>
      </c>
      <c r="B931" s="1">
        <v>45056</v>
      </c>
      <c r="C931" t="s">
        <v>943</v>
      </c>
      <c r="D931" t="s">
        <v>10</v>
      </c>
      <c r="E931">
        <v>54</v>
      </c>
      <c r="F931" t="str">
        <f>IF(Table1[[#This Row],[Age]]&lt;=25,"Young",IF(Table1[[#This Row],[Age]]&gt;55,"Old",IF(Table1[[#This Row],[Age]]&gt;25,"Middle","Na")))</f>
        <v>Middle</v>
      </c>
      <c r="G931" t="s">
        <v>14</v>
      </c>
      <c r="H931">
        <v>4</v>
      </c>
      <c r="I931">
        <v>50</v>
      </c>
      <c r="J931">
        <v>200</v>
      </c>
    </row>
    <row r="932" spans="1:10" x14ac:dyDescent="0.35">
      <c r="A932">
        <v>931</v>
      </c>
      <c r="B932" s="1">
        <v>45171</v>
      </c>
      <c r="C932" t="s">
        <v>944</v>
      </c>
      <c r="D932" t="s">
        <v>10</v>
      </c>
      <c r="E932">
        <v>30</v>
      </c>
      <c r="F932" t="str">
        <f>IF(Table1[[#This Row],[Age]]&lt;=25,"Young",IF(Table1[[#This Row],[Age]]&gt;55,"Old",IF(Table1[[#This Row],[Age]]&gt;25,"Middle","Na")))</f>
        <v>Middle</v>
      </c>
      <c r="G932" t="s">
        <v>11</v>
      </c>
      <c r="H932">
        <v>4</v>
      </c>
      <c r="I932">
        <v>30</v>
      </c>
      <c r="J932">
        <v>120</v>
      </c>
    </row>
    <row r="933" spans="1:10" x14ac:dyDescent="0.35">
      <c r="A933">
        <v>932</v>
      </c>
      <c r="B933" s="1">
        <v>44985</v>
      </c>
      <c r="C933" t="s">
        <v>945</v>
      </c>
      <c r="D933" t="s">
        <v>13</v>
      </c>
      <c r="E933">
        <v>45</v>
      </c>
      <c r="F933" t="str">
        <f>IF(Table1[[#This Row],[Age]]&lt;=25,"Young",IF(Table1[[#This Row],[Age]]&gt;55,"Old",IF(Table1[[#This Row],[Age]]&gt;25,"Middle","Na")))</f>
        <v>Middle</v>
      </c>
      <c r="G933" t="s">
        <v>11</v>
      </c>
      <c r="H933">
        <v>4</v>
      </c>
      <c r="I933">
        <v>25</v>
      </c>
      <c r="J933">
        <v>100</v>
      </c>
    </row>
    <row r="934" spans="1:10" x14ac:dyDescent="0.35">
      <c r="A934">
        <v>933</v>
      </c>
      <c r="B934" s="1">
        <v>44960</v>
      </c>
      <c r="C934" t="s">
        <v>946</v>
      </c>
      <c r="D934" t="s">
        <v>10</v>
      </c>
      <c r="E934">
        <v>22</v>
      </c>
      <c r="F934" t="str">
        <f>IF(Table1[[#This Row],[Age]]&lt;=25,"Young",IF(Table1[[#This Row],[Age]]&gt;55,"Old",IF(Table1[[#This Row],[Age]]&gt;25,"Middle","Na")))</f>
        <v>Young</v>
      </c>
      <c r="G934" t="s">
        <v>11</v>
      </c>
      <c r="H934">
        <v>1</v>
      </c>
      <c r="I934">
        <v>30</v>
      </c>
      <c r="J934">
        <v>30</v>
      </c>
    </row>
    <row r="935" spans="1:10" x14ac:dyDescent="0.35">
      <c r="A935">
        <v>934</v>
      </c>
      <c r="B935" s="1">
        <v>45132</v>
      </c>
      <c r="C935" t="s">
        <v>947</v>
      </c>
      <c r="D935" t="s">
        <v>10</v>
      </c>
      <c r="E935">
        <v>30</v>
      </c>
      <c r="F935" t="str">
        <f>IF(Table1[[#This Row],[Age]]&lt;=25,"Young",IF(Table1[[#This Row],[Age]]&gt;55,"Old",IF(Table1[[#This Row],[Age]]&gt;25,"Middle","Na")))</f>
        <v>Middle</v>
      </c>
      <c r="G935" t="s">
        <v>11</v>
      </c>
      <c r="H935">
        <v>1</v>
      </c>
      <c r="I935">
        <v>500</v>
      </c>
      <c r="J935">
        <v>500</v>
      </c>
    </row>
    <row r="936" spans="1:10" x14ac:dyDescent="0.35">
      <c r="A936">
        <v>935</v>
      </c>
      <c r="B936" s="1">
        <v>45178</v>
      </c>
      <c r="C936" t="s">
        <v>948</v>
      </c>
      <c r="D936" t="s">
        <v>13</v>
      </c>
      <c r="E936">
        <v>34</v>
      </c>
      <c r="F936" t="str">
        <f>IF(Table1[[#This Row],[Age]]&lt;=25,"Young",IF(Table1[[#This Row],[Age]]&gt;55,"Old",IF(Table1[[#This Row],[Age]]&gt;25,"Middle","Na")))</f>
        <v>Middle</v>
      </c>
      <c r="G936" t="s">
        <v>11</v>
      </c>
      <c r="H936">
        <v>1</v>
      </c>
      <c r="I936">
        <v>50</v>
      </c>
      <c r="J936">
        <v>50</v>
      </c>
    </row>
    <row r="937" spans="1:10" x14ac:dyDescent="0.35">
      <c r="A937">
        <v>936</v>
      </c>
      <c r="B937" s="1">
        <v>44964</v>
      </c>
      <c r="C937" t="s">
        <v>949</v>
      </c>
      <c r="D937" t="s">
        <v>10</v>
      </c>
      <c r="E937">
        <v>57</v>
      </c>
      <c r="F937" t="str">
        <f>IF(Table1[[#This Row],[Age]]&lt;=25,"Young",IF(Table1[[#This Row],[Age]]&gt;55,"Old",IF(Table1[[#This Row],[Age]]&gt;25,"Middle","Na")))</f>
        <v>Old</v>
      </c>
      <c r="G937" t="s">
        <v>11</v>
      </c>
      <c r="H937">
        <v>4</v>
      </c>
      <c r="I937">
        <v>50</v>
      </c>
      <c r="J937">
        <v>200</v>
      </c>
    </row>
    <row r="938" spans="1:10" x14ac:dyDescent="0.35">
      <c r="A938">
        <v>937</v>
      </c>
      <c r="B938" s="1">
        <v>45222</v>
      </c>
      <c r="C938" t="s">
        <v>950</v>
      </c>
      <c r="D938" t="s">
        <v>13</v>
      </c>
      <c r="E938">
        <v>62</v>
      </c>
      <c r="F938" t="str">
        <f>IF(Table1[[#This Row],[Age]]&lt;=25,"Young",IF(Table1[[#This Row],[Age]]&gt;55,"Old",IF(Table1[[#This Row],[Age]]&gt;25,"Middle","Na")))</f>
        <v>Old</v>
      </c>
      <c r="G938" t="s">
        <v>11</v>
      </c>
      <c r="H938">
        <v>1</v>
      </c>
      <c r="I938">
        <v>500</v>
      </c>
      <c r="J938">
        <v>500</v>
      </c>
    </row>
    <row r="939" spans="1:10" x14ac:dyDescent="0.35">
      <c r="A939">
        <v>938</v>
      </c>
      <c r="B939" s="1">
        <v>45249</v>
      </c>
      <c r="C939" t="s">
        <v>951</v>
      </c>
      <c r="D939" t="s">
        <v>10</v>
      </c>
      <c r="E939">
        <v>49</v>
      </c>
      <c r="F939" t="str">
        <f>IF(Table1[[#This Row],[Age]]&lt;=25,"Young",IF(Table1[[#This Row],[Age]]&gt;55,"Old",IF(Table1[[#This Row],[Age]]&gt;25,"Middle","Na")))</f>
        <v>Middle</v>
      </c>
      <c r="G939" t="s">
        <v>14</v>
      </c>
      <c r="H939">
        <v>4</v>
      </c>
      <c r="I939">
        <v>50</v>
      </c>
      <c r="J939">
        <v>200</v>
      </c>
    </row>
    <row r="940" spans="1:10" x14ac:dyDescent="0.35">
      <c r="A940">
        <v>939</v>
      </c>
      <c r="B940" s="1">
        <v>45278</v>
      </c>
      <c r="C940" t="s">
        <v>952</v>
      </c>
      <c r="D940" t="s">
        <v>13</v>
      </c>
      <c r="E940">
        <v>46</v>
      </c>
      <c r="F940" t="str">
        <f>IF(Table1[[#This Row],[Age]]&lt;=25,"Young",IF(Table1[[#This Row],[Age]]&gt;55,"Old",IF(Table1[[#This Row],[Age]]&gt;25,"Middle","Na")))</f>
        <v>Middle</v>
      </c>
      <c r="G940" t="s">
        <v>16</v>
      </c>
      <c r="H940">
        <v>1</v>
      </c>
      <c r="I940">
        <v>300</v>
      </c>
      <c r="J940">
        <v>300</v>
      </c>
    </row>
    <row r="941" spans="1:10" x14ac:dyDescent="0.35">
      <c r="A941">
        <v>940</v>
      </c>
      <c r="B941" s="1">
        <v>44954</v>
      </c>
      <c r="C941" t="s">
        <v>953</v>
      </c>
      <c r="D941" t="s">
        <v>13</v>
      </c>
      <c r="E941">
        <v>20</v>
      </c>
      <c r="F941" t="str">
        <f>IF(Table1[[#This Row],[Age]]&lt;=25,"Young",IF(Table1[[#This Row],[Age]]&gt;55,"Old",IF(Table1[[#This Row],[Age]]&gt;25,"Middle","Na")))</f>
        <v>Young</v>
      </c>
      <c r="G941" t="s">
        <v>16</v>
      </c>
      <c r="H941">
        <v>1</v>
      </c>
      <c r="I941">
        <v>30</v>
      </c>
      <c r="J941">
        <v>30</v>
      </c>
    </row>
    <row r="942" spans="1:10" x14ac:dyDescent="0.35">
      <c r="A942">
        <v>941</v>
      </c>
      <c r="B942" s="1">
        <v>45004</v>
      </c>
      <c r="C942" t="s">
        <v>954</v>
      </c>
      <c r="D942" t="s">
        <v>13</v>
      </c>
      <c r="E942">
        <v>57</v>
      </c>
      <c r="F942" t="str">
        <f>IF(Table1[[#This Row],[Age]]&lt;=25,"Young",IF(Table1[[#This Row],[Age]]&gt;55,"Old",IF(Table1[[#This Row],[Age]]&gt;25,"Middle","Na")))</f>
        <v>Old</v>
      </c>
      <c r="G942" t="s">
        <v>14</v>
      </c>
      <c r="H942">
        <v>2</v>
      </c>
      <c r="I942">
        <v>25</v>
      </c>
      <c r="J942">
        <v>50</v>
      </c>
    </row>
    <row r="943" spans="1:10" x14ac:dyDescent="0.35">
      <c r="A943">
        <v>942</v>
      </c>
      <c r="B943" s="1">
        <v>45003</v>
      </c>
      <c r="C943" t="s">
        <v>955</v>
      </c>
      <c r="D943" t="s">
        <v>10</v>
      </c>
      <c r="E943">
        <v>51</v>
      </c>
      <c r="F943" t="str">
        <f>IF(Table1[[#This Row],[Age]]&lt;=25,"Young",IF(Table1[[#This Row],[Age]]&gt;55,"Old",IF(Table1[[#This Row],[Age]]&gt;25,"Middle","Na")))</f>
        <v>Middle</v>
      </c>
      <c r="G943" t="s">
        <v>14</v>
      </c>
      <c r="H943">
        <v>3</v>
      </c>
      <c r="I943">
        <v>500</v>
      </c>
      <c r="J943">
        <v>1500</v>
      </c>
    </row>
    <row r="944" spans="1:10" x14ac:dyDescent="0.35">
      <c r="A944">
        <v>943</v>
      </c>
      <c r="B944" s="1">
        <v>45215</v>
      </c>
      <c r="C944" t="s">
        <v>956</v>
      </c>
      <c r="D944" t="s">
        <v>13</v>
      </c>
      <c r="E944">
        <v>57</v>
      </c>
      <c r="F944" t="str">
        <f>IF(Table1[[#This Row],[Age]]&lt;=25,"Young",IF(Table1[[#This Row],[Age]]&gt;55,"Old",IF(Table1[[#This Row],[Age]]&gt;25,"Middle","Na")))</f>
        <v>Old</v>
      </c>
      <c r="G944" t="s">
        <v>14</v>
      </c>
      <c r="H944">
        <v>4</v>
      </c>
      <c r="I944">
        <v>300</v>
      </c>
      <c r="J944">
        <v>1200</v>
      </c>
    </row>
    <row r="945" spans="1:10" x14ac:dyDescent="0.35">
      <c r="A945">
        <v>944</v>
      </c>
      <c r="B945" s="1">
        <v>45082</v>
      </c>
      <c r="C945" t="s">
        <v>957</v>
      </c>
      <c r="D945" t="s">
        <v>10</v>
      </c>
      <c r="E945">
        <v>44</v>
      </c>
      <c r="F945" t="str">
        <f>IF(Table1[[#This Row],[Age]]&lt;=25,"Young",IF(Table1[[#This Row],[Age]]&gt;55,"Old",IF(Table1[[#This Row],[Age]]&gt;25,"Middle","Na")))</f>
        <v>Middle</v>
      </c>
      <c r="G945" t="s">
        <v>14</v>
      </c>
      <c r="H945">
        <v>2</v>
      </c>
      <c r="I945">
        <v>25</v>
      </c>
      <c r="J945">
        <v>50</v>
      </c>
    </row>
    <row r="946" spans="1:10" x14ac:dyDescent="0.35">
      <c r="A946">
        <v>945</v>
      </c>
      <c r="B946" s="1">
        <v>44970</v>
      </c>
      <c r="C946" t="s">
        <v>958</v>
      </c>
      <c r="D946" t="s">
        <v>10</v>
      </c>
      <c r="E946">
        <v>30</v>
      </c>
      <c r="F946" t="str">
        <f>IF(Table1[[#This Row],[Age]]&lt;=25,"Young",IF(Table1[[#This Row],[Age]]&gt;55,"Old",IF(Table1[[#This Row],[Age]]&gt;25,"Middle","Na")))</f>
        <v>Middle</v>
      </c>
      <c r="G946" t="s">
        <v>11</v>
      </c>
      <c r="H946">
        <v>1</v>
      </c>
      <c r="I946">
        <v>25</v>
      </c>
      <c r="J946">
        <v>25</v>
      </c>
    </row>
    <row r="947" spans="1:10" x14ac:dyDescent="0.35">
      <c r="A947">
        <v>946</v>
      </c>
      <c r="B947" s="1">
        <v>45054</v>
      </c>
      <c r="C947" t="s">
        <v>959</v>
      </c>
      <c r="D947" t="s">
        <v>10</v>
      </c>
      <c r="E947">
        <v>62</v>
      </c>
      <c r="F947" t="str">
        <f>IF(Table1[[#This Row],[Age]]&lt;=25,"Young",IF(Table1[[#This Row],[Age]]&gt;55,"Old",IF(Table1[[#This Row],[Age]]&gt;25,"Middle","Na")))</f>
        <v>Old</v>
      </c>
      <c r="G947" t="s">
        <v>16</v>
      </c>
      <c r="H947">
        <v>4</v>
      </c>
      <c r="I947">
        <v>500</v>
      </c>
      <c r="J947">
        <v>2000</v>
      </c>
    </row>
    <row r="948" spans="1:10" x14ac:dyDescent="0.35">
      <c r="A948">
        <v>947</v>
      </c>
      <c r="B948" s="1">
        <v>44987</v>
      </c>
      <c r="C948" t="s">
        <v>960</v>
      </c>
      <c r="D948" t="s">
        <v>10</v>
      </c>
      <c r="E948">
        <v>50</v>
      </c>
      <c r="F948" t="str">
        <f>IF(Table1[[#This Row],[Age]]&lt;=25,"Young",IF(Table1[[#This Row],[Age]]&gt;55,"Old",IF(Table1[[#This Row],[Age]]&gt;25,"Middle","Na")))</f>
        <v>Middle</v>
      </c>
      <c r="G948" t="s">
        <v>11</v>
      </c>
      <c r="H948">
        <v>1</v>
      </c>
      <c r="I948">
        <v>300</v>
      </c>
      <c r="J948">
        <v>300</v>
      </c>
    </row>
    <row r="949" spans="1:10" x14ac:dyDescent="0.35">
      <c r="A949">
        <v>948</v>
      </c>
      <c r="B949" s="1">
        <v>45212</v>
      </c>
      <c r="C949" t="s">
        <v>961</v>
      </c>
      <c r="D949" t="s">
        <v>13</v>
      </c>
      <c r="E949">
        <v>23</v>
      </c>
      <c r="F949" t="str">
        <f>IF(Table1[[#This Row],[Age]]&lt;=25,"Young",IF(Table1[[#This Row],[Age]]&gt;55,"Old",IF(Table1[[#This Row],[Age]]&gt;25,"Middle","Na")))</f>
        <v>Young</v>
      </c>
      <c r="G949" t="s">
        <v>16</v>
      </c>
      <c r="H949">
        <v>3</v>
      </c>
      <c r="I949">
        <v>25</v>
      </c>
      <c r="J949">
        <v>75</v>
      </c>
    </row>
    <row r="950" spans="1:10" x14ac:dyDescent="0.35">
      <c r="A950">
        <v>949</v>
      </c>
      <c r="B950" s="1">
        <v>45140</v>
      </c>
      <c r="C950" t="s">
        <v>962</v>
      </c>
      <c r="D950" t="s">
        <v>13</v>
      </c>
      <c r="E950">
        <v>41</v>
      </c>
      <c r="F950" t="str">
        <f>IF(Table1[[#This Row],[Age]]&lt;=25,"Young",IF(Table1[[#This Row],[Age]]&gt;55,"Old",IF(Table1[[#This Row],[Age]]&gt;25,"Middle","Na")))</f>
        <v>Middle</v>
      </c>
      <c r="G950" t="s">
        <v>16</v>
      </c>
      <c r="H950">
        <v>2</v>
      </c>
      <c r="I950">
        <v>25</v>
      </c>
      <c r="J950">
        <v>50</v>
      </c>
    </row>
    <row r="951" spans="1:10" x14ac:dyDescent="0.35">
      <c r="A951">
        <v>950</v>
      </c>
      <c r="B951" s="1">
        <v>45237</v>
      </c>
      <c r="C951" t="s">
        <v>963</v>
      </c>
      <c r="D951" t="s">
        <v>10</v>
      </c>
      <c r="E951">
        <v>36</v>
      </c>
      <c r="F951" t="str">
        <f>IF(Table1[[#This Row],[Age]]&lt;=25,"Young",IF(Table1[[#This Row],[Age]]&gt;55,"Old",IF(Table1[[#This Row],[Age]]&gt;25,"Middle","Na")))</f>
        <v>Middle</v>
      </c>
      <c r="G951" t="s">
        <v>14</v>
      </c>
      <c r="H951">
        <v>3</v>
      </c>
      <c r="I951">
        <v>300</v>
      </c>
      <c r="J951">
        <v>900</v>
      </c>
    </row>
    <row r="952" spans="1:10" x14ac:dyDescent="0.35">
      <c r="A952">
        <v>951</v>
      </c>
      <c r="B952" s="1">
        <v>45232</v>
      </c>
      <c r="C952" t="s">
        <v>964</v>
      </c>
      <c r="D952" t="s">
        <v>10</v>
      </c>
      <c r="E952">
        <v>33</v>
      </c>
      <c r="F952" t="str">
        <f>IF(Table1[[#This Row],[Age]]&lt;=25,"Young",IF(Table1[[#This Row],[Age]]&gt;55,"Old",IF(Table1[[#This Row],[Age]]&gt;25,"Middle","Na")))</f>
        <v>Middle</v>
      </c>
      <c r="G952" t="s">
        <v>11</v>
      </c>
      <c r="H952">
        <v>2</v>
      </c>
      <c r="I952">
        <v>50</v>
      </c>
      <c r="J952">
        <v>100</v>
      </c>
    </row>
    <row r="953" spans="1:10" x14ac:dyDescent="0.35">
      <c r="A953">
        <v>952</v>
      </c>
      <c r="B953" s="1">
        <v>45243</v>
      </c>
      <c r="C953" t="s">
        <v>965</v>
      </c>
      <c r="D953" t="s">
        <v>13</v>
      </c>
      <c r="E953">
        <v>57</v>
      </c>
      <c r="F953" t="str">
        <f>IF(Table1[[#This Row],[Age]]&lt;=25,"Young",IF(Table1[[#This Row],[Age]]&gt;55,"Old",IF(Table1[[#This Row],[Age]]&gt;25,"Middle","Na")))</f>
        <v>Old</v>
      </c>
      <c r="G953" t="s">
        <v>14</v>
      </c>
      <c r="H953">
        <v>1</v>
      </c>
      <c r="I953">
        <v>25</v>
      </c>
      <c r="J953">
        <v>25</v>
      </c>
    </row>
    <row r="954" spans="1:10" x14ac:dyDescent="0.35">
      <c r="A954">
        <v>953</v>
      </c>
      <c r="B954" s="1">
        <v>45042</v>
      </c>
      <c r="C954" t="s">
        <v>966</v>
      </c>
      <c r="D954" t="s">
        <v>10</v>
      </c>
      <c r="E954">
        <v>45</v>
      </c>
      <c r="F954" t="str">
        <f>IF(Table1[[#This Row],[Age]]&lt;=25,"Young",IF(Table1[[#This Row],[Age]]&gt;55,"Old",IF(Table1[[#This Row],[Age]]&gt;25,"Middle","Na")))</f>
        <v>Middle</v>
      </c>
      <c r="G954" t="s">
        <v>11</v>
      </c>
      <c r="H954">
        <v>3</v>
      </c>
      <c r="I954">
        <v>30</v>
      </c>
      <c r="J954">
        <v>90</v>
      </c>
    </row>
    <row r="955" spans="1:10" x14ac:dyDescent="0.35">
      <c r="A955">
        <v>954</v>
      </c>
      <c r="B955" s="1">
        <v>45194</v>
      </c>
      <c r="C955" t="s">
        <v>967</v>
      </c>
      <c r="D955" t="s">
        <v>13</v>
      </c>
      <c r="E955">
        <v>50</v>
      </c>
      <c r="F955" t="str">
        <f>IF(Table1[[#This Row],[Age]]&lt;=25,"Young",IF(Table1[[#This Row],[Age]]&gt;55,"Old",IF(Table1[[#This Row],[Age]]&gt;25,"Middle","Na")))</f>
        <v>Middle</v>
      </c>
      <c r="G955" t="s">
        <v>16</v>
      </c>
      <c r="H955">
        <v>3</v>
      </c>
      <c r="I955">
        <v>300</v>
      </c>
      <c r="J955">
        <v>900</v>
      </c>
    </row>
    <row r="956" spans="1:10" x14ac:dyDescent="0.35">
      <c r="A956">
        <v>955</v>
      </c>
      <c r="B956" s="1">
        <v>45121</v>
      </c>
      <c r="C956" t="s">
        <v>968</v>
      </c>
      <c r="D956" t="s">
        <v>10</v>
      </c>
      <c r="E956">
        <v>58</v>
      </c>
      <c r="F956" t="str">
        <f>IF(Table1[[#This Row],[Age]]&lt;=25,"Young",IF(Table1[[#This Row],[Age]]&gt;55,"Old",IF(Table1[[#This Row],[Age]]&gt;25,"Middle","Na")))</f>
        <v>Old</v>
      </c>
      <c r="G956" t="s">
        <v>14</v>
      </c>
      <c r="H956">
        <v>1</v>
      </c>
      <c r="I956">
        <v>25</v>
      </c>
      <c r="J956">
        <v>25</v>
      </c>
    </row>
    <row r="957" spans="1:10" x14ac:dyDescent="0.35">
      <c r="A957">
        <v>956</v>
      </c>
      <c r="B957" s="1">
        <v>45157</v>
      </c>
      <c r="C957" t="s">
        <v>969</v>
      </c>
      <c r="D957" t="s">
        <v>10</v>
      </c>
      <c r="E957">
        <v>30</v>
      </c>
      <c r="F957" t="str">
        <f>IF(Table1[[#This Row],[Age]]&lt;=25,"Young",IF(Table1[[#This Row],[Age]]&gt;55,"Old",IF(Table1[[#This Row],[Age]]&gt;25,"Middle","Na")))</f>
        <v>Middle</v>
      </c>
      <c r="G957" t="s">
        <v>14</v>
      </c>
      <c r="H957">
        <v>3</v>
      </c>
      <c r="I957">
        <v>500</v>
      </c>
      <c r="J957">
        <v>1500</v>
      </c>
    </row>
    <row r="958" spans="1:10" x14ac:dyDescent="0.35">
      <c r="A958">
        <v>957</v>
      </c>
      <c r="B958" s="1">
        <v>45153</v>
      </c>
      <c r="C958" t="s">
        <v>970</v>
      </c>
      <c r="D958" t="s">
        <v>13</v>
      </c>
      <c r="E958">
        <v>60</v>
      </c>
      <c r="F958" t="str">
        <f>IF(Table1[[#This Row],[Age]]&lt;=25,"Young",IF(Table1[[#This Row],[Age]]&gt;55,"Old",IF(Table1[[#This Row],[Age]]&gt;25,"Middle","Na")))</f>
        <v>Old</v>
      </c>
      <c r="G958" t="s">
        <v>16</v>
      </c>
      <c r="H958">
        <v>4</v>
      </c>
      <c r="I958">
        <v>30</v>
      </c>
      <c r="J958">
        <v>120</v>
      </c>
    </row>
    <row r="959" spans="1:10" x14ac:dyDescent="0.35">
      <c r="A959">
        <v>958</v>
      </c>
      <c r="B959" s="1">
        <v>45079</v>
      </c>
      <c r="C959" t="s">
        <v>971</v>
      </c>
      <c r="D959" t="s">
        <v>10</v>
      </c>
      <c r="E959">
        <v>62</v>
      </c>
      <c r="F959" t="str">
        <f>IF(Table1[[#This Row],[Age]]&lt;=25,"Young",IF(Table1[[#This Row],[Age]]&gt;55,"Old",IF(Table1[[#This Row],[Age]]&gt;25,"Middle","Na")))</f>
        <v>Old</v>
      </c>
      <c r="G959" t="s">
        <v>16</v>
      </c>
      <c r="H959">
        <v>2</v>
      </c>
      <c r="I959">
        <v>25</v>
      </c>
      <c r="J959">
        <v>50</v>
      </c>
    </row>
    <row r="960" spans="1:10" x14ac:dyDescent="0.35">
      <c r="A960">
        <v>959</v>
      </c>
      <c r="B960" s="1">
        <v>45228</v>
      </c>
      <c r="C960" t="s">
        <v>972</v>
      </c>
      <c r="D960" t="s">
        <v>13</v>
      </c>
      <c r="E960">
        <v>42</v>
      </c>
      <c r="F960" t="str">
        <f>IF(Table1[[#This Row],[Age]]&lt;=25,"Young",IF(Table1[[#This Row],[Age]]&gt;55,"Old",IF(Table1[[#This Row],[Age]]&gt;25,"Middle","Na")))</f>
        <v>Middle</v>
      </c>
      <c r="G960" t="s">
        <v>16</v>
      </c>
      <c r="H960">
        <v>2</v>
      </c>
      <c r="I960">
        <v>30</v>
      </c>
      <c r="J960">
        <v>60</v>
      </c>
    </row>
    <row r="961" spans="1:10" x14ac:dyDescent="0.35">
      <c r="A961">
        <v>960</v>
      </c>
      <c r="B961" s="1">
        <v>45146</v>
      </c>
      <c r="C961" t="s">
        <v>973</v>
      </c>
      <c r="D961" t="s">
        <v>10</v>
      </c>
      <c r="E961">
        <v>59</v>
      </c>
      <c r="F961" t="str">
        <f>IF(Table1[[#This Row],[Age]]&lt;=25,"Young",IF(Table1[[#This Row],[Age]]&gt;55,"Old",IF(Table1[[#This Row],[Age]]&gt;25,"Middle","Na")))</f>
        <v>Old</v>
      </c>
      <c r="G961" t="s">
        <v>14</v>
      </c>
      <c r="H961">
        <v>2</v>
      </c>
      <c r="I961">
        <v>30</v>
      </c>
      <c r="J961">
        <v>60</v>
      </c>
    </row>
    <row r="962" spans="1:10" x14ac:dyDescent="0.35">
      <c r="A962">
        <v>961</v>
      </c>
      <c r="B962" s="1">
        <v>45083</v>
      </c>
      <c r="C962" t="s">
        <v>974</v>
      </c>
      <c r="D962" t="s">
        <v>10</v>
      </c>
      <c r="E962">
        <v>53</v>
      </c>
      <c r="F962" t="str">
        <f>IF(Table1[[#This Row],[Age]]&lt;=25,"Young",IF(Table1[[#This Row],[Age]]&gt;55,"Old",IF(Table1[[#This Row],[Age]]&gt;25,"Middle","Na")))</f>
        <v>Middle</v>
      </c>
      <c r="G962" t="s">
        <v>11</v>
      </c>
      <c r="H962">
        <v>4</v>
      </c>
      <c r="I962">
        <v>50</v>
      </c>
      <c r="J962">
        <v>200</v>
      </c>
    </row>
    <row r="963" spans="1:10" x14ac:dyDescent="0.35">
      <c r="A963">
        <v>962</v>
      </c>
      <c r="B963" s="1">
        <v>45218</v>
      </c>
      <c r="C963" t="s">
        <v>975</v>
      </c>
      <c r="D963" t="s">
        <v>10</v>
      </c>
      <c r="E963">
        <v>44</v>
      </c>
      <c r="F963" t="str">
        <f>IF(Table1[[#This Row],[Age]]&lt;=25,"Young",IF(Table1[[#This Row],[Age]]&gt;55,"Old",IF(Table1[[#This Row],[Age]]&gt;25,"Middle","Na")))</f>
        <v>Middle</v>
      </c>
      <c r="G963" t="s">
        <v>14</v>
      </c>
      <c r="H963">
        <v>2</v>
      </c>
      <c r="I963">
        <v>30</v>
      </c>
      <c r="J963">
        <v>60</v>
      </c>
    </row>
    <row r="964" spans="1:10" x14ac:dyDescent="0.35">
      <c r="A964">
        <v>963</v>
      </c>
      <c r="B964" s="1">
        <v>45244</v>
      </c>
      <c r="C964" t="s">
        <v>976</v>
      </c>
      <c r="D964" t="s">
        <v>13</v>
      </c>
      <c r="E964">
        <v>55</v>
      </c>
      <c r="F964" t="str">
        <f>IF(Table1[[#This Row],[Age]]&lt;=25,"Young",IF(Table1[[#This Row],[Age]]&gt;55,"Old",IF(Table1[[#This Row],[Age]]&gt;25,"Middle","Na")))</f>
        <v>Middle</v>
      </c>
      <c r="G964" t="s">
        <v>11</v>
      </c>
      <c r="H964">
        <v>1</v>
      </c>
      <c r="I964">
        <v>50</v>
      </c>
      <c r="J964">
        <v>50</v>
      </c>
    </row>
    <row r="965" spans="1:10" x14ac:dyDescent="0.35">
      <c r="A965">
        <v>964</v>
      </c>
      <c r="B965" s="1">
        <v>44957</v>
      </c>
      <c r="C965" t="s">
        <v>977</v>
      </c>
      <c r="D965" t="s">
        <v>10</v>
      </c>
      <c r="E965">
        <v>24</v>
      </c>
      <c r="F965" t="str">
        <f>IF(Table1[[#This Row],[Age]]&lt;=25,"Young",IF(Table1[[#This Row],[Age]]&gt;55,"Old",IF(Table1[[#This Row],[Age]]&gt;25,"Middle","Na")))</f>
        <v>Young</v>
      </c>
      <c r="G965" t="s">
        <v>14</v>
      </c>
      <c r="H965">
        <v>3</v>
      </c>
      <c r="I965">
        <v>300</v>
      </c>
      <c r="J965">
        <v>900</v>
      </c>
    </row>
    <row r="966" spans="1:10" x14ac:dyDescent="0.35">
      <c r="A966">
        <v>965</v>
      </c>
      <c r="B966" s="1">
        <v>45239</v>
      </c>
      <c r="C966" t="s">
        <v>978</v>
      </c>
      <c r="D966" t="s">
        <v>10</v>
      </c>
      <c r="E966">
        <v>22</v>
      </c>
      <c r="F966" t="str">
        <f>IF(Table1[[#This Row],[Age]]&lt;=25,"Young",IF(Table1[[#This Row],[Age]]&gt;55,"Old",IF(Table1[[#This Row],[Age]]&gt;25,"Middle","Na")))</f>
        <v>Young</v>
      </c>
      <c r="G966" t="s">
        <v>14</v>
      </c>
      <c r="H966">
        <v>4</v>
      </c>
      <c r="I966">
        <v>50</v>
      </c>
      <c r="J966">
        <v>200</v>
      </c>
    </row>
    <row r="967" spans="1:10" x14ac:dyDescent="0.35">
      <c r="A967">
        <v>966</v>
      </c>
      <c r="B967" s="1">
        <v>44977</v>
      </c>
      <c r="C967" t="s">
        <v>979</v>
      </c>
      <c r="D967" t="s">
        <v>10</v>
      </c>
      <c r="E967">
        <v>60</v>
      </c>
      <c r="F967" t="str">
        <f>IF(Table1[[#This Row],[Age]]&lt;=25,"Young",IF(Table1[[#This Row],[Age]]&gt;55,"Old",IF(Table1[[#This Row],[Age]]&gt;25,"Middle","Na")))</f>
        <v>Old</v>
      </c>
      <c r="G967" t="s">
        <v>16</v>
      </c>
      <c r="H967">
        <v>2</v>
      </c>
      <c r="I967">
        <v>500</v>
      </c>
      <c r="J967">
        <v>1000</v>
      </c>
    </row>
    <row r="968" spans="1:10" x14ac:dyDescent="0.35">
      <c r="A968">
        <v>967</v>
      </c>
      <c r="B968" s="1">
        <v>45033</v>
      </c>
      <c r="C968" t="s">
        <v>980</v>
      </c>
      <c r="D968" t="s">
        <v>10</v>
      </c>
      <c r="E968">
        <v>62</v>
      </c>
      <c r="F968" t="str">
        <f>IF(Table1[[#This Row],[Age]]&lt;=25,"Young",IF(Table1[[#This Row],[Age]]&gt;55,"Old",IF(Table1[[#This Row],[Age]]&gt;25,"Middle","Na")))</f>
        <v>Old</v>
      </c>
      <c r="G968" t="s">
        <v>11</v>
      </c>
      <c r="H968">
        <v>1</v>
      </c>
      <c r="I968">
        <v>25</v>
      </c>
      <c r="J968">
        <v>25</v>
      </c>
    </row>
    <row r="969" spans="1:10" x14ac:dyDescent="0.35">
      <c r="A969">
        <v>968</v>
      </c>
      <c r="B969" s="1">
        <v>45247</v>
      </c>
      <c r="C969" t="s">
        <v>981</v>
      </c>
      <c r="D969" t="s">
        <v>13</v>
      </c>
      <c r="E969">
        <v>48</v>
      </c>
      <c r="F969" t="str">
        <f>IF(Table1[[#This Row],[Age]]&lt;=25,"Young",IF(Table1[[#This Row],[Age]]&gt;55,"Old",IF(Table1[[#This Row],[Age]]&gt;25,"Middle","Na")))</f>
        <v>Middle</v>
      </c>
      <c r="G969" t="s">
        <v>14</v>
      </c>
      <c r="H969">
        <v>3</v>
      </c>
      <c r="I969">
        <v>300</v>
      </c>
      <c r="J969">
        <v>900</v>
      </c>
    </row>
    <row r="970" spans="1:10" x14ac:dyDescent="0.35">
      <c r="A970">
        <v>969</v>
      </c>
      <c r="B970" s="1">
        <v>45035</v>
      </c>
      <c r="C970" t="s">
        <v>982</v>
      </c>
      <c r="D970" t="s">
        <v>13</v>
      </c>
      <c r="E970">
        <v>40</v>
      </c>
      <c r="F970" t="str">
        <f>IF(Table1[[#This Row],[Age]]&lt;=25,"Young",IF(Table1[[#This Row],[Age]]&gt;55,"Old",IF(Table1[[#This Row],[Age]]&gt;25,"Middle","Na")))</f>
        <v>Middle</v>
      </c>
      <c r="G970" t="s">
        <v>14</v>
      </c>
      <c r="H970">
        <v>3</v>
      </c>
      <c r="I970">
        <v>300</v>
      </c>
      <c r="J970">
        <v>900</v>
      </c>
    </row>
    <row r="971" spans="1:10" x14ac:dyDescent="0.35">
      <c r="A971">
        <v>970</v>
      </c>
      <c r="B971" s="1">
        <v>45062</v>
      </c>
      <c r="C971" t="s">
        <v>983</v>
      </c>
      <c r="D971" t="s">
        <v>10</v>
      </c>
      <c r="E971">
        <v>59</v>
      </c>
      <c r="F971" t="str">
        <f>IF(Table1[[#This Row],[Age]]&lt;=25,"Young",IF(Table1[[#This Row],[Age]]&gt;55,"Old",IF(Table1[[#This Row],[Age]]&gt;25,"Middle","Na")))</f>
        <v>Old</v>
      </c>
      <c r="G971" t="s">
        <v>16</v>
      </c>
      <c r="H971">
        <v>4</v>
      </c>
      <c r="I971">
        <v>500</v>
      </c>
      <c r="J971">
        <v>2000</v>
      </c>
    </row>
    <row r="972" spans="1:10" x14ac:dyDescent="0.35">
      <c r="A972">
        <v>971</v>
      </c>
      <c r="B972" s="1">
        <v>45265</v>
      </c>
      <c r="C972" t="s">
        <v>984</v>
      </c>
      <c r="D972" t="s">
        <v>13</v>
      </c>
      <c r="E972">
        <v>27</v>
      </c>
      <c r="F972" t="str">
        <f>IF(Table1[[#This Row],[Age]]&lt;=25,"Young",IF(Table1[[#This Row],[Age]]&gt;55,"Old",IF(Table1[[#This Row],[Age]]&gt;25,"Middle","Na")))</f>
        <v>Middle</v>
      </c>
      <c r="G972" t="s">
        <v>16</v>
      </c>
      <c r="H972">
        <v>4</v>
      </c>
      <c r="I972">
        <v>50</v>
      </c>
      <c r="J972">
        <v>200</v>
      </c>
    </row>
    <row r="973" spans="1:10" x14ac:dyDescent="0.35">
      <c r="A973">
        <v>972</v>
      </c>
      <c r="B973" s="1">
        <v>44968</v>
      </c>
      <c r="C973" t="s">
        <v>985</v>
      </c>
      <c r="D973" t="s">
        <v>10</v>
      </c>
      <c r="E973">
        <v>49</v>
      </c>
      <c r="F973" t="str">
        <f>IF(Table1[[#This Row],[Age]]&lt;=25,"Young",IF(Table1[[#This Row],[Age]]&gt;55,"Old",IF(Table1[[#This Row],[Age]]&gt;25,"Middle","Na")))</f>
        <v>Middle</v>
      </c>
      <c r="G973" t="s">
        <v>11</v>
      </c>
      <c r="H973">
        <v>4</v>
      </c>
      <c r="I973">
        <v>25</v>
      </c>
      <c r="J973">
        <v>100</v>
      </c>
    </row>
    <row r="974" spans="1:10" x14ac:dyDescent="0.35">
      <c r="A974">
        <v>973</v>
      </c>
      <c r="B974" s="1">
        <v>45007</v>
      </c>
      <c r="C974" t="s">
        <v>986</v>
      </c>
      <c r="D974" t="s">
        <v>10</v>
      </c>
      <c r="E974">
        <v>60</v>
      </c>
      <c r="F974" t="str">
        <f>IF(Table1[[#This Row],[Age]]&lt;=25,"Young",IF(Table1[[#This Row],[Age]]&gt;55,"Old",IF(Table1[[#This Row],[Age]]&gt;25,"Middle","Na")))</f>
        <v>Old</v>
      </c>
      <c r="G974" t="s">
        <v>14</v>
      </c>
      <c r="H974">
        <v>1</v>
      </c>
      <c r="I974">
        <v>50</v>
      </c>
      <c r="J974">
        <v>50</v>
      </c>
    </row>
    <row r="975" spans="1:10" x14ac:dyDescent="0.35">
      <c r="A975">
        <v>974</v>
      </c>
      <c r="B975" s="1">
        <v>45049</v>
      </c>
      <c r="C975" t="s">
        <v>987</v>
      </c>
      <c r="D975" t="s">
        <v>10</v>
      </c>
      <c r="E975">
        <v>47</v>
      </c>
      <c r="F975" t="str">
        <f>IF(Table1[[#This Row],[Age]]&lt;=25,"Young",IF(Table1[[#This Row],[Age]]&gt;55,"Old",IF(Table1[[#This Row],[Age]]&gt;25,"Middle","Na")))</f>
        <v>Middle</v>
      </c>
      <c r="G975" t="s">
        <v>11</v>
      </c>
      <c r="H975">
        <v>1</v>
      </c>
      <c r="I975">
        <v>30</v>
      </c>
      <c r="J975">
        <v>30</v>
      </c>
    </row>
    <row r="976" spans="1:10" x14ac:dyDescent="0.35">
      <c r="A976">
        <v>975</v>
      </c>
      <c r="B976" s="1">
        <v>45015</v>
      </c>
      <c r="C976" t="s">
        <v>988</v>
      </c>
      <c r="D976" t="s">
        <v>13</v>
      </c>
      <c r="E976">
        <v>56</v>
      </c>
      <c r="F976" t="str">
        <f>IF(Table1[[#This Row],[Age]]&lt;=25,"Young",IF(Table1[[#This Row],[Age]]&gt;55,"Old",IF(Table1[[#This Row],[Age]]&gt;25,"Middle","Na")))</f>
        <v>Old</v>
      </c>
      <c r="G976" t="s">
        <v>14</v>
      </c>
      <c r="H976">
        <v>4</v>
      </c>
      <c r="I976">
        <v>50</v>
      </c>
      <c r="J976">
        <v>200</v>
      </c>
    </row>
    <row r="977" spans="1:10" x14ac:dyDescent="0.35">
      <c r="A977">
        <v>976</v>
      </c>
      <c r="B977" s="1">
        <v>45209</v>
      </c>
      <c r="C977" t="s">
        <v>989</v>
      </c>
      <c r="D977" t="s">
        <v>13</v>
      </c>
      <c r="E977">
        <v>48</v>
      </c>
      <c r="F977" t="str">
        <f>IF(Table1[[#This Row],[Age]]&lt;=25,"Young",IF(Table1[[#This Row],[Age]]&gt;55,"Old",IF(Table1[[#This Row],[Age]]&gt;25,"Middle","Na")))</f>
        <v>Middle</v>
      </c>
      <c r="G977" t="s">
        <v>11</v>
      </c>
      <c r="H977">
        <v>2</v>
      </c>
      <c r="I977">
        <v>300</v>
      </c>
      <c r="J977">
        <v>600</v>
      </c>
    </row>
    <row r="978" spans="1:10" x14ac:dyDescent="0.35">
      <c r="A978">
        <v>977</v>
      </c>
      <c r="B978" s="1">
        <v>44965</v>
      </c>
      <c r="C978" t="s">
        <v>990</v>
      </c>
      <c r="D978" t="s">
        <v>13</v>
      </c>
      <c r="E978">
        <v>35</v>
      </c>
      <c r="F978" t="str">
        <f>IF(Table1[[#This Row],[Age]]&lt;=25,"Young",IF(Table1[[#This Row],[Age]]&gt;55,"Old",IF(Table1[[#This Row],[Age]]&gt;25,"Middle","Na")))</f>
        <v>Middle</v>
      </c>
      <c r="G978" t="s">
        <v>16</v>
      </c>
      <c r="H978">
        <v>3</v>
      </c>
      <c r="I978">
        <v>25</v>
      </c>
      <c r="J978">
        <v>75</v>
      </c>
    </row>
    <row r="979" spans="1:10" x14ac:dyDescent="0.35">
      <c r="A979">
        <v>978</v>
      </c>
      <c r="B979" s="1">
        <v>45007</v>
      </c>
      <c r="C979" t="s">
        <v>991</v>
      </c>
      <c r="D979" t="s">
        <v>13</v>
      </c>
      <c r="E979">
        <v>53</v>
      </c>
      <c r="F979" t="str">
        <f>IF(Table1[[#This Row],[Age]]&lt;=25,"Young",IF(Table1[[#This Row],[Age]]&gt;55,"Old",IF(Table1[[#This Row],[Age]]&gt;25,"Middle","Na")))</f>
        <v>Middle</v>
      </c>
      <c r="G979" t="s">
        <v>14</v>
      </c>
      <c r="H979">
        <v>3</v>
      </c>
      <c r="I979">
        <v>50</v>
      </c>
      <c r="J979">
        <v>150</v>
      </c>
    </row>
    <row r="980" spans="1:10" x14ac:dyDescent="0.35">
      <c r="A980">
        <v>979</v>
      </c>
      <c r="B980" s="1">
        <v>44928</v>
      </c>
      <c r="C980" t="s">
        <v>992</v>
      </c>
      <c r="D980" t="s">
        <v>13</v>
      </c>
      <c r="E980">
        <v>19</v>
      </c>
      <c r="F980" t="str">
        <f>IF(Table1[[#This Row],[Age]]&lt;=25,"Young",IF(Table1[[#This Row],[Age]]&gt;55,"Old",IF(Table1[[#This Row],[Age]]&gt;25,"Middle","Na")))</f>
        <v>Young</v>
      </c>
      <c r="G980" t="s">
        <v>11</v>
      </c>
      <c r="H980">
        <v>1</v>
      </c>
      <c r="I980">
        <v>25</v>
      </c>
      <c r="J980">
        <v>25</v>
      </c>
    </row>
    <row r="981" spans="1:10" x14ac:dyDescent="0.35">
      <c r="A981">
        <v>980</v>
      </c>
      <c r="B981" s="1">
        <v>45136</v>
      </c>
      <c r="C981" t="s">
        <v>993</v>
      </c>
      <c r="D981" t="s">
        <v>13</v>
      </c>
      <c r="E981">
        <v>31</v>
      </c>
      <c r="F981" t="str">
        <f>IF(Table1[[#This Row],[Age]]&lt;=25,"Young",IF(Table1[[#This Row],[Age]]&gt;55,"Old",IF(Table1[[#This Row],[Age]]&gt;25,"Middle","Na")))</f>
        <v>Middle</v>
      </c>
      <c r="G981" t="s">
        <v>16</v>
      </c>
      <c r="H981">
        <v>3</v>
      </c>
      <c r="I981">
        <v>25</v>
      </c>
      <c r="J981">
        <v>75</v>
      </c>
    </row>
    <row r="982" spans="1:10" x14ac:dyDescent="0.35">
      <c r="A982">
        <v>981</v>
      </c>
      <c r="B982" s="1">
        <v>45157</v>
      </c>
      <c r="C982" t="s">
        <v>994</v>
      </c>
      <c r="D982" t="s">
        <v>13</v>
      </c>
      <c r="E982">
        <v>30</v>
      </c>
      <c r="F982" t="str">
        <f>IF(Table1[[#This Row],[Age]]&lt;=25,"Young",IF(Table1[[#This Row],[Age]]&gt;55,"Old",IF(Table1[[#This Row],[Age]]&gt;25,"Middle","Na")))</f>
        <v>Middle</v>
      </c>
      <c r="G982" t="s">
        <v>16</v>
      </c>
      <c r="H982">
        <v>2</v>
      </c>
      <c r="I982">
        <v>30</v>
      </c>
      <c r="J982">
        <v>60</v>
      </c>
    </row>
    <row r="983" spans="1:10" x14ac:dyDescent="0.35">
      <c r="A983">
        <v>982</v>
      </c>
      <c r="B983" s="1">
        <v>45279</v>
      </c>
      <c r="C983" t="s">
        <v>995</v>
      </c>
      <c r="D983" t="s">
        <v>13</v>
      </c>
      <c r="E983">
        <v>46</v>
      </c>
      <c r="F983" t="str">
        <f>IF(Table1[[#This Row],[Age]]&lt;=25,"Young",IF(Table1[[#This Row],[Age]]&gt;55,"Old",IF(Table1[[#This Row],[Age]]&gt;25,"Middle","Na")))</f>
        <v>Middle</v>
      </c>
      <c r="G983" t="s">
        <v>11</v>
      </c>
      <c r="H983">
        <v>3</v>
      </c>
      <c r="I983">
        <v>30</v>
      </c>
      <c r="J983">
        <v>90</v>
      </c>
    </row>
    <row r="984" spans="1:10" x14ac:dyDescent="0.35">
      <c r="A984">
        <v>983</v>
      </c>
      <c r="B984" s="1">
        <v>45231</v>
      </c>
      <c r="C984" t="s">
        <v>996</v>
      </c>
      <c r="D984" t="s">
        <v>13</v>
      </c>
      <c r="E984">
        <v>29</v>
      </c>
      <c r="F984" t="str">
        <f>IF(Table1[[#This Row],[Age]]&lt;=25,"Young",IF(Table1[[#This Row],[Age]]&gt;55,"Old",IF(Table1[[#This Row],[Age]]&gt;25,"Middle","Na")))</f>
        <v>Middle</v>
      </c>
      <c r="G984" t="s">
        <v>14</v>
      </c>
      <c r="H984">
        <v>1</v>
      </c>
      <c r="I984">
        <v>300</v>
      </c>
      <c r="J984">
        <v>300</v>
      </c>
    </row>
    <row r="985" spans="1:10" x14ac:dyDescent="0.35">
      <c r="A985">
        <v>984</v>
      </c>
      <c r="B985" s="1">
        <v>45167</v>
      </c>
      <c r="C985" t="s">
        <v>997</v>
      </c>
      <c r="D985" t="s">
        <v>10</v>
      </c>
      <c r="E985">
        <v>56</v>
      </c>
      <c r="F985" t="str">
        <f>IF(Table1[[#This Row],[Age]]&lt;=25,"Young",IF(Table1[[#This Row],[Age]]&gt;55,"Old",IF(Table1[[#This Row],[Age]]&gt;25,"Middle","Na")))</f>
        <v>Old</v>
      </c>
      <c r="G985" t="s">
        <v>14</v>
      </c>
      <c r="H985">
        <v>1</v>
      </c>
      <c r="I985">
        <v>500</v>
      </c>
      <c r="J985">
        <v>500</v>
      </c>
    </row>
    <row r="986" spans="1:10" x14ac:dyDescent="0.35">
      <c r="A986">
        <v>985</v>
      </c>
      <c r="B986" s="1">
        <v>45076</v>
      </c>
      <c r="C986" t="s">
        <v>998</v>
      </c>
      <c r="D986" t="s">
        <v>13</v>
      </c>
      <c r="E986">
        <v>19</v>
      </c>
      <c r="F986" t="str">
        <f>IF(Table1[[#This Row],[Age]]&lt;=25,"Young",IF(Table1[[#This Row],[Age]]&gt;55,"Old",IF(Table1[[#This Row],[Age]]&gt;25,"Middle","Na")))</f>
        <v>Young</v>
      </c>
      <c r="G986" t="s">
        <v>16</v>
      </c>
      <c r="H986">
        <v>2</v>
      </c>
      <c r="I986">
        <v>25</v>
      </c>
      <c r="J986">
        <v>50</v>
      </c>
    </row>
    <row r="987" spans="1:10" x14ac:dyDescent="0.35">
      <c r="A987">
        <v>986</v>
      </c>
      <c r="B987" s="1">
        <v>44943</v>
      </c>
      <c r="C987" t="s">
        <v>999</v>
      </c>
      <c r="D987" t="s">
        <v>13</v>
      </c>
      <c r="E987">
        <v>49</v>
      </c>
      <c r="F987" t="str">
        <f>IF(Table1[[#This Row],[Age]]&lt;=25,"Young",IF(Table1[[#This Row],[Age]]&gt;55,"Old",IF(Table1[[#This Row],[Age]]&gt;25,"Middle","Na")))</f>
        <v>Middle</v>
      </c>
      <c r="G987" t="s">
        <v>14</v>
      </c>
      <c r="H987">
        <v>2</v>
      </c>
      <c r="I987">
        <v>500</v>
      </c>
      <c r="J987">
        <v>1000</v>
      </c>
    </row>
    <row r="988" spans="1:10" x14ac:dyDescent="0.35">
      <c r="A988">
        <v>987</v>
      </c>
      <c r="B988" s="1">
        <v>45045</v>
      </c>
      <c r="C988" t="s">
        <v>1000</v>
      </c>
      <c r="D988" t="s">
        <v>13</v>
      </c>
      <c r="E988">
        <v>30</v>
      </c>
      <c r="F988" t="str">
        <f>IF(Table1[[#This Row],[Age]]&lt;=25,"Young",IF(Table1[[#This Row],[Age]]&gt;55,"Old",IF(Table1[[#This Row],[Age]]&gt;25,"Middle","Na")))</f>
        <v>Middle</v>
      </c>
      <c r="G988" t="s">
        <v>14</v>
      </c>
      <c r="H988">
        <v>3</v>
      </c>
      <c r="I988">
        <v>300</v>
      </c>
      <c r="J988">
        <v>900</v>
      </c>
    </row>
    <row r="989" spans="1:10" x14ac:dyDescent="0.35">
      <c r="A989">
        <v>988</v>
      </c>
      <c r="B989" s="1">
        <v>45074</v>
      </c>
      <c r="C989" t="s">
        <v>1001</v>
      </c>
      <c r="D989" t="s">
        <v>13</v>
      </c>
      <c r="E989">
        <v>63</v>
      </c>
      <c r="F989" t="str">
        <f>IF(Table1[[#This Row],[Age]]&lt;=25,"Young",IF(Table1[[#This Row],[Age]]&gt;55,"Old",IF(Table1[[#This Row],[Age]]&gt;25,"Middle","Na")))</f>
        <v>Old</v>
      </c>
      <c r="G989" t="s">
        <v>14</v>
      </c>
      <c r="H989">
        <v>3</v>
      </c>
      <c r="I989">
        <v>25</v>
      </c>
      <c r="J989">
        <v>75</v>
      </c>
    </row>
    <row r="990" spans="1:10" x14ac:dyDescent="0.35">
      <c r="A990">
        <v>989</v>
      </c>
      <c r="B990" s="1">
        <v>45288</v>
      </c>
      <c r="C990" t="s">
        <v>1002</v>
      </c>
      <c r="D990" t="s">
        <v>13</v>
      </c>
      <c r="E990">
        <v>44</v>
      </c>
      <c r="F990" t="str">
        <f>IF(Table1[[#This Row],[Age]]&lt;=25,"Young",IF(Table1[[#This Row],[Age]]&gt;55,"Old",IF(Table1[[#This Row],[Age]]&gt;25,"Middle","Na")))</f>
        <v>Middle</v>
      </c>
      <c r="G990" t="s">
        <v>16</v>
      </c>
      <c r="H990">
        <v>1</v>
      </c>
      <c r="I990">
        <v>25</v>
      </c>
      <c r="J990">
        <v>25</v>
      </c>
    </row>
    <row r="991" spans="1:10" x14ac:dyDescent="0.35">
      <c r="A991">
        <v>990</v>
      </c>
      <c r="B991" s="1">
        <v>45071</v>
      </c>
      <c r="C991" t="s">
        <v>1003</v>
      </c>
      <c r="D991" t="s">
        <v>13</v>
      </c>
      <c r="E991">
        <v>58</v>
      </c>
      <c r="F991" t="str">
        <f>IF(Table1[[#This Row],[Age]]&lt;=25,"Young",IF(Table1[[#This Row],[Age]]&gt;55,"Old",IF(Table1[[#This Row],[Age]]&gt;25,"Middle","Na")))</f>
        <v>Old</v>
      </c>
      <c r="G991" t="s">
        <v>11</v>
      </c>
      <c r="H991">
        <v>2</v>
      </c>
      <c r="I991">
        <v>500</v>
      </c>
      <c r="J991">
        <v>1000</v>
      </c>
    </row>
    <row r="992" spans="1:10" x14ac:dyDescent="0.35">
      <c r="A992">
        <v>991</v>
      </c>
      <c r="B992" s="1">
        <v>45286</v>
      </c>
      <c r="C992" t="s">
        <v>1004</v>
      </c>
      <c r="D992" t="s">
        <v>13</v>
      </c>
      <c r="E992">
        <v>34</v>
      </c>
      <c r="F992" t="str">
        <f>IF(Table1[[#This Row],[Age]]&lt;=25,"Young",IF(Table1[[#This Row],[Age]]&gt;55,"Old",IF(Table1[[#This Row],[Age]]&gt;25,"Middle","Na")))</f>
        <v>Middle</v>
      </c>
      <c r="G992" t="s">
        <v>14</v>
      </c>
      <c r="H992">
        <v>2</v>
      </c>
      <c r="I992">
        <v>50</v>
      </c>
      <c r="J992">
        <v>100</v>
      </c>
    </row>
    <row r="993" spans="1:10" x14ac:dyDescent="0.35">
      <c r="A993">
        <v>992</v>
      </c>
      <c r="B993" s="1">
        <v>45159</v>
      </c>
      <c r="C993" t="s">
        <v>1005</v>
      </c>
      <c r="D993" t="s">
        <v>13</v>
      </c>
      <c r="E993">
        <v>57</v>
      </c>
      <c r="F993" t="str">
        <f>IF(Table1[[#This Row],[Age]]&lt;=25,"Young",IF(Table1[[#This Row],[Age]]&gt;55,"Old",IF(Table1[[#This Row],[Age]]&gt;25,"Middle","Na")))</f>
        <v>Old</v>
      </c>
      <c r="G993" t="s">
        <v>16</v>
      </c>
      <c r="H993">
        <v>2</v>
      </c>
      <c r="I993">
        <v>30</v>
      </c>
      <c r="J993">
        <v>60</v>
      </c>
    </row>
    <row r="994" spans="1:10" x14ac:dyDescent="0.35">
      <c r="A994">
        <v>993</v>
      </c>
      <c r="B994" s="1">
        <v>44963</v>
      </c>
      <c r="C994" t="s">
        <v>1006</v>
      </c>
      <c r="D994" t="s">
        <v>13</v>
      </c>
      <c r="E994">
        <v>48</v>
      </c>
      <c r="F994" t="str">
        <f>IF(Table1[[#This Row],[Age]]&lt;=25,"Young",IF(Table1[[#This Row],[Age]]&gt;55,"Old",IF(Table1[[#This Row],[Age]]&gt;25,"Middle","Na")))</f>
        <v>Middle</v>
      </c>
      <c r="G994" t="s">
        <v>16</v>
      </c>
      <c r="H994">
        <v>3</v>
      </c>
      <c r="I994">
        <v>50</v>
      </c>
      <c r="J994">
        <v>150</v>
      </c>
    </row>
    <row r="995" spans="1:10" x14ac:dyDescent="0.35">
      <c r="A995">
        <v>994</v>
      </c>
      <c r="B995" s="1">
        <v>45278</v>
      </c>
      <c r="C995" t="s">
        <v>1007</v>
      </c>
      <c r="D995" t="s">
        <v>13</v>
      </c>
      <c r="E995">
        <v>51</v>
      </c>
      <c r="F995" t="str">
        <f>IF(Table1[[#This Row],[Age]]&lt;=25,"Young",IF(Table1[[#This Row],[Age]]&gt;55,"Old",IF(Table1[[#This Row],[Age]]&gt;25,"Middle","Na")))</f>
        <v>Middle</v>
      </c>
      <c r="G995" t="s">
        <v>11</v>
      </c>
      <c r="H995">
        <v>2</v>
      </c>
      <c r="I995">
        <v>500</v>
      </c>
      <c r="J995">
        <v>1000</v>
      </c>
    </row>
    <row r="996" spans="1:10" x14ac:dyDescent="0.35">
      <c r="A996">
        <v>995</v>
      </c>
      <c r="B996" s="1">
        <v>45046</v>
      </c>
      <c r="C996" t="s">
        <v>1008</v>
      </c>
      <c r="D996" t="s">
        <v>13</v>
      </c>
      <c r="E996">
        <v>41</v>
      </c>
      <c r="F996" t="str">
        <f>IF(Table1[[#This Row],[Age]]&lt;=25,"Young",IF(Table1[[#This Row],[Age]]&gt;55,"Old",IF(Table1[[#This Row],[Age]]&gt;25,"Middle","Na")))</f>
        <v>Middle</v>
      </c>
      <c r="G996" t="s">
        <v>14</v>
      </c>
      <c r="H996">
        <v>1</v>
      </c>
      <c r="I996">
        <v>30</v>
      </c>
      <c r="J996">
        <v>30</v>
      </c>
    </row>
    <row r="997" spans="1:10" x14ac:dyDescent="0.35">
      <c r="A997">
        <v>996</v>
      </c>
      <c r="B997" s="1">
        <v>45062</v>
      </c>
      <c r="C997" t="s">
        <v>1009</v>
      </c>
      <c r="D997" t="s">
        <v>10</v>
      </c>
      <c r="E997">
        <v>62</v>
      </c>
      <c r="F997" t="str">
        <f>IF(Table1[[#This Row],[Age]]&lt;=25,"Young",IF(Table1[[#This Row],[Age]]&gt;55,"Old",IF(Table1[[#This Row],[Age]]&gt;25,"Middle","Na")))</f>
        <v>Old</v>
      </c>
      <c r="G997" t="s">
        <v>14</v>
      </c>
      <c r="H997">
        <v>1</v>
      </c>
      <c r="I997">
        <v>50</v>
      </c>
      <c r="J997">
        <v>50</v>
      </c>
    </row>
    <row r="998" spans="1:10" x14ac:dyDescent="0.35">
      <c r="A998">
        <v>997</v>
      </c>
      <c r="B998" s="1">
        <v>45247</v>
      </c>
      <c r="C998" t="s">
        <v>1010</v>
      </c>
      <c r="D998" t="s">
        <v>10</v>
      </c>
      <c r="E998">
        <v>52</v>
      </c>
      <c r="F998" t="str">
        <f>IF(Table1[[#This Row],[Age]]&lt;=25,"Young",IF(Table1[[#This Row],[Age]]&gt;55,"Old",IF(Table1[[#This Row],[Age]]&gt;25,"Middle","Na")))</f>
        <v>Middle</v>
      </c>
      <c r="G998" t="s">
        <v>11</v>
      </c>
      <c r="H998">
        <v>3</v>
      </c>
      <c r="I998">
        <v>30</v>
      </c>
      <c r="J998">
        <v>90</v>
      </c>
    </row>
    <row r="999" spans="1:10" x14ac:dyDescent="0.35">
      <c r="A999">
        <v>998</v>
      </c>
      <c r="B999" s="1">
        <v>45228</v>
      </c>
      <c r="C999" t="s">
        <v>1011</v>
      </c>
      <c r="D999" t="s">
        <v>13</v>
      </c>
      <c r="E999">
        <v>23</v>
      </c>
      <c r="F999" t="str">
        <f>IF(Table1[[#This Row],[Age]]&lt;=25,"Young",IF(Table1[[#This Row],[Age]]&gt;55,"Old",IF(Table1[[#This Row],[Age]]&gt;25,"Middle","Na")))</f>
        <v>Young</v>
      </c>
      <c r="G999" t="s">
        <v>11</v>
      </c>
      <c r="H999">
        <v>4</v>
      </c>
      <c r="I999">
        <v>25</v>
      </c>
      <c r="J999">
        <v>100</v>
      </c>
    </row>
    <row r="1000" spans="1:10" x14ac:dyDescent="0.35">
      <c r="A1000">
        <v>999</v>
      </c>
      <c r="B1000" s="1">
        <v>45265</v>
      </c>
      <c r="C1000" t="s">
        <v>1012</v>
      </c>
      <c r="D1000" t="s">
        <v>13</v>
      </c>
      <c r="E1000">
        <v>36</v>
      </c>
      <c r="F1000" t="str">
        <f>IF(Table1[[#This Row],[Age]]&lt;=25,"Young",IF(Table1[[#This Row],[Age]]&gt;55,"Old",IF(Table1[[#This Row],[Age]]&gt;25,"Middle","Na")))</f>
        <v>Middle</v>
      </c>
      <c r="G1000" t="s">
        <v>16</v>
      </c>
      <c r="H1000">
        <v>3</v>
      </c>
      <c r="I1000">
        <v>50</v>
      </c>
      <c r="J1000">
        <v>150</v>
      </c>
    </row>
    <row r="1001" spans="1:10" x14ac:dyDescent="0.35">
      <c r="A1001">
        <v>1000</v>
      </c>
      <c r="B1001" s="1">
        <v>45028</v>
      </c>
      <c r="C1001" t="s">
        <v>1013</v>
      </c>
      <c r="D1001" t="s">
        <v>10</v>
      </c>
      <c r="E1001">
        <v>47</v>
      </c>
      <c r="F1001" t="str">
        <f>IF(Table1[[#This Row],[Age]]&lt;=25,"Young",IF(Table1[[#This Row],[Age]]&gt;55,"Old",IF(Table1[[#This Row],[Age]]&gt;25,"Middle","Na")))</f>
        <v>Middle</v>
      </c>
      <c r="G1001" t="s">
        <v>16</v>
      </c>
      <c r="H1001">
        <v>4</v>
      </c>
      <c r="I1001">
        <v>30</v>
      </c>
      <c r="J1001">
        <v>120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EA9C63-BFD7-4B7A-9FCB-9A803357875F}">
  <dimension ref="B3:R1005"/>
  <sheetViews>
    <sheetView topLeftCell="D1" zoomScale="41" zoomScaleNormal="61" workbookViewId="0">
      <selection activeCell="T28" sqref="T28"/>
    </sheetView>
  </sheetViews>
  <sheetFormatPr defaultRowHeight="14.5" x14ac:dyDescent="0.35"/>
  <cols>
    <col min="2" max="2" width="15.26953125" bestFit="1" customWidth="1"/>
    <col min="3" max="3" width="10.453125" bestFit="1" customWidth="1"/>
    <col min="4" max="4" width="13.6328125" bestFit="1" customWidth="1"/>
    <col min="5" max="5" width="9.6328125" bestFit="1" customWidth="1"/>
    <col min="6" max="6" width="6.7265625" bestFit="1" customWidth="1"/>
    <col min="7" max="7" width="12.7265625" bestFit="1" customWidth="1"/>
    <col min="8" max="8" width="17.7265625" bestFit="1" customWidth="1"/>
    <col min="9" max="9" width="10.7265625" bestFit="1" customWidth="1"/>
    <col min="10" max="10" width="14.7265625" bestFit="1" customWidth="1"/>
    <col min="11" max="11" width="14.6328125" bestFit="1" customWidth="1"/>
    <col min="14" max="14" width="13" customWidth="1"/>
    <col min="15" max="15" width="17.7265625" bestFit="1" customWidth="1"/>
    <col min="16" max="16" width="14.08984375" customWidth="1"/>
  </cols>
  <sheetData>
    <row r="3" spans="2:18" x14ac:dyDescent="0.35">
      <c r="B3" t="s">
        <v>0</v>
      </c>
      <c r="C3" t="s">
        <v>1</v>
      </c>
      <c r="D3" t="s">
        <v>2</v>
      </c>
      <c r="E3" t="s">
        <v>3</v>
      </c>
      <c r="F3" t="s">
        <v>4</v>
      </c>
      <c r="G3" t="s">
        <v>1036</v>
      </c>
      <c r="H3" t="s">
        <v>5</v>
      </c>
      <c r="I3" t="s">
        <v>6</v>
      </c>
      <c r="J3" t="s">
        <v>7</v>
      </c>
      <c r="K3" t="s">
        <v>8</v>
      </c>
    </row>
    <row r="4" spans="2:18" x14ac:dyDescent="0.35">
      <c r="B4">
        <v>1</v>
      </c>
      <c r="C4" s="1">
        <v>45254</v>
      </c>
      <c r="D4" t="s">
        <v>9</v>
      </c>
      <c r="E4" t="s">
        <v>10</v>
      </c>
      <c r="F4">
        <v>34</v>
      </c>
      <c r="G4" t="str">
        <f>IF(Table14[[#This Row],[Age]]&lt;=25,"Young",IF(Table14[[#This Row],[Age]]&gt;55,"Old",IF(Table14[[#This Row],[Age]]&gt;25,"Middle","Na")))</f>
        <v>Middle</v>
      </c>
      <c r="H4" t="s">
        <v>11</v>
      </c>
      <c r="I4">
        <v>3</v>
      </c>
      <c r="J4">
        <v>50</v>
      </c>
      <c r="K4">
        <v>150</v>
      </c>
    </row>
    <row r="5" spans="2:18" x14ac:dyDescent="0.35">
      <c r="B5">
        <v>2</v>
      </c>
      <c r="C5" s="1">
        <v>44984</v>
      </c>
      <c r="D5" t="s">
        <v>12</v>
      </c>
      <c r="E5" t="s">
        <v>13</v>
      </c>
      <c r="F5">
        <v>26</v>
      </c>
      <c r="G5" t="str">
        <f>IF(Table14[[#This Row],[Age]]&lt;=25,"Young",IF(Table14[[#This Row],[Age]]&gt;55,"Old",IF(Table14[[#This Row],[Age]]&gt;25,"Middle","Na")))</f>
        <v>Middle</v>
      </c>
      <c r="H5" t="s">
        <v>14</v>
      </c>
      <c r="I5">
        <v>2</v>
      </c>
      <c r="J5">
        <v>500</v>
      </c>
      <c r="K5">
        <v>1000</v>
      </c>
      <c r="N5" s="12" t="s">
        <v>2</v>
      </c>
      <c r="O5" s="12" t="s">
        <v>5</v>
      </c>
      <c r="P5" s="12" t="s">
        <v>1038</v>
      </c>
      <c r="Q5" s="12" t="s">
        <v>8</v>
      </c>
      <c r="R5" s="12" t="s">
        <v>1037</v>
      </c>
    </row>
    <row r="6" spans="2:18" x14ac:dyDescent="0.35">
      <c r="B6">
        <v>3</v>
      </c>
      <c r="C6" s="1">
        <v>44939</v>
      </c>
      <c r="D6" t="s">
        <v>15</v>
      </c>
      <c r="E6" t="s">
        <v>10</v>
      </c>
      <c r="F6">
        <v>50</v>
      </c>
      <c r="G6" t="str">
        <f>IF(Table14[[#This Row],[Age]]&lt;=25,"Young",IF(Table14[[#This Row],[Age]]&gt;55,"Old",IF(Table14[[#This Row],[Age]]&gt;25,"Middle","Na")))</f>
        <v>Middle</v>
      </c>
      <c r="H6" t="s">
        <v>16</v>
      </c>
      <c r="I6">
        <v>1</v>
      </c>
      <c r="J6">
        <v>30</v>
      </c>
      <c r="K6">
        <v>30</v>
      </c>
      <c r="N6" s="11" t="s">
        <v>677</v>
      </c>
      <c r="O6" s="11" t="s">
        <v>14</v>
      </c>
      <c r="P6" s="11">
        <f>K4/J4</f>
        <v>3</v>
      </c>
      <c r="Q6" s="11">
        <v>2000</v>
      </c>
      <c r="R6" s="11">
        <v>2000</v>
      </c>
    </row>
    <row r="7" spans="2:18" x14ac:dyDescent="0.35">
      <c r="B7">
        <v>4</v>
      </c>
      <c r="C7" s="1">
        <v>45067</v>
      </c>
      <c r="D7" t="s">
        <v>17</v>
      </c>
      <c r="E7" t="s">
        <v>10</v>
      </c>
      <c r="F7">
        <v>37</v>
      </c>
      <c r="G7" t="str">
        <f>IF(Table14[[#This Row],[Age]]&lt;=25,"Young",IF(Table14[[#This Row],[Age]]&gt;55,"Old",IF(Table14[[#This Row],[Age]]&gt;25,"Middle","Na")))</f>
        <v>Middle</v>
      </c>
      <c r="H7" t="s">
        <v>14</v>
      </c>
      <c r="I7">
        <v>1</v>
      </c>
      <c r="J7">
        <v>500</v>
      </c>
      <c r="K7">
        <v>500</v>
      </c>
      <c r="N7" s="11" t="s">
        <v>165</v>
      </c>
      <c r="O7" s="11" t="s">
        <v>16</v>
      </c>
      <c r="P7" s="11">
        <f>K5/J5</f>
        <v>2</v>
      </c>
      <c r="Q7" s="11">
        <v>2000</v>
      </c>
      <c r="R7" s="11">
        <v>2000</v>
      </c>
    </row>
    <row r="8" spans="2:18" x14ac:dyDescent="0.35">
      <c r="B8">
        <v>5</v>
      </c>
      <c r="C8" s="1">
        <v>45052</v>
      </c>
      <c r="D8" t="s">
        <v>18</v>
      </c>
      <c r="E8" t="s">
        <v>10</v>
      </c>
      <c r="F8">
        <v>30</v>
      </c>
      <c r="G8" t="str">
        <f>IF(Table14[[#This Row],[Age]]&lt;=25,"Young",IF(Table14[[#This Row],[Age]]&gt;55,"Old",IF(Table14[[#This Row],[Age]]&gt;25,"Middle","Na")))</f>
        <v>Middle</v>
      </c>
      <c r="H8" t="s">
        <v>11</v>
      </c>
      <c r="I8">
        <v>2</v>
      </c>
      <c r="J8">
        <v>50</v>
      </c>
      <c r="K8">
        <v>100</v>
      </c>
      <c r="N8" s="11" t="s">
        <v>460</v>
      </c>
      <c r="O8" s="11" t="s">
        <v>11</v>
      </c>
      <c r="P8" s="11">
        <f>K6/J6</f>
        <v>1</v>
      </c>
      <c r="Q8" s="11">
        <v>2000</v>
      </c>
      <c r="R8" s="11">
        <v>2000</v>
      </c>
    </row>
    <row r="9" spans="2:18" x14ac:dyDescent="0.35">
      <c r="B9">
        <v>6</v>
      </c>
      <c r="C9" s="1">
        <v>45041</v>
      </c>
      <c r="D9" t="s">
        <v>19</v>
      </c>
      <c r="E9" t="s">
        <v>13</v>
      </c>
      <c r="F9">
        <v>45</v>
      </c>
      <c r="G9" t="str">
        <f>IF(Table14[[#This Row],[Age]]&lt;=25,"Young",IF(Table14[[#This Row],[Age]]&gt;55,"Old",IF(Table14[[#This Row],[Age]]&gt;25,"Middle","Na")))</f>
        <v>Middle</v>
      </c>
      <c r="H9" t="s">
        <v>11</v>
      </c>
      <c r="I9">
        <v>1</v>
      </c>
      <c r="J9">
        <v>30</v>
      </c>
      <c r="K9">
        <v>30</v>
      </c>
      <c r="N9" s="11" t="s">
        <v>294</v>
      </c>
      <c r="O9" s="11" t="s">
        <v>11</v>
      </c>
      <c r="P9" s="11">
        <f>K7/J7</f>
        <v>1</v>
      </c>
      <c r="Q9" s="11">
        <v>2000</v>
      </c>
      <c r="R9" s="11">
        <v>2000</v>
      </c>
    </row>
    <row r="10" spans="2:18" x14ac:dyDescent="0.35">
      <c r="B10">
        <v>7</v>
      </c>
      <c r="C10" s="1">
        <v>44998</v>
      </c>
      <c r="D10" t="s">
        <v>20</v>
      </c>
      <c r="E10" t="s">
        <v>10</v>
      </c>
      <c r="F10">
        <v>46</v>
      </c>
      <c r="G10" t="str">
        <f>IF(Table14[[#This Row],[Age]]&lt;=25,"Young",IF(Table14[[#This Row],[Age]]&gt;55,"Old",IF(Table14[[#This Row],[Age]]&gt;25,"Middle","Na")))</f>
        <v>Middle</v>
      </c>
      <c r="H10" t="s">
        <v>14</v>
      </c>
      <c r="I10">
        <v>2</v>
      </c>
      <c r="J10">
        <v>25</v>
      </c>
      <c r="K10">
        <v>50</v>
      </c>
      <c r="N10" s="11" t="s">
        <v>888</v>
      </c>
      <c r="O10" s="11" t="s">
        <v>16</v>
      </c>
      <c r="P10" s="11">
        <f>K8/J8</f>
        <v>2</v>
      </c>
      <c r="Q10" s="11">
        <v>2000</v>
      </c>
      <c r="R10" s="11">
        <v>2000</v>
      </c>
    </row>
    <row r="11" spans="2:18" x14ac:dyDescent="0.35">
      <c r="B11">
        <v>8</v>
      </c>
      <c r="C11" s="1">
        <v>44979</v>
      </c>
      <c r="D11" t="s">
        <v>21</v>
      </c>
      <c r="E11" t="s">
        <v>10</v>
      </c>
      <c r="F11">
        <v>30</v>
      </c>
      <c r="G11" t="str">
        <f>IF(Table14[[#This Row],[Age]]&lt;=25,"Young",IF(Table14[[#This Row],[Age]]&gt;55,"Old",IF(Table14[[#This Row],[Age]]&gt;25,"Middle","Na")))</f>
        <v>Middle</v>
      </c>
      <c r="H11" t="s">
        <v>16</v>
      </c>
      <c r="I11">
        <v>4</v>
      </c>
      <c r="J11">
        <v>25</v>
      </c>
      <c r="K11">
        <v>100</v>
      </c>
      <c r="N11" s="11" t="s">
        <v>649</v>
      </c>
      <c r="O11" s="11" t="s">
        <v>11</v>
      </c>
      <c r="P11" s="11">
        <f>K9/J9</f>
        <v>1</v>
      </c>
      <c r="Q11" s="11">
        <v>1500</v>
      </c>
      <c r="R11" s="11">
        <v>1500</v>
      </c>
    </row>
    <row r="12" spans="2:18" x14ac:dyDescent="0.35">
      <c r="B12">
        <v>9</v>
      </c>
      <c r="C12" s="1">
        <v>45273</v>
      </c>
      <c r="D12" t="s">
        <v>22</v>
      </c>
      <c r="E12" t="s">
        <v>10</v>
      </c>
      <c r="F12">
        <v>63</v>
      </c>
      <c r="G12" t="str">
        <f>IF(Table14[[#This Row],[Age]]&lt;=25,"Young",IF(Table14[[#This Row],[Age]]&gt;55,"Old",IF(Table14[[#This Row],[Age]]&gt;25,"Middle","Na")))</f>
        <v>Old</v>
      </c>
      <c r="H12" t="s">
        <v>16</v>
      </c>
      <c r="I12">
        <v>2</v>
      </c>
      <c r="J12">
        <v>300</v>
      </c>
      <c r="K12">
        <v>600</v>
      </c>
      <c r="N12" s="11" t="s">
        <v>955</v>
      </c>
      <c r="O12" s="11" t="s">
        <v>14</v>
      </c>
      <c r="P12" s="11">
        <f>K10/J10</f>
        <v>2</v>
      </c>
      <c r="Q12" s="11">
        <v>1500</v>
      </c>
      <c r="R12" s="11">
        <v>1500</v>
      </c>
    </row>
    <row r="13" spans="2:18" x14ac:dyDescent="0.35">
      <c r="B13">
        <v>10</v>
      </c>
      <c r="C13" s="1">
        <v>45206</v>
      </c>
      <c r="D13" t="s">
        <v>23</v>
      </c>
      <c r="E13" t="s">
        <v>13</v>
      </c>
      <c r="F13">
        <v>52</v>
      </c>
      <c r="G13" t="str">
        <f>IF(Table14[[#This Row],[Age]]&lt;=25,"Young",IF(Table14[[#This Row],[Age]]&gt;55,"Old",IF(Table14[[#This Row],[Age]]&gt;25,"Middle","Na")))</f>
        <v>Middle</v>
      </c>
      <c r="H13" t="s">
        <v>14</v>
      </c>
      <c r="I13">
        <v>4</v>
      </c>
      <c r="J13">
        <v>50</v>
      </c>
      <c r="K13">
        <v>200</v>
      </c>
      <c r="N13" s="11" t="s">
        <v>252</v>
      </c>
      <c r="O13" s="11" t="s">
        <v>16</v>
      </c>
      <c r="P13" s="11">
        <f>K11/J11</f>
        <v>4</v>
      </c>
      <c r="Q13" s="11">
        <v>1500</v>
      </c>
      <c r="R13" s="11">
        <v>1500</v>
      </c>
    </row>
    <row r="14" spans="2:18" x14ac:dyDescent="0.35">
      <c r="B14">
        <v>11</v>
      </c>
      <c r="C14" s="1">
        <v>44971</v>
      </c>
      <c r="D14" t="s">
        <v>24</v>
      </c>
      <c r="E14" t="s">
        <v>10</v>
      </c>
      <c r="F14">
        <v>23</v>
      </c>
      <c r="G14" t="str">
        <f>IF(Table14[[#This Row],[Age]]&lt;=25,"Young",IF(Table14[[#This Row],[Age]]&gt;55,"Old",IF(Table14[[#This Row],[Age]]&gt;25,"Middle","Na")))</f>
        <v>Young</v>
      </c>
      <c r="H14" t="s">
        <v>14</v>
      </c>
      <c r="I14">
        <v>2</v>
      </c>
      <c r="J14">
        <v>50</v>
      </c>
      <c r="K14">
        <v>100</v>
      </c>
      <c r="N14" s="11" t="s">
        <v>821</v>
      </c>
      <c r="O14" s="11" t="s">
        <v>11</v>
      </c>
      <c r="P14" s="11">
        <f>K12/J12</f>
        <v>2</v>
      </c>
      <c r="Q14" s="11">
        <v>2000</v>
      </c>
      <c r="R14" s="11">
        <v>2000</v>
      </c>
    </row>
    <row r="15" spans="2:18" x14ac:dyDescent="0.35">
      <c r="B15">
        <v>12</v>
      </c>
      <c r="C15" s="1">
        <v>45229</v>
      </c>
      <c r="D15" t="s">
        <v>25</v>
      </c>
      <c r="E15" t="s">
        <v>10</v>
      </c>
      <c r="F15">
        <v>35</v>
      </c>
      <c r="G15" t="str">
        <f>IF(Table14[[#This Row],[Age]]&lt;=25,"Young",IF(Table14[[#This Row],[Age]]&gt;55,"Old",IF(Table14[[#This Row],[Age]]&gt;25,"Middle","Na")))</f>
        <v>Middle</v>
      </c>
      <c r="H15" t="s">
        <v>11</v>
      </c>
      <c r="I15">
        <v>3</v>
      </c>
      <c r="J15">
        <v>25</v>
      </c>
      <c r="K15">
        <v>75</v>
      </c>
      <c r="N15" s="11" t="s">
        <v>590</v>
      </c>
      <c r="O15" s="11" t="s">
        <v>11</v>
      </c>
      <c r="P15" s="11">
        <f>K13/J13</f>
        <v>4</v>
      </c>
      <c r="Q15" s="11">
        <v>2000</v>
      </c>
      <c r="R15" s="11">
        <v>2000</v>
      </c>
    </row>
    <row r="16" spans="2:18" x14ac:dyDescent="0.35">
      <c r="B16">
        <v>13</v>
      </c>
      <c r="C16" s="1">
        <v>45143</v>
      </c>
      <c r="D16" t="s">
        <v>26</v>
      </c>
      <c r="E16" t="s">
        <v>10</v>
      </c>
      <c r="F16">
        <v>22</v>
      </c>
      <c r="G16" t="str">
        <f>IF(Table14[[#This Row],[Age]]&lt;=25,"Young",IF(Table14[[#This Row],[Age]]&gt;55,"Old",IF(Table14[[#This Row],[Age]]&gt;25,"Middle","Na")))</f>
        <v>Young</v>
      </c>
      <c r="H16" t="s">
        <v>16</v>
      </c>
      <c r="I16">
        <v>3</v>
      </c>
      <c r="J16">
        <v>500</v>
      </c>
      <c r="K16">
        <v>1500</v>
      </c>
      <c r="N16" s="11" t="s">
        <v>744</v>
      </c>
      <c r="O16" s="11" t="s">
        <v>14</v>
      </c>
      <c r="P16" s="11">
        <f>K14/J14</f>
        <v>2</v>
      </c>
      <c r="Q16" s="11">
        <v>2000</v>
      </c>
      <c r="R16" s="11">
        <v>2000</v>
      </c>
    </row>
    <row r="17" spans="2:18" x14ac:dyDescent="0.35">
      <c r="B17">
        <v>14</v>
      </c>
      <c r="C17" s="1">
        <v>44943</v>
      </c>
      <c r="D17" t="s">
        <v>27</v>
      </c>
      <c r="E17" t="s">
        <v>10</v>
      </c>
      <c r="F17">
        <v>64</v>
      </c>
      <c r="G17" t="str">
        <f>IF(Table14[[#This Row],[Age]]&lt;=25,"Young",IF(Table14[[#This Row],[Age]]&gt;55,"Old",IF(Table14[[#This Row],[Age]]&gt;25,"Middle","Na")))</f>
        <v>Old</v>
      </c>
      <c r="H17" t="s">
        <v>14</v>
      </c>
      <c r="I17">
        <v>4</v>
      </c>
      <c r="J17">
        <v>30</v>
      </c>
      <c r="K17">
        <v>120</v>
      </c>
      <c r="N17" s="11" t="s">
        <v>520</v>
      </c>
      <c r="O17" s="11" t="s">
        <v>16</v>
      </c>
      <c r="P17" s="11">
        <f>K15/J15</f>
        <v>3</v>
      </c>
      <c r="Q17" s="11">
        <v>1500</v>
      </c>
      <c r="R17" s="11">
        <v>1500</v>
      </c>
    </row>
    <row r="18" spans="2:18" x14ac:dyDescent="0.35">
      <c r="B18">
        <v>15</v>
      </c>
      <c r="C18" s="1">
        <v>44942</v>
      </c>
      <c r="D18" t="s">
        <v>28</v>
      </c>
      <c r="E18" t="s">
        <v>13</v>
      </c>
      <c r="F18">
        <v>42</v>
      </c>
      <c r="G18" t="str">
        <f>IF(Table14[[#This Row],[Age]]&lt;=25,"Young",IF(Table14[[#This Row],[Age]]&gt;55,"Old",IF(Table14[[#This Row],[Age]]&gt;25,"Middle","Na")))</f>
        <v>Middle</v>
      </c>
      <c r="H18" t="s">
        <v>16</v>
      </c>
      <c r="I18">
        <v>4</v>
      </c>
      <c r="J18">
        <v>500</v>
      </c>
      <c r="K18">
        <v>2000</v>
      </c>
      <c r="N18" s="11" t="s">
        <v>128</v>
      </c>
      <c r="O18" s="11" t="s">
        <v>14</v>
      </c>
      <c r="P18" s="11">
        <f>K16/J16</f>
        <v>3</v>
      </c>
      <c r="Q18" s="11">
        <v>1500</v>
      </c>
      <c r="R18" s="11">
        <v>1500</v>
      </c>
    </row>
    <row r="19" spans="2:18" x14ac:dyDescent="0.35">
      <c r="B19">
        <v>16</v>
      </c>
      <c r="C19" s="1">
        <v>44974</v>
      </c>
      <c r="D19" t="s">
        <v>29</v>
      </c>
      <c r="E19" t="s">
        <v>10</v>
      </c>
      <c r="F19">
        <v>19</v>
      </c>
      <c r="G19" t="str">
        <f>IF(Table14[[#This Row],[Age]]&lt;=25,"Young",IF(Table14[[#This Row],[Age]]&gt;55,"Old",IF(Table14[[#This Row],[Age]]&gt;25,"Middle","Na")))</f>
        <v>Young</v>
      </c>
      <c r="H19" t="s">
        <v>14</v>
      </c>
      <c r="I19">
        <v>3</v>
      </c>
      <c r="J19">
        <v>500</v>
      </c>
      <c r="K19">
        <v>1500</v>
      </c>
      <c r="N19" s="11" t="s">
        <v>724</v>
      </c>
      <c r="O19" s="11" t="s">
        <v>16</v>
      </c>
      <c r="P19" s="11">
        <f>K17/J17</f>
        <v>4</v>
      </c>
      <c r="Q19" s="11">
        <v>1500</v>
      </c>
      <c r="R19" s="11">
        <v>1500</v>
      </c>
    </row>
    <row r="20" spans="2:18" x14ac:dyDescent="0.35">
      <c r="B20">
        <v>17</v>
      </c>
      <c r="C20" s="1">
        <v>45038</v>
      </c>
      <c r="D20" t="s">
        <v>30</v>
      </c>
      <c r="E20" t="s">
        <v>13</v>
      </c>
      <c r="F20">
        <v>27</v>
      </c>
      <c r="G20" t="str">
        <f>IF(Table14[[#This Row],[Age]]&lt;=25,"Young",IF(Table14[[#This Row],[Age]]&gt;55,"Old",IF(Table14[[#This Row],[Age]]&gt;25,"Middle","Na")))</f>
        <v>Middle</v>
      </c>
      <c r="H20" t="s">
        <v>14</v>
      </c>
      <c r="I20">
        <v>4</v>
      </c>
      <c r="J20">
        <v>25</v>
      </c>
      <c r="K20">
        <v>100</v>
      </c>
      <c r="N20" s="11" t="s">
        <v>748</v>
      </c>
      <c r="O20" s="11" t="s">
        <v>14</v>
      </c>
      <c r="P20" s="11">
        <f>K18/J18</f>
        <v>4</v>
      </c>
      <c r="Q20" s="11">
        <v>2000</v>
      </c>
      <c r="R20" s="11">
        <v>2000</v>
      </c>
    </row>
    <row r="21" spans="2:18" x14ac:dyDescent="0.35">
      <c r="B21">
        <v>18</v>
      </c>
      <c r="C21" s="1">
        <v>45046</v>
      </c>
      <c r="D21" t="s">
        <v>31</v>
      </c>
      <c r="E21" t="s">
        <v>13</v>
      </c>
      <c r="F21">
        <v>47</v>
      </c>
      <c r="G21" t="str">
        <f>IF(Table14[[#This Row],[Age]]&lt;=25,"Young",IF(Table14[[#This Row],[Age]]&gt;55,"Old",IF(Table14[[#This Row],[Age]]&gt;25,"Middle","Na")))</f>
        <v>Middle</v>
      </c>
      <c r="H21" t="s">
        <v>16</v>
      </c>
      <c r="I21">
        <v>2</v>
      </c>
      <c r="J21">
        <v>25</v>
      </c>
      <c r="K21">
        <v>50</v>
      </c>
      <c r="N21" s="11" t="s">
        <v>845</v>
      </c>
      <c r="O21" s="11" t="s">
        <v>11</v>
      </c>
      <c r="P21" s="11">
        <f>K19/J19</f>
        <v>3</v>
      </c>
      <c r="Q21" s="11">
        <v>2000</v>
      </c>
      <c r="R21" s="11">
        <v>2000</v>
      </c>
    </row>
    <row r="22" spans="2:18" x14ac:dyDescent="0.35">
      <c r="B22">
        <v>19</v>
      </c>
      <c r="C22" s="1">
        <v>45185</v>
      </c>
      <c r="D22" t="s">
        <v>32</v>
      </c>
      <c r="E22" t="s">
        <v>13</v>
      </c>
      <c r="F22">
        <v>62</v>
      </c>
      <c r="G22" t="str">
        <f>IF(Table14[[#This Row],[Age]]&lt;=25,"Young",IF(Table14[[#This Row],[Age]]&gt;55,"Old",IF(Table14[[#This Row],[Age]]&gt;25,"Middle","Na")))</f>
        <v>Old</v>
      </c>
      <c r="H22" t="s">
        <v>14</v>
      </c>
      <c r="I22">
        <v>2</v>
      </c>
      <c r="J22">
        <v>25</v>
      </c>
      <c r="K22">
        <v>50</v>
      </c>
      <c r="N22" s="11" t="s">
        <v>959</v>
      </c>
      <c r="O22" s="11" t="s">
        <v>16</v>
      </c>
      <c r="P22" s="11">
        <f>K20/J20</f>
        <v>4</v>
      </c>
      <c r="Q22" s="11">
        <v>2000</v>
      </c>
      <c r="R22" s="11">
        <v>2000</v>
      </c>
    </row>
    <row r="23" spans="2:18" x14ac:dyDescent="0.35">
      <c r="B23">
        <v>20</v>
      </c>
      <c r="C23" s="1">
        <v>45235</v>
      </c>
      <c r="D23" t="s">
        <v>33</v>
      </c>
      <c r="E23" t="s">
        <v>10</v>
      </c>
      <c r="F23">
        <v>22</v>
      </c>
      <c r="G23" t="str">
        <f>IF(Table14[[#This Row],[Age]]&lt;=25,"Young",IF(Table14[[#This Row],[Age]]&gt;55,"Old",IF(Table14[[#This Row],[Age]]&gt;25,"Middle","Na")))</f>
        <v>Young</v>
      </c>
      <c r="H23" t="s">
        <v>14</v>
      </c>
      <c r="I23">
        <v>3</v>
      </c>
      <c r="J23">
        <v>300</v>
      </c>
      <c r="K23">
        <v>900</v>
      </c>
      <c r="N23" s="11" t="s">
        <v>170</v>
      </c>
      <c r="O23" s="11" t="s">
        <v>16</v>
      </c>
      <c r="P23" s="11">
        <f>K21/J21</f>
        <v>2</v>
      </c>
      <c r="Q23" s="11">
        <v>2000</v>
      </c>
      <c r="R23" s="11">
        <v>2000</v>
      </c>
    </row>
    <row r="24" spans="2:18" x14ac:dyDescent="0.35">
      <c r="B24">
        <v>21</v>
      </c>
      <c r="C24" s="1">
        <v>44940</v>
      </c>
      <c r="D24" t="s">
        <v>34</v>
      </c>
      <c r="E24" t="s">
        <v>13</v>
      </c>
      <c r="F24">
        <v>50</v>
      </c>
      <c r="G24" t="str">
        <f>IF(Table14[[#This Row],[Age]]&lt;=25,"Young",IF(Table14[[#This Row],[Age]]&gt;55,"Old",IF(Table14[[#This Row],[Age]]&gt;25,"Middle","Na")))</f>
        <v>Middle</v>
      </c>
      <c r="H24" t="s">
        <v>11</v>
      </c>
      <c r="I24">
        <v>1</v>
      </c>
      <c r="J24">
        <v>500</v>
      </c>
      <c r="K24">
        <v>500</v>
      </c>
      <c r="N24" s="11" t="s">
        <v>29</v>
      </c>
      <c r="O24" s="11" t="s">
        <v>14</v>
      </c>
      <c r="P24" s="11">
        <f>K22/J22</f>
        <v>2</v>
      </c>
      <c r="Q24" s="11">
        <v>1500</v>
      </c>
      <c r="R24" s="11">
        <v>1500</v>
      </c>
    </row>
    <row r="25" spans="2:18" x14ac:dyDescent="0.35">
      <c r="B25">
        <v>22</v>
      </c>
      <c r="C25" s="1">
        <v>45214</v>
      </c>
      <c r="D25" t="s">
        <v>35</v>
      </c>
      <c r="E25" t="s">
        <v>10</v>
      </c>
      <c r="F25">
        <v>18</v>
      </c>
      <c r="G25" t="str">
        <f>IF(Table14[[#This Row],[Age]]&lt;=25,"Young",IF(Table14[[#This Row],[Age]]&gt;55,"Old",IF(Table14[[#This Row],[Age]]&gt;25,"Middle","Na")))</f>
        <v>Young</v>
      </c>
      <c r="H25" t="s">
        <v>14</v>
      </c>
      <c r="I25">
        <v>2</v>
      </c>
      <c r="J25">
        <v>50</v>
      </c>
      <c r="K25">
        <v>100</v>
      </c>
      <c r="N25" s="11" t="s">
        <v>713</v>
      </c>
      <c r="O25" s="11" t="s">
        <v>16</v>
      </c>
      <c r="P25" s="11">
        <f>K23/J23</f>
        <v>3</v>
      </c>
      <c r="Q25" s="11">
        <v>2000</v>
      </c>
      <c r="R25" s="11">
        <v>2000</v>
      </c>
    </row>
    <row r="26" spans="2:18" x14ac:dyDescent="0.35">
      <c r="B26">
        <v>23</v>
      </c>
      <c r="C26" s="1">
        <v>45028</v>
      </c>
      <c r="D26" t="s">
        <v>36</v>
      </c>
      <c r="E26" t="s">
        <v>13</v>
      </c>
      <c r="F26">
        <v>35</v>
      </c>
      <c r="G26" t="str">
        <f>IF(Table14[[#This Row],[Age]]&lt;=25,"Young",IF(Table14[[#This Row],[Age]]&gt;55,"Old",IF(Table14[[#This Row],[Age]]&gt;25,"Middle","Na")))</f>
        <v>Middle</v>
      </c>
      <c r="H26" t="s">
        <v>14</v>
      </c>
      <c r="I26">
        <v>4</v>
      </c>
      <c r="J26">
        <v>30</v>
      </c>
      <c r="K26">
        <v>120</v>
      </c>
      <c r="N26" s="11" t="s">
        <v>369</v>
      </c>
      <c r="O26" s="11" t="s">
        <v>16</v>
      </c>
      <c r="P26" s="11">
        <f>K24/J24</f>
        <v>1</v>
      </c>
      <c r="Q26" s="11">
        <v>1500</v>
      </c>
      <c r="R26" s="11">
        <v>1500</v>
      </c>
    </row>
    <row r="27" spans="2:18" x14ac:dyDescent="0.35">
      <c r="B27">
        <v>24</v>
      </c>
      <c r="C27" s="1">
        <v>45259</v>
      </c>
      <c r="D27" t="s">
        <v>37</v>
      </c>
      <c r="E27" t="s">
        <v>13</v>
      </c>
      <c r="F27">
        <v>49</v>
      </c>
      <c r="G27" t="str">
        <f>IF(Table14[[#This Row],[Age]]&lt;=25,"Young",IF(Table14[[#This Row],[Age]]&gt;55,"Old",IF(Table14[[#This Row],[Age]]&gt;25,"Middle","Na")))</f>
        <v>Middle</v>
      </c>
      <c r="H27" t="s">
        <v>14</v>
      </c>
      <c r="I27">
        <v>1</v>
      </c>
      <c r="J27">
        <v>300</v>
      </c>
      <c r="K27">
        <v>300</v>
      </c>
      <c r="N27" s="11" t="s">
        <v>91</v>
      </c>
      <c r="O27" s="11" t="s">
        <v>14</v>
      </c>
      <c r="P27" s="11">
        <f>K25/J25</f>
        <v>2</v>
      </c>
      <c r="Q27" s="11">
        <v>1500</v>
      </c>
      <c r="R27" s="11">
        <v>1500</v>
      </c>
    </row>
    <row r="28" spans="2:18" x14ac:dyDescent="0.35">
      <c r="B28">
        <v>25</v>
      </c>
      <c r="C28" s="1">
        <v>45286</v>
      </c>
      <c r="D28" t="s">
        <v>38</v>
      </c>
      <c r="E28" t="s">
        <v>13</v>
      </c>
      <c r="F28">
        <v>64</v>
      </c>
      <c r="G28" t="str">
        <f>IF(Table14[[#This Row],[Age]]&lt;=25,"Young",IF(Table14[[#This Row],[Age]]&gt;55,"Old",IF(Table14[[#This Row],[Age]]&gt;25,"Middle","Na")))</f>
        <v>Old</v>
      </c>
      <c r="H28" t="s">
        <v>11</v>
      </c>
      <c r="I28">
        <v>1</v>
      </c>
      <c r="J28">
        <v>50</v>
      </c>
      <c r="K28">
        <v>50</v>
      </c>
      <c r="N28" s="11" t="s">
        <v>574</v>
      </c>
      <c r="O28" s="11" t="s">
        <v>14</v>
      </c>
      <c r="P28" s="11">
        <f>K26/J26</f>
        <v>4</v>
      </c>
      <c r="Q28" s="11">
        <v>2000</v>
      </c>
      <c r="R28" s="11">
        <v>2000</v>
      </c>
    </row>
    <row r="29" spans="2:18" x14ac:dyDescent="0.35">
      <c r="B29">
        <v>26</v>
      </c>
      <c r="C29" s="1">
        <v>45206</v>
      </c>
      <c r="D29" t="s">
        <v>39</v>
      </c>
      <c r="E29" t="s">
        <v>13</v>
      </c>
      <c r="F29">
        <v>28</v>
      </c>
      <c r="G29" t="str">
        <f>IF(Table14[[#This Row],[Age]]&lt;=25,"Young",IF(Table14[[#This Row],[Age]]&gt;55,"Old",IF(Table14[[#This Row],[Age]]&gt;25,"Middle","Na")))</f>
        <v>Middle</v>
      </c>
      <c r="H29" t="s">
        <v>16</v>
      </c>
      <c r="I29">
        <v>2</v>
      </c>
      <c r="J29">
        <v>500</v>
      </c>
      <c r="K29">
        <v>1000</v>
      </c>
      <c r="N29" s="11" t="s">
        <v>621</v>
      </c>
      <c r="O29" s="11" t="s">
        <v>16</v>
      </c>
      <c r="P29" s="11">
        <f>K27/J27</f>
        <v>1</v>
      </c>
      <c r="Q29" s="11">
        <v>1500</v>
      </c>
      <c r="R29" s="11">
        <v>1500</v>
      </c>
    </row>
    <row r="30" spans="2:18" x14ac:dyDescent="0.35">
      <c r="B30">
        <v>27</v>
      </c>
      <c r="C30" s="1">
        <v>45141</v>
      </c>
      <c r="D30" t="s">
        <v>40</v>
      </c>
      <c r="E30" t="s">
        <v>13</v>
      </c>
      <c r="F30">
        <v>38</v>
      </c>
      <c r="G30" t="str">
        <f>IF(Table14[[#This Row],[Age]]&lt;=25,"Young",IF(Table14[[#This Row],[Age]]&gt;55,"Old",IF(Table14[[#This Row],[Age]]&gt;25,"Middle","Na")))</f>
        <v>Middle</v>
      </c>
      <c r="H30" t="s">
        <v>11</v>
      </c>
      <c r="I30">
        <v>2</v>
      </c>
      <c r="J30">
        <v>25</v>
      </c>
      <c r="K30">
        <v>50</v>
      </c>
      <c r="N30" s="11" t="s">
        <v>225</v>
      </c>
      <c r="O30" s="11" t="s">
        <v>14</v>
      </c>
      <c r="P30" s="11">
        <f>K28/J28</f>
        <v>1</v>
      </c>
      <c r="Q30" s="11">
        <v>1500</v>
      </c>
      <c r="R30" s="11">
        <v>1500</v>
      </c>
    </row>
    <row r="31" spans="2:18" x14ac:dyDescent="0.35">
      <c r="B31">
        <v>28</v>
      </c>
      <c r="C31" s="1">
        <v>45039</v>
      </c>
      <c r="D31" t="s">
        <v>41</v>
      </c>
      <c r="E31" t="s">
        <v>13</v>
      </c>
      <c r="F31">
        <v>43</v>
      </c>
      <c r="G31" t="str">
        <f>IF(Table14[[#This Row],[Age]]&lt;=25,"Young",IF(Table14[[#This Row],[Age]]&gt;55,"Old",IF(Table14[[#This Row],[Age]]&gt;25,"Middle","Na")))</f>
        <v>Middle</v>
      </c>
      <c r="H31" t="s">
        <v>11</v>
      </c>
      <c r="I31">
        <v>1</v>
      </c>
      <c r="J31">
        <v>500</v>
      </c>
      <c r="K31">
        <v>500</v>
      </c>
      <c r="N31" s="11" t="s">
        <v>178</v>
      </c>
      <c r="O31" s="11" t="s">
        <v>14</v>
      </c>
      <c r="P31" s="11">
        <f>K29/J29</f>
        <v>2</v>
      </c>
      <c r="Q31" s="11">
        <v>1200</v>
      </c>
      <c r="R31" s="11">
        <v>1200</v>
      </c>
    </row>
    <row r="32" spans="2:18" x14ac:dyDescent="0.35">
      <c r="B32">
        <v>29</v>
      </c>
      <c r="C32" s="1">
        <v>45156</v>
      </c>
      <c r="D32" t="s">
        <v>42</v>
      </c>
      <c r="E32" t="s">
        <v>13</v>
      </c>
      <c r="F32">
        <v>42</v>
      </c>
      <c r="G32" t="str">
        <f>IF(Table14[[#This Row],[Age]]&lt;=25,"Young",IF(Table14[[#This Row],[Age]]&gt;55,"Old",IF(Table14[[#This Row],[Age]]&gt;25,"Middle","Na")))</f>
        <v>Middle</v>
      </c>
      <c r="H32" t="s">
        <v>16</v>
      </c>
      <c r="I32">
        <v>1</v>
      </c>
      <c r="J32">
        <v>30</v>
      </c>
      <c r="K32">
        <v>30</v>
      </c>
      <c r="N32" s="11" t="s">
        <v>215</v>
      </c>
      <c r="O32" s="11" t="s">
        <v>14</v>
      </c>
      <c r="P32" s="11">
        <f>K30/J30</f>
        <v>2</v>
      </c>
      <c r="Q32" s="11">
        <v>1200</v>
      </c>
      <c r="R32" s="11">
        <v>1200</v>
      </c>
    </row>
    <row r="33" spans="2:18" x14ac:dyDescent="0.35">
      <c r="B33">
        <v>30</v>
      </c>
      <c r="C33" s="1">
        <v>45228</v>
      </c>
      <c r="D33" t="s">
        <v>43</v>
      </c>
      <c r="E33" t="s">
        <v>13</v>
      </c>
      <c r="F33">
        <v>39</v>
      </c>
      <c r="G33" t="str">
        <f>IF(Table14[[#This Row],[Age]]&lt;=25,"Young",IF(Table14[[#This Row],[Age]]&gt;55,"Old",IF(Table14[[#This Row],[Age]]&gt;25,"Middle","Na")))</f>
        <v>Middle</v>
      </c>
      <c r="H33" t="s">
        <v>11</v>
      </c>
      <c r="I33">
        <v>3</v>
      </c>
      <c r="J33">
        <v>300</v>
      </c>
      <c r="K33">
        <v>900</v>
      </c>
      <c r="N33" s="11" t="s">
        <v>333</v>
      </c>
      <c r="O33" s="11" t="s">
        <v>16</v>
      </c>
      <c r="P33" s="11">
        <f>K31/J31</f>
        <v>1</v>
      </c>
      <c r="Q33" s="11">
        <v>1200</v>
      </c>
      <c r="R33" s="11">
        <v>1200</v>
      </c>
    </row>
    <row r="34" spans="2:18" x14ac:dyDescent="0.35">
      <c r="B34">
        <v>31</v>
      </c>
      <c r="C34" s="1">
        <v>45069</v>
      </c>
      <c r="D34" t="s">
        <v>44</v>
      </c>
      <c r="E34" t="s">
        <v>10</v>
      </c>
      <c r="F34">
        <v>44</v>
      </c>
      <c r="G34" t="str">
        <f>IF(Table14[[#This Row],[Age]]&lt;=25,"Young",IF(Table14[[#This Row],[Age]]&gt;55,"Old",IF(Table14[[#This Row],[Age]]&gt;25,"Middle","Na")))</f>
        <v>Middle</v>
      </c>
      <c r="H34" t="s">
        <v>16</v>
      </c>
      <c r="I34">
        <v>4</v>
      </c>
      <c r="J34">
        <v>300</v>
      </c>
      <c r="K34">
        <v>1200</v>
      </c>
      <c r="N34" s="11" t="s">
        <v>374</v>
      </c>
      <c r="O34" s="11" t="s">
        <v>16</v>
      </c>
      <c r="P34" s="11">
        <f>K32/J32</f>
        <v>1</v>
      </c>
      <c r="Q34" s="11">
        <v>1200</v>
      </c>
      <c r="R34" s="11">
        <v>1200</v>
      </c>
    </row>
    <row r="35" spans="2:18" x14ac:dyDescent="0.35">
      <c r="B35">
        <v>32</v>
      </c>
      <c r="C35" s="1">
        <v>44930</v>
      </c>
      <c r="D35" t="s">
        <v>45</v>
      </c>
      <c r="E35" t="s">
        <v>10</v>
      </c>
      <c r="F35">
        <v>30</v>
      </c>
      <c r="G35" t="str">
        <f>IF(Table14[[#This Row],[Age]]&lt;=25,"Young",IF(Table14[[#This Row],[Age]]&gt;55,"Old",IF(Table14[[#This Row],[Age]]&gt;25,"Middle","Na")))</f>
        <v>Middle</v>
      </c>
      <c r="H35" t="s">
        <v>11</v>
      </c>
      <c r="I35">
        <v>3</v>
      </c>
      <c r="J35">
        <v>30</v>
      </c>
      <c r="K35">
        <v>90</v>
      </c>
      <c r="N35" s="11" t="s">
        <v>437</v>
      </c>
      <c r="O35" s="11" t="s">
        <v>11</v>
      </c>
      <c r="P35" s="11">
        <f>K33/J33</f>
        <v>3</v>
      </c>
      <c r="Q35" s="11">
        <v>1200</v>
      </c>
      <c r="R35" s="11">
        <v>1200</v>
      </c>
    </row>
    <row r="36" spans="2:18" x14ac:dyDescent="0.35">
      <c r="B36">
        <v>33</v>
      </c>
      <c r="C36" s="1">
        <v>45008</v>
      </c>
      <c r="D36" t="s">
        <v>46</v>
      </c>
      <c r="E36" t="s">
        <v>13</v>
      </c>
      <c r="F36">
        <v>50</v>
      </c>
      <c r="G36" t="str">
        <f>IF(Table14[[#This Row],[Age]]&lt;=25,"Young",IF(Table14[[#This Row],[Age]]&gt;55,"Old",IF(Table14[[#This Row],[Age]]&gt;25,"Middle","Na")))</f>
        <v>Middle</v>
      </c>
      <c r="H36" t="s">
        <v>16</v>
      </c>
      <c r="I36">
        <v>2</v>
      </c>
      <c r="J36">
        <v>50</v>
      </c>
      <c r="K36">
        <v>100</v>
      </c>
      <c r="N36" s="11" t="s">
        <v>444</v>
      </c>
      <c r="O36" s="11" t="s">
        <v>16</v>
      </c>
      <c r="P36" s="11">
        <f>K34/J34</f>
        <v>4</v>
      </c>
      <c r="Q36" s="11">
        <v>1200</v>
      </c>
      <c r="R36" s="11">
        <v>1200</v>
      </c>
    </row>
    <row r="37" spans="2:18" x14ac:dyDescent="0.35">
      <c r="B37">
        <v>34</v>
      </c>
      <c r="C37" s="1">
        <v>45284</v>
      </c>
      <c r="D37" t="s">
        <v>47</v>
      </c>
      <c r="E37" t="s">
        <v>13</v>
      </c>
      <c r="F37">
        <v>51</v>
      </c>
      <c r="G37" t="str">
        <f>IF(Table14[[#This Row],[Age]]&lt;=25,"Young",IF(Table14[[#This Row],[Age]]&gt;55,"Old",IF(Table14[[#This Row],[Age]]&gt;25,"Middle","Na")))</f>
        <v>Middle</v>
      </c>
      <c r="H37" t="s">
        <v>14</v>
      </c>
      <c r="I37">
        <v>3</v>
      </c>
      <c r="J37">
        <v>50</v>
      </c>
      <c r="K37">
        <v>150</v>
      </c>
      <c r="N37" s="11" t="s">
        <v>454</v>
      </c>
      <c r="O37" s="11" t="s">
        <v>11</v>
      </c>
      <c r="P37" s="11">
        <f>K35/J35</f>
        <v>3</v>
      </c>
      <c r="Q37" s="11">
        <v>1200</v>
      </c>
      <c r="R37" s="11">
        <v>1200</v>
      </c>
    </row>
    <row r="38" spans="2:18" x14ac:dyDescent="0.35">
      <c r="B38">
        <v>35</v>
      </c>
      <c r="C38" s="1">
        <v>45143</v>
      </c>
      <c r="D38" t="s">
        <v>48</v>
      </c>
      <c r="E38" t="s">
        <v>13</v>
      </c>
      <c r="F38">
        <v>58</v>
      </c>
      <c r="G38" t="str">
        <f>IF(Table14[[#This Row],[Age]]&lt;=25,"Young",IF(Table14[[#This Row],[Age]]&gt;55,"Old",IF(Table14[[#This Row],[Age]]&gt;25,"Middle","Na")))</f>
        <v>Old</v>
      </c>
      <c r="H38" t="s">
        <v>11</v>
      </c>
      <c r="I38">
        <v>3</v>
      </c>
      <c r="J38">
        <v>300</v>
      </c>
      <c r="K38">
        <v>900</v>
      </c>
      <c r="N38" s="11" t="s">
        <v>566</v>
      </c>
      <c r="O38" s="11" t="s">
        <v>14</v>
      </c>
      <c r="P38" s="11">
        <f>K36/J36</f>
        <v>2</v>
      </c>
      <c r="Q38" s="11">
        <v>1200</v>
      </c>
      <c r="R38" s="11">
        <v>1200</v>
      </c>
    </row>
    <row r="39" spans="2:18" x14ac:dyDescent="0.35">
      <c r="B39">
        <v>36</v>
      </c>
      <c r="C39" s="1">
        <v>45101</v>
      </c>
      <c r="D39" t="s">
        <v>49</v>
      </c>
      <c r="E39" t="s">
        <v>10</v>
      </c>
      <c r="F39">
        <v>52</v>
      </c>
      <c r="G39" t="str">
        <f>IF(Table14[[#This Row],[Age]]&lt;=25,"Young",IF(Table14[[#This Row],[Age]]&gt;55,"Old",IF(Table14[[#This Row],[Age]]&gt;25,"Middle","Na")))</f>
        <v>Middle</v>
      </c>
      <c r="H39" t="s">
        <v>11</v>
      </c>
      <c r="I39">
        <v>3</v>
      </c>
      <c r="J39">
        <v>300</v>
      </c>
      <c r="K39">
        <v>900</v>
      </c>
      <c r="N39" s="11" t="s">
        <v>676</v>
      </c>
      <c r="O39" s="11" t="s">
        <v>14</v>
      </c>
      <c r="P39" s="11">
        <f>K37/J37</f>
        <v>3</v>
      </c>
      <c r="Q39" s="11">
        <v>1200</v>
      </c>
      <c r="R39" s="11">
        <v>1200</v>
      </c>
    </row>
    <row r="40" spans="2:18" x14ac:dyDescent="0.35">
      <c r="B40">
        <v>37</v>
      </c>
      <c r="C40" s="1">
        <v>45069</v>
      </c>
      <c r="D40" t="s">
        <v>50</v>
      </c>
      <c r="E40" t="s">
        <v>13</v>
      </c>
      <c r="F40">
        <v>18</v>
      </c>
      <c r="G40" t="str">
        <f>IF(Table14[[#This Row],[Age]]&lt;=25,"Young",IF(Table14[[#This Row],[Age]]&gt;55,"Old",IF(Table14[[#This Row],[Age]]&gt;25,"Middle","Na")))</f>
        <v>Young</v>
      </c>
      <c r="H40" t="s">
        <v>11</v>
      </c>
      <c r="I40">
        <v>3</v>
      </c>
      <c r="J40">
        <v>25</v>
      </c>
      <c r="K40">
        <v>75</v>
      </c>
      <c r="N40" s="11" t="s">
        <v>682</v>
      </c>
      <c r="O40" s="11" t="s">
        <v>11</v>
      </c>
      <c r="P40" s="11">
        <f>K38/J38</f>
        <v>3</v>
      </c>
      <c r="Q40" s="11">
        <v>1200</v>
      </c>
      <c r="R40" s="11">
        <v>1200</v>
      </c>
    </row>
    <row r="41" spans="2:18" x14ac:dyDescent="0.35">
      <c r="B41">
        <v>38</v>
      </c>
      <c r="C41" s="1">
        <v>45006</v>
      </c>
      <c r="D41" t="s">
        <v>51</v>
      </c>
      <c r="E41" t="s">
        <v>10</v>
      </c>
      <c r="F41">
        <v>38</v>
      </c>
      <c r="G41" t="str">
        <f>IF(Table14[[#This Row],[Age]]&lt;=25,"Young",IF(Table14[[#This Row],[Age]]&gt;55,"Old",IF(Table14[[#This Row],[Age]]&gt;25,"Middle","Na")))</f>
        <v>Middle</v>
      </c>
      <c r="H41" t="s">
        <v>11</v>
      </c>
      <c r="I41">
        <v>4</v>
      </c>
      <c r="J41">
        <v>50</v>
      </c>
      <c r="K41">
        <v>200</v>
      </c>
      <c r="N41" s="11" t="s">
        <v>739</v>
      </c>
      <c r="O41" s="11" t="s">
        <v>14</v>
      </c>
      <c r="P41" s="11">
        <f>K39/J39</f>
        <v>3</v>
      </c>
      <c r="Q41" s="11">
        <v>1200</v>
      </c>
      <c r="R41" s="11">
        <v>1200</v>
      </c>
    </row>
    <row r="42" spans="2:18" x14ac:dyDescent="0.35">
      <c r="B42">
        <v>39</v>
      </c>
      <c r="C42" s="1">
        <v>45037</v>
      </c>
      <c r="D42" t="s">
        <v>52</v>
      </c>
      <c r="E42" t="s">
        <v>10</v>
      </c>
      <c r="F42">
        <v>23</v>
      </c>
      <c r="G42" t="str">
        <f>IF(Table14[[#This Row],[Age]]&lt;=25,"Young",IF(Table14[[#This Row],[Age]]&gt;55,"Old",IF(Table14[[#This Row],[Age]]&gt;25,"Middle","Na")))</f>
        <v>Young</v>
      </c>
      <c r="H42" t="s">
        <v>14</v>
      </c>
      <c r="I42">
        <v>4</v>
      </c>
      <c r="J42">
        <v>30</v>
      </c>
      <c r="K42">
        <v>120</v>
      </c>
      <c r="N42" s="11" t="s">
        <v>813</v>
      </c>
      <c r="O42" s="11" t="s">
        <v>14</v>
      </c>
      <c r="P42" s="11">
        <f>K40/J40</f>
        <v>3</v>
      </c>
      <c r="Q42" s="11">
        <v>1200</v>
      </c>
      <c r="R42" s="11">
        <v>1200</v>
      </c>
    </row>
    <row r="43" spans="2:18" x14ac:dyDescent="0.35">
      <c r="B43">
        <v>40</v>
      </c>
      <c r="C43" s="1">
        <v>45099</v>
      </c>
      <c r="D43" t="s">
        <v>53</v>
      </c>
      <c r="E43" t="s">
        <v>10</v>
      </c>
      <c r="F43">
        <v>45</v>
      </c>
      <c r="G43" t="str">
        <f>IF(Table14[[#This Row],[Age]]&lt;=25,"Young",IF(Table14[[#This Row],[Age]]&gt;55,"Old",IF(Table14[[#This Row],[Age]]&gt;25,"Middle","Na")))</f>
        <v>Middle</v>
      </c>
      <c r="H43" t="s">
        <v>11</v>
      </c>
      <c r="I43">
        <v>1</v>
      </c>
      <c r="J43">
        <v>50</v>
      </c>
      <c r="K43">
        <v>50</v>
      </c>
      <c r="N43" s="11" t="s">
        <v>875</v>
      </c>
      <c r="O43" s="11" t="s">
        <v>16</v>
      </c>
      <c r="P43" s="11">
        <f>K41/J41</f>
        <v>4</v>
      </c>
      <c r="Q43" s="11">
        <v>1200</v>
      </c>
      <c r="R43" s="11">
        <v>1200</v>
      </c>
    </row>
    <row r="44" spans="2:18" x14ac:dyDescent="0.35">
      <c r="B44">
        <v>41</v>
      </c>
      <c r="C44" s="1">
        <v>44979</v>
      </c>
      <c r="D44" t="s">
        <v>54</v>
      </c>
      <c r="E44" t="s">
        <v>10</v>
      </c>
      <c r="F44">
        <v>34</v>
      </c>
      <c r="G44" t="str">
        <f>IF(Table14[[#This Row],[Age]]&lt;=25,"Young",IF(Table14[[#This Row],[Age]]&gt;55,"Old",IF(Table14[[#This Row],[Age]]&gt;25,"Middle","Na")))</f>
        <v>Middle</v>
      </c>
      <c r="H44" t="s">
        <v>14</v>
      </c>
      <c r="I44">
        <v>2</v>
      </c>
      <c r="J44">
        <v>25</v>
      </c>
      <c r="K44">
        <v>50</v>
      </c>
      <c r="N44" s="11" t="s">
        <v>941</v>
      </c>
      <c r="O44" s="11" t="s">
        <v>14</v>
      </c>
      <c r="P44" s="11">
        <f>K42/J42</f>
        <v>4</v>
      </c>
      <c r="Q44" s="11">
        <v>1200</v>
      </c>
      <c r="R44" s="11">
        <v>1200</v>
      </c>
    </row>
    <row r="45" spans="2:18" x14ac:dyDescent="0.35">
      <c r="B45">
        <v>42</v>
      </c>
      <c r="C45" s="1">
        <v>44974</v>
      </c>
      <c r="D45" t="s">
        <v>55</v>
      </c>
      <c r="E45" t="s">
        <v>10</v>
      </c>
      <c r="F45">
        <v>22</v>
      </c>
      <c r="G45" t="str">
        <f>IF(Table14[[#This Row],[Age]]&lt;=25,"Young",IF(Table14[[#This Row],[Age]]&gt;55,"Old",IF(Table14[[#This Row],[Age]]&gt;25,"Middle","Na")))</f>
        <v>Young</v>
      </c>
      <c r="H45" t="s">
        <v>14</v>
      </c>
      <c r="I45">
        <v>3</v>
      </c>
      <c r="J45">
        <v>300</v>
      </c>
      <c r="K45">
        <v>900</v>
      </c>
      <c r="N45" s="11" t="s">
        <v>39</v>
      </c>
      <c r="O45" s="11" t="s">
        <v>16</v>
      </c>
      <c r="P45" s="11">
        <f>K43/J43</f>
        <v>1</v>
      </c>
      <c r="Q45" s="11">
        <v>1000</v>
      </c>
      <c r="R45" s="11">
        <v>1000</v>
      </c>
    </row>
    <row r="46" spans="2:18" x14ac:dyDescent="0.35">
      <c r="B46">
        <v>43</v>
      </c>
      <c r="C46" s="1">
        <v>45121</v>
      </c>
      <c r="D46" t="s">
        <v>56</v>
      </c>
      <c r="E46" t="s">
        <v>13</v>
      </c>
      <c r="F46">
        <v>48</v>
      </c>
      <c r="G46" t="str">
        <f>IF(Table14[[#This Row],[Age]]&lt;=25,"Young",IF(Table14[[#This Row],[Age]]&gt;55,"Old",IF(Table14[[#This Row],[Age]]&gt;25,"Middle","Na")))</f>
        <v>Middle</v>
      </c>
      <c r="H46" t="s">
        <v>14</v>
      </c>
      <c r="I46">
        <v>1</v>
      </c>
      <c r="J46">
        <v>300</v>
      </c>
      <c r="K46">
        <v>300</v>
      </c>
      <c r="N46" s="11" t="s">
        <v>62</v>
      </c>
      <c r="O46" s="11" t="s">
        <v>16</v>
      </c>
      <c r="P46" s="11">
        <f>K44/J44</f>
        <v>2</v>
      </c>
      <c r="Q46" s="11">
        <v>1000</v>
      </c>
      <c r="R46" s="11">
        <v>1000</v>
      </c>
    </row>
    <row r="47" spans="2:18" x14ac:dyDescent="0.35">
      <c r="B47">
        <v>44</v>
      </c>
      <c r="C47" s="1">
        <v>44976</v>
      </c>
      <c r="D47" t="s">
        <v>57</v>
      </c>
      <c r="E47" t="s">
        <v>13</v>
      </c>
      <c r="F47">
        <v>22</v>
      </c>
      <c r="G47" t="str">
        <f>IF(Table14[[#This Row],[Age]]&lt;=25,"Young",IF(Table14[[#This Row],[Age]]&gt;55,"Old",IF(Table14[[#This Row],[Age]]&gt;25,"Middle","Na")))</f>
        <v>Young</v>
      </c>
      <c r="H47" t="s">
        <v>14</v>
      </c>
      <c r="I47">
        <v>1</v>
      </c>
      <c r="J47">
        <v>25</v>
      </c>
      <c r="K47">
        <v>25</v>
      </c>
      <c r="N47" s="11" t="s">
        <v>107</v>
      </c>
      <c r="O47" s="11" t="s">
        <v>11</v>
      </c>
      <c r="P47" s="11">
        <f>K45/J45</f>
        <v>3</v>
      </c>
      <c r="Q47" s="11">
        <v>1000</v>
      </c>
      <c r="R47" s="11">
        <v>1000</v>
      </c>
    </row>
    <row r="48" spans="2:18" x14ac:dyDescent="0.35">
      <c r="B48">
        <v>45</v>
      </c>
      <c r="C48" s="1">
        <v>45110</v>
      </c>
      <c r="D48" t="s">
        <v>58</v>
      </c>
      <c r="E48" t="s">
        <v>13</v>
      </c>
      <c r="F48">
        <v>55</v>
      </c>
      <c r="G48" t="str">
        <f>IF(Table14[[#This Row],[Age]]&lt;=25,"Young",IF(Table14[[#This Row],[Age]]&gt;55,"Old",IF(Table14[[#This Row],[Age]]&gt;25,"Middle","Na")))</f>
        <v>Middle</v>
      </c>
      <c r="H48" t="s">
        <v>16</v>
      </c>
      <c r="I48">
        <v>1</v>
      </c>
      <c r="J48">
        <v>30</v>
      </c>
      <c r="K48">
        <v>30</v>
      </c>
      <c r="N48" s="11" t="s">
        <v>117</v>
      </c>
      <c r="O48" s="11" t="s">
        <v>11</v>
      </c>
      <c r="P48" s="11">
        <f>K46/J46</f>
        <v>1</v>
      </c>
      <c r="Q48" s="11">
        <v>1000</v>
      </c>
      <c r="R48" s="11">
        <v>1000</v>
      </c>
    </row>
    <row r="49" spans="2:18" x14ac:dyDescent="0.35">
      <c r="B49">
        <v>46</v>
      </c>
      <c r="C49" s="1">
        <v>45103</v>
      </c>
      <c r="D49" t="s">
        <v>59</v>
      </c>
      <c r="E49" t="s">
        <v>13</v>
      </c>
      <c r="F49">
        <v>20</v>
      </c>
      <c r="G49" t="str">
        <f>IF(Table14[[#This Row],[Age]]&lt;=25,"Young",IF(Table14[[#This Row],[Age]]&gt;55,"Old",IF(Table14[[#This Row],[Age]]&gt;25,"Middle","Na")))</f>
        <v>Young</v>
      </c>
      <c r="H49" t="s">
        <v>16</v>
      </c>
      <c r="I49">
        <v>4</v>
      </c>
      <c r="J49">
        <v>300</v>
      </c>
      <c r="K49">
        <v>1200</v>
      </c>
      <c r="N49" s="11" t="s">
        <v>248</v>
      </c>
      <c r="O49" s="11" t="s">
        <v>16</v>
      </c>
      <c r="P49" s="11">
        <f>K47/J47</f>
        <v>1</v>
      </c>
      <c r="Q49" s="11">
        <v>1000</v>
      </c>
      <c r="R49" s="11">
        <v>1000</v>
      </c>
    </row>
    <row r="50" spans="2:18" x14ac:dyDescent="0.35">
      <c r="B50">
        <v>47</v>
      </c>
      <c r="C50" s="1">
        <v>45236</v>
      </c>
      <c r="D50" t="s">
        <v>60</v>
      </c>
      <c r="E50" t="s">
        <v>13</v>
      </c>
      <c r="F50">
        <v>40</v>
      </c>
      <c r="G50" t="str">
        <f>IF(Table14[[#This Row],[Age]]&lt;=25,"Young",IF(Table14[[#This Row],[Age]]&gt;55,"Old",IF(Table14[[#This Row],[Age]]&gt;25,"Middle","Na")))</f>
        <v>Middle</v>
      </c>
      <c r="H50" t="s">
        <v>11</v>
      </c>
      <c r="I50">
        <v>3</v>
      </c>
      <c r="J50">
        <v>500</v>
      </c>
      <c r="K50">
        <v>1500</v>
      </c>
      <c r="N50" s="11" t="s">
        <v>250</v>
      </c>
      <c r="O50" s="11" t="s">
        <v>11</v>
      </c>
      <c r="P50" s="11">
        <f>K48/J48</f>
        <v>1</v>
      </c>
      <c r="Q50" s="11">
        <v>1000</v>
      </c>
      <c r="R50" s="11">
        <v>1000</v>
      </c>
    </row>
    <row r="51" spans="2:18" x14ac:dyDescent="0.35">
      <c r="B51">
        <v>48</v>
      </c>
      <c r="C51" s="1">
        <v>45062</v>
      </c>
      <c r="D51" t="s">
        <v>61</v>
      </c>
      <c r="E51" t="s">
        <v>10</v>
      </c>
      <c r="F51">
        <v>54</v>
      </c>
      <c r="G51" t="str">
        <f>IF(Table14[[#This Row],[Age]]&lt;=25,"Young",IF(Table14[[#This Row],[Age]]&gt;55,"Old",IF(Table14[[#This Row],[Age]]&gt;25,"Middle","Na")))</f>
        <v>Middle</v>
      </c>
      <c r="H51" t="s">
        <v>16</v>
      </c>
      <c r="I51">
        <v>3</v>
      </c>
      <c r="J51">
        <v>300</v>
      </c>
      <c r="K51">
        <v>900</v>
      </c>
      <c r="N51" s="11" t="s">
        <v>365</v>
      </c>
      <c r="O51" s="11" t="s">
        <v>16</v>
      </c>
      <c r="P51" s="11">
        <f>K49/J49</f>
        <v>4</v>
      </c>
      <c r="Q51" s="11">
        <v>1000</v>
      </c>
      <c r="R51" s="11">
        <v>1000</v>
      </c>
    </row>
    <row r="52" spans="2:18" x14ac:dyDescent="0.35">
      <c r="B52">
        <v>49</v>
      </c>
      <c r="C52" s="1">
        <v>44949</v>
      </c>
      <c r="D52" t="s">
        <v>62</v>
      </c>
      <c r="E52" t="s">
        <v>13</v>
      </c>
      <c r="F52">
        <v>54</v>
      </c>
      <c r="G52" t="str">
        <f>IF(Table14[[#This Row],[Age]]&lt;=25,"Young",IF(Table14[[#This Row],[Age]]&gt;55,"Old",IF(Table14[[#This Row],[Age]]&gt;25,"Middle","Na")))</f>
        <v>Middle</v>
      </c>
      <c r="H52" t="s">
        <v>16</v>
      </c>
      <c r="I52">
        <v>2</v>
      </c>
      <c r="J52">
        <v>500</v>
      </c>
      <c r="K52">
        <v>1000</v>
      </c>
      <c r="N52" s="11" t="s">
        <v>406</v>
      </c>
      <c r="O52" s="11" t="s">
        <v>11</v>
      </c>
      <c r="P52" s="11">
        <f>K50/J50</f>
        <v>3</v>
      </c>
      <c r="Q52" s="11">
        <v>1000</v>
      </c>
      <c r="R52" s="11">
        <v>1000</v>
      </c>
    </row>
    <row r="53" spans="2:18" x14ac:dyDescent="0.35">
      <c r="B53">
        <v>50</v>
      </c>
      <c r="C53" s="1">
        <v>45162</v>
      </c>
      <c r="D53" t="s">
        <v>63</v>
      </c>
      <c r="E53" t="s">
        <v>13</v>
      </c>
      <c r="F53">
        <v>27</v>
      </c>
      <c r="G53" t="str">
        <f>IF(Table14[[#This Row],[Age]]&lt;=25,"Young",IF(Table14[[#This Row],[Age]]&gt;55,"Old",IF(Table14[[#This Row],[Age]]&gt;25,"Middle","Na")))</f>
        <v>Middle</v>
      </c>
      <c r="H53" t="s">
        <v>11</v>
      </c>
      <c r="I53">
        <v>3</v>
      </c>
      <c r="J53">
        <v>25</v>
      </c>
      <c r="K53">
        <v>75</v>
      </c>
      <c r="N53" s="11" t="s">
        <v>474</v>
      </c>
      <c r="O53" s="11" t="s">
        <v>11</v>
      </c>
      <c r="P53" s="11">
        <f>K51/J51</f>
        <v>3</v>
      </c>
      <c r="Q53" s="11">
        <v>1000</v>
      </c>
      <c r="R53" s="11">
        <v>1000</v>
      </c>
    </row>
    <row r="54" spans="2:18" x14ac:dyDescent="0.35">
      <c r="B54">
        <v>51</v>
      </c>
      <c r="C54" s="1">
        <v>45201</v>
      </c>
      <c r="D54" t="s">
        <v>64</v>
      </c>
      <c r="E54" t="s">
        <v>10</v>
      </c>
      <c r="F54">
        <v>27</v>
      </c>
      <c r="G54" t="str">
        <f>IF(Table14[[#This Row],[Age]]&lt;=25,"Young",IF(Table14[[#This Row],[Age]]&gt;55,"Old",IF(Table14[[#This Row],[Age]]&gt;25,"Middle","Na")))</f>
        <v>Middle</v>
      </c>
      <c r="H54" t="s">
        <v>11</v>
      </c>
      <c r="I54">
        <v>3</v>
      </c>
      <c r="J54">
        <v>25</v>
      </c>
      <c r="K54">
        <v>75</v>
      </c>
      <c r="N54" s="11" t="s">
        <v>483</v>
      </c>
      <c r="O54" s="11" t="s">
        <v>14</v>
      </c>
      <c r="P54" s="11">
        <f>K52/J52</f>
        <v>2</v>
      </c>
      <c r="Q54" s="11">
        <v>1000</v>
      </c>
      <c r="R54" s="11">
        <v>1000</v>
      </c>
    </row>
    <row r="55" spans="2:18" x14ac:dyDescent="0.35">
      <c r="B55">
        <v>52</v>
      </c>
      <c r="C55" s="1">
        <v>44990</v>
      </c>
      <c r="D55" t="s">
        <v>65</v>
      </c>
      <c r="E55" t="s">
        <v>13</v>
      </c>
      <c r="F55">
        <v>36</v>
      </c>
      <c r="G55" t="str">
        <f>IF(Table14[[#This Row],[Age]]&lt;=25,"Young",IF(Table14[[#This Row],[Age]]&gt;55,"Old",IF(Table14[[#This Row],[Age]]&gt;25,"Middle","Na")))</f>
        <v>Middle</v>
      </c>
      <c r="H55" t="s">
        <v>11</v>
      </c>
      <c r="I55">
        <v>1</v>
      </c>
      <c r="J55">
        <v>300</v>
      </c>
      <c r="K55">
        <v>300</v>
      </c>
      <c r="N55" s="11" t="s">
        <v>602</v>
      </c>
      <c r="O55" s="11" t="s">
        <v>11</v>
      </c>
      <c r="P55" s="11">
        <f>K53/J53</f>
        <v>3</v>
      </c>
      <c r="Q55" s="11">
        <v>1000</v>
      </c>
      <c r="R55" s="11">
        <v>1000</v>
      </c>
    </row>
    <row r="56" spans="2:18" x14ac:dyDescent="0.35">
      <c r="B56">
        <v>53</v>
      </c>
      <c r="C56" s="1">
        <v>45120</v>
      </c>
      <c r="D56" t="s">
        <v>66</v>
      </c>
      <c r="E56" t="s">
        <v>10</v>
      </c>
      <c r="F56">
        <v>34</v>
      </c>
      <c r="G56" t="str">
        <f>IF(Table14[[#This Row],[Age]]&lt;=25,"Young",IF(Table14[[#This Row],[Age]]&gt;55,"Old",IF(Table14[[#This Row],[Age]]&gt;25,"Middle","Na")))</f>
        <v>Middle</v>
      </c>
      <c r="H56" t="s">
        <v>16</v>
      </c>
      <c r="I56">
        <v>2</v>
      </c>
      <c r="J56">
        <v>50</v>
      </c>
      <c r="K56">
        <v>100</v>
      </c>
      <c r="N56" s="11" t="s">
        <v>618</v>
      </c>
      <c r="O56" s="11" t="s">
        <v>16</v>
      </c>
      <c r="P56" s="11">
        <f>K54/J54</f>
        <v>3</v>
      </c>
      <c r="Q56" s="11">
        <v>1000</v>
      </c>
      <c r="R56" s="11">
        <v>1000</v>
      </c>
    </row>
    <row r="57" spans="2:18" x14ac:dyDescent="0.35">
      <c r="B57">
        <v>54</v>
      </c>
      <c r="C57" s="1">
        <v>44967</v>
      </c>
      <c r="D57" t="s">
        <v>67</v>
      </c>
      <c r="E57" t="s">
        <v>13</v>
      </c>
      <c r="F57">
        <v>38</v>
      </c>
      <c r="G57" t="str">
        <f>IF(Table14[[#This Row],[Age]]&lt;=25,"Young",IF(Table14[[#This Row],[Age]]&gt;55,"Old",IF(Table14[[#This Row],[Age]]&gt;25,"Middle","Na")))</f>
        <v>Middle</v>
      </c>
      <c r="H57" t="s">
        <v>16</v>
      </c>
      <c r="I57">
        <v>3</v>
      </c>
      <c r="J57">
        <v>500</v>
      </c>
      <c r="K57">
        <v>1500</v>
      </c>
      <c r="N57" s="11" t="s">
        <v>792</v>
      </c>
      <c r="O57" s="11" t="s">
        <v>16</v>
      </c>
      <c r="P57" s="11">
        <f>K55/J55</f>
        <v>1</v>
      </c>
      <c r="Q57" s="11">
        <v>1000</v>
      </c>
      <c r="R57" s="11">
        <v>1000</v>
      </c>
    </row>
    <row r="58" spans="2:18" x14ac:dyDescent="0.35">
      <c r="B58">
        <v>55</v>
      </c>
      <c r="C58" s="1">
        <v>45209</v>
      </c>
      <c r="D58" t="s">
        <v>68</v>
      </c>
      <c r="E58" t="s">
        <v>10</v>
      </c>
      <c r="F58">
        <v>31</v>
      </c>
      <c r="G58" t="str">
        <f>IF(Table14[[#This Row],[Age]]&lt;=25,"Young",IF(Table14[[#This Row],[Age]]&gt;55,"Old",IF(Table14[[#This Row],[Age]]&gt;25,"Middle","Na")))</f>
        <v>Middle</v>
      </c>
      <c r="H58" t="s">
        <v>11</v>
      </c>
      <c r="I58">
        <v>4</v>
      </c>
      <c r="J58">
        <v>30</v>
      </c>
      <c r="K58">
        <v>120</v>
      </c>
      <c r="N58" s="11" t="s">
        <v>866</v>
      </c>
      <c r="O58" s="11" t="s">
        <v>11</v>
      </c>
      <c r="P58" s="11">
        <f>K56/J56</f>
        <v>2</v>
      </c>
      <c r="Q58" s="11">
        <v>1000</v>
      </c>
      <c r="R58" s="11">
        <v>1000</v>
      </c>
    </row>
    <row r="59" spans="2:18" x14ac:dyDescent="0.35">
      <c r="B59">
        <v>56</v>
      </c>
      <c r="C59" s="1">
        <v>45077</v>
      </c>
      <c r="D59" t="s">
        <v>69</v>
      </c>
      <c r="E59" t="s">
        <v>13</v>
      </c>
      <c r="F59">
        <v>26</v>
      </c>
      <c r="G59" t="str">
        <f>IF(Table14[[#This Row],[Age]]&lt;=25,"Young",IF(Table14[[#This Row],[Age]]&gt;55,"Old",IF(Table14[[#This Row],[Age]]&gt;25,"Middle","Na")))</f>
        <v>Middle</v>
      </c>
      <c r="H59" t="s">
        <v>14</v>
      </c>
      <c r="I59">
        <v>3</v>
      </c>
      <c r="J59">
        <v>300</v>
      </c>
      <c r="K59">
        <v>900</v>
      </c>
      <c r="N59" s="11" t="s">
        <v>1007</v>
      </c>
      <c r="O59" s="11" t="s">
        <v>11</v>
      </c>
      <c r="P59" s="11">
        <f>K57/J57</f>
        <v>3</v>
      </c>
      <c r="Q59" s="11">
        <v>1000</v>
      </c>
      <c r="R59" s="11">
        <v>1000</v>
      </c>
    </row>
    <row r="60" spans="2:18" x14ac:dyDescent="0.35">
      <c r="B60">
        <v>57</v>
      </c>
      <c r="C60" s="1">
        <v>45248</v>
      </c>
      <c r="D60" t="s">
        <v>70</v>
      </c>
      <c r="E60" t="s">
        <v>13</v>
      </c>
      <c r="F60">
        <v>63</v>
      </c>
      <c r="G60" t="str">
        <f>IF(Table14[[#This Row],[Age]]&lt;=25,"Young",IF(Table14[[#This Row],[Age]]&gt;55,"Old",IF(Table14[[#This Row],[Age]]&gt;25,"Middle","Na")))</f>
        <v>Old</v>
      </c>
      <c r="H60" t="s">
        <v>11</v>
      </c>
      <c r="I60">
        <v>1</v>
      </c>
      <c r="J60">
        <v>30</v>
      </c>
      <c r="K60">
        <v>30</v>
      </c>
      <c r="N60" s="11" t="s">
        <v>61</v>
      </c>
      <c r="O60" s="11" t="s">
        <v>16</v>
      </c>
      <c r="P60" s="11">
        <f>K58/J58</f>
        <v>4</v>
      </c>
      <c r="Q60" s="11">
        <v>900</v>
      </c>
      <c r="R60" s="11">
        <v>900</v>
      </c>
    </row>
    <row r="61" spans="2:18" x14ac:dyDescent="0.35">
      <c r="B61">
        <v>58</v>
      </c>
      <c r="C61" s="1">
        <v>45243</v>
      </c>
      <c r="D61" t="s">
        <v>71</v>
      </c>
      <c r="E61" t="s">
        <v>10</v>
      </c>
      <c r="F61">
        <v>18</v>
      </c>
      <c r="G61" t="str">
        <f>IF(Table14[[#This Row],[Age]]&lt;=25,"Young",IF(Table14[[#This Row],[Age]]&gt;55,"Old",IF(Table14[[#This Row],[Age]]&gt;25,"Middle","Na")))</f>
        <v>Young</v>
      </c>
      <c r="H61" t="s">
        <v>14</v>
      </c>
      <c r="I61">
        <v>4</v>
      </c>
      <c r="J61">
        <v>300</v>
      </c>
      <c r="K61">
        <v>1200</v>
      </c>
      <c r="N61" s="11" t="s">
        <v>69</v>
      </c>
      <c r="O61" s="11" t="s">
        <v>14</v>
      </c>
      <c r="P61" s="11">
        <f>K59/J59</f>
        <v>3</v>
      </c>
      <c r="Q61" s="11">
        <v>900</v>
      </c>
      <c r="R61" s="11">
        <v>900</v>
      </c>
    </row>
    <row r="62" spans="2:18" x14ac:dyDescent="0.35">
      <c r="B62">
        <v>59</v>
      </c>
      <c r="C62" s="1">
        <v>45112</v>
      </c>
      <c r="D62" t="s">
        <v>72</v>
      </c>
      <c r="E62" t="s">
        <v>10</v>
      </c>
      <c r="F62">
        <v>62</v>
      </c>
      <c r="G62" t="str">
        <f>IF(Table14[[#This Row],[Age]]&lt;=25,"Young",IF(Table14[[#This Row],[Age]]&gt;55,"Old",IF(Table14[[#This Row],[Age]]&gt;25,"Middle","Na")))</f>
        <v>Old</v>
      </c>
      <c r="H62" t="s">
        <v>14</v>
      </c>
      <c r="I62">
        <v>1</v>
      </c>
      <c r="J62">
        <v>50</v>
      </c>
      <c r="K62">
        <v>50</v>
      </c>
      <c r="N62" s="11" t="s">
        <v>123</v>
      </c>
      <c r="O62" s="11" t="s">
        <v>14</v>
      </c>
      <c r="P62" s="11">
        <f>K60/J60</f>
        <v>1</v>
      </c>
      <c r="Q62" s="11">
        <v>900</v>
      </c>
      <c r="R62" s="11">
        <v>900</v>
      </c>
    </row>
    <row r="63" spans="2:18" x14ac:dyDescent="0.35">
      <c r="B63">
        <v>60</v>
      </c>
      <c r="C63" s="1">
        <v>45222</v>
      </c>
      <c r="D63" t="s">
        <v>73</v>
      </c>
      <c r="E63" t="s">
        <v>10</v>
      </c>
      <c r="F63">
        <v>30</v>
      </c>
      <c r="G63" t="str">
        <f>IF(Table14[[#This Row],[Age]]&lt;=25,"Young",IF(Table14[[#This Row],[Age]]&gt;55,"Old",IF(Table14[[#This Row],[Age]]&gt;25,"Middle","Na")))</f>
        <v>Middle</v>
      </c>
      <c r="H63" t="s">
        <v>11</v>
      </c>
      <c r="I63">
        <v>3</v>
      </c>
      <c r="J63">
        <v>50</v>
      </c>
      <c r="K63">
        <v>150</v>
      </c>
      <c r="N63" s="11" t="s">
        <v>211</v>
      </c>
      <c r="O63" s="11" t="s">
        <v>11</v>
      </c>
      <c r="P63" s="11">
        <f>K61/J61</f>
        <v>4</v>
      </c>
      <c r="Q63" s="11">
        <v>900</v>
      </c>
      <c r="R63" s="11">
        <v>900</v>
      </c>
    </row>
    <row r="64" spans="2:18" x14ac:dyDescent="0.35">
      <c r="B64">
        <v>61</v>
      </c>
      <c r="C64" s="1">
        <v>45025</v>
      </c>
      <c r="D64" t="s">
        <v>74</v>
      </c>
      <c r="E64" t="s">
        <v>10</v>
      </c>
      <c r="F64">
        <v>21</v>
      </c>
      <c r="G64" t="str">
        <f>IF(Table14[[#This Row],[Age]]&lt;=25,"Young",IF(Table14[[#This Row],[Age]]&gt;55,"Old",IF(Table14[[#This Row],[Age]]&gt;25,"Middle","Na")))</f>
        <v>Young</v>
      </c>
      <c r="H64" t="s">
        <v>11</v>
      </c>
      <c r="I64">
        <v>4</v>
      </c>
      <c r="J64">
        <v>50</v>
      </c>
      <c r="K64">
        <v>200</v>
      </c>
      <c r="N64" s="11" t="s">
        <v>308</v>
      </c>
      <c r="O64" s="11" t="s">
        <v>11</v>
      </c>
      <c r="P64" s="11">
        <f>K62/J62</f>
        <v>1</v>
      </c>
      <c r="Q64" s="11">
        <v>900</v>
      </c>
      <c r="R64" s="11">
        <v>900</v>
      </c>
    </row>
    <row r="65" spans="2:18" x14ac:dyDescent="0.35">
      <c r="B65">
        <v>62</v>
      </c>
      <c r="C65" s="1">
        <v>45287</v>
      </c>
      <c r="D65" t="s">
        <v>75</v>
      </c>
      <c r="E65" t="s">
        <v>10</v>
      </c>
      <c r="F65">
        <v>18</v>
      </c>
      <c r="G65" t="str">
        <f>IF(Table14[[#This Row],[Age]]&lt;=25,"Young",IF(Table14[[#This Row],[Age]]&gt;55,"Old",IF(Table14[[#This Row],[Age]]&gt;25,"Middle","Na")))</f>
        <v>Young</v>
      </c>
      <c r="H65" t="s">
        <v>11</v>
      </c>
      <c r="I65">
        <v>2</v>
      </c>
      <c r="J65">
        <v>50</v>
      </c>
      <c r="K65">
        <v>100</v>
      </c>
      <c r="N65" s="11" t="s">
        <v>420</v>
      </c>
      <c r="O65" s="11" t="s">
        <v>16</v>
      </c>
      <c r="P65" s="11">
        <f>K63/J63</f>
        <v>3</v>
      </c>
      <c r="Q65" s="11">
        <v>900</v>
      </c>
      <c r="R65" s="11">
        <v>900</v>
      </c>
    </row>
    <row r="66" spans="2:18" x14ac:dyDescent="0.35">
      <c r="B66">
        <v>63</v>
      </c>
      <c r="C66" s="1">
        <v>44962</v>
      </c>
      <c r="D66" t="s">
        <v>76</v>
      </c>
      <c r="E66" t="s">
        <v>10</v>
      </c>
      <c r="F66">
        <v>57</v>
      </c>
      <c r="G66" t="str">
        <f>IF(Table14[[#This Row],[Age]]&lt;=25,"Young",IF(Table14[[#This Row],[Age]]&gt;55,"Old",IF(Table14[[#This Row],[Age]]&gt;25,"Middle","Na")))</f>
        <v>Old</v>
      </c>
      <c r="H66" t="s">
        <v>16</v>
      </c>
      <c r="I66">
        <v>2</v>
      </c>
      <c r="J66">
        <v>25</v>
      </c>
      <c r="K66">
        <v>50</v>
      </c>
      <c r="N66" s="11" t="s">
        <v>795</v>
      </c>
      <c r="O66" s="11" t="s">
        <v>14</v>
      </c>
      <c r="P66" s="11">
        <f>K64/J64</f>
        <v>4</v>
      </c>
      <c r="Q66" s="11">
        <v>900</v>
      </c>
      <c r="R66" s="11">
        <v>900</v>
      </c>
    </row>
    <row r="67" spans="2:18" x14ac:dyDescent="0.35">
      <c r="B67">
        <v>64</v>
      </c>
      <c r="C67" s="1">
        <v>44950</v>
      </c>
      <c r="D67" t="s">
        <v>77</v>
      </c>
      <c r="E67" t="s">
        <v>10</v>
      </c>
      <c r="F67">
        <v>49</v>
      </c>
      <c r="G67" t="str">
        <f>IF(Table14[[#This Row],[Age]]&lt;=25,"Young",IF(Table14[[#This Row],[Age]]&gt;55,"Old",IF(Table14[[#This Row],[Age]]&gt;25,"Middle","Na")))</f>
        <v>Middle</v>
      </c>
      <c r="H67" t="s">
        <v>14</v>
      </c>
      <c r="I67">
        <v>4</v>
      </c>
      <c r="J67">
        <v>25</v>
      </c>
      <c r="K67">
        <v>100</v>
      </c>
      <c r="N67" s="11" t="s">
        <v>819</v>
      </c>
      <c r="O67" s="11" t="s">
        <v>11</v>
      </c>
      <c r="P67" s="11">
        <f>K65/J65</f>
        <v>2</v>
      </c>
      <c r="Q67" s="11">
        <v>900</v>
      </c>
      <c r="R67" s="11">
        <v>900</v>
      </c>
    </row>
    <row r="68" spans="2:18" x14ac:dyDescent="0.35">
      <c r="B68">
        <v>65</v>
      </c>
      <c r="C68" s="1">
        <v>45265</v>
      </c>
      <c r="D68" t="s">
        <v>78</v>
      </c>
      <c r="E68" t="s">
        <v>10</v>
      </c>
      <c r="F68">
        <v>51</v>
      </c>
      <c r="G68" t="str">
        <f>IF(Table14[[#This Row],[Age]]&lt;=25,"Young",IF(Table14[[#This Row],[Age]]&gt;55,"Old",IF(Table14[[#This Row],[Age]]&gt;25,"Middle","Na")))</f>
        <v>Middle</v>
      </c>
      <c r="H68" t="s">
        <v>16</v>
      </c>
      <c r="I68">
        <v>4</v>
      </c>
      <c r="J68">
        <v>500</v>
      </c>
      <c r="K68">
        <v>2000</v>
      </c>
      <c r="N68" s="11" t="s">
        <v>924</v>
      </c>
      <c r="O68" s="11" t="s">
        <v>16</v>
      </c>
      <c r="P68" s="11">
        <f>K66/J66</f>
        <v>2</v>
      </c>
      <c r="Q68" s="11">
        <v>900</v>
      </c>
      <c r="R68" s="11">
        <v>900</v>
      </c>
    </row>
    <row r="69" spans="2:18" x14ac:dyDescent="0.35">
      <c r="B69">
        <v>66</v>
      </c>
      <c r="C69" s="1">
        <v>45043</v>
      </c>
      <c r="D69" t="s">
        <v>79</v>
      </c>
      <c r="E69" t="s">
        <v>13</v>
      </c>
      <c r="F69">
        <v>45</v>
      </c>
      <c r="G69" t="str">
        <f>IF(Table14[[#This Row],[Age]]&lt;=25,"Young",IF(Table14[[#This Row],[Age]]&gt;55,"Old",IF(Table14[[#This Row],[Age]]&gt;25,"Middle","Na")))</f>
        <v>Middle</v>
      </c>
      <c r="H69" t="s">
        <v>16</v>
      </c>
      <c r="I69">
        <v>1</v>
      </c>
      <c r="J69">
        <v>30</v>
      </c>
      <c r="K69">
        <v>30</v>
      </c>
      <c r="N69" s="11" t="s">
        <v>963</v>
      </c>
      <c r="O69" s="11" t="s">
        <v>14</v>
      </c>
      <c r="P69" s="11">
        <f>K67/J67</f>
        <v>4</v>
      </c>
      <c r="Q69" s="11">
        <v>900</v>
      </c>
      <c r="R69" s="11">
        <v>900</v>
      </c>
    </row>
    <row r="70" spans="2:18" x14ac:dyDescent="0.35">
      <c r="B70">
        <v>67</v>
      </c>
      <c r="C70" s="1">
        <v>45075</v>
      </c>
      <c r="D70" t="s">
        <v>80</v>
      </c>
      <c r="E70" t="s">
        <v>13</v>
      </c>
      <c r="F70">
        <v>48</v>
      </c>
      <c r="G70" t="str">
        <f>IF(Table14[[#This Row],[Age]]&lt;=25,"Young",IF(Table14[[#This Row],[Age]]&gt;55,"Old",IF(Table14[[#This Row],[Age]]&gt;25,"Middle","Na")))</f>
        <v>Middle</v>
      </c>
      <c r="H70" t="s">
        <v>11</v>
      </c>
      <c r="I70">
        <v>4</v>
      </c>
      <c r="J70">
        <v>300</v>
      </c>
      <c r="K70">
        <v>1200</v>
      </c>
      <c r="N70" s="11" t="s">
        <v>981</v>
      </c>
      <c r="O70" s="11" t="s">
        <v>14</v>
      </c>
      <c r="P70" s="11">
        <f>K68/J68</f>
        <v>4</v>
      </c>
      <c r="Q70" s="11">
        <v>900</v>
      </c>
      <c r="R70" s="11">
        <v>900</v>
      </c>
    </row>
    <row r="71" spans="2:18" x14ac:dyDescent="0.35">
      <c r="B71">
        <v>68</v>
      </c>
      <c r="C71" s="1">
        <v>44967</v>
      </c>
      <c r="D71" t="s">
        <v>81</v>
      </c>
      <c r="E71" t="s">
        <v>10</v>
      </c>
      <c r="F71">
        <v>25</v>
      </c>
      <c r="G71" t="str">
        <f>IF(Table14[[#This Row],[Age]]&lt;=25,"Young",IF(Table14[[#This Row],[Age]]&gt;55,"Old",IF(Table14[[#This Row],[Age]]&gt;25,"Middle","Na")))</f>
        <v>Young</v>
      </c>
      <c r="H71" t="s">
        <v>16</v>
      </c>
      <c r="I71">
        <v>1</v>
      </c>
      <c r="J71">
        <v>300</v>
      </c>
      <c r="K71">
        <v>300</v>
      </c>
      <c r="N71" s="11" t="s">
        <v>144</v>
      </c>
      <c r="O71" s="11" t="s">
        <v>11</v>
      </c>
      <c r="P71" s="11">
        <f>K69/J69</f>
        <v>1</v>
      </c>
      <c r="Q71" s="11">
        <v>600</v>
      </c>
      <c r="R71" s="11">
        <v>600</v>
      </c>
    </row>
    <row r="72" spans="2:18" x14ac:dyDescent="0.35">
      <c r="B72">
        <v>69</v>
      </c>
      <c r="C72" s="1">
        <v>45046</v>
      </c>
      <c r="D72" t="s">
        <v>82</v>
      </c>
      <c r="E72" t="s">
        <v>13</v>
      </c>
      <c r="F72">
        <v>56</v>
      </c>
      <c r="G72" t="str">
        <f>IF(Table14[[#This Row],[Age]]&lt;=25,"Young",IF(Table14[[#This Row],[Age]]&gt;55,"Old",IF(Table14[[#This Row],[Age]]&gt;25,"Middle","Na")))</f>
        <v>Old</v>
      </c>
      <c r="H72" t="s">
        <v>11</v>
      </c>
      <c r="I72">
        <v>3</v>
      </c>
      <c r="J72">
        <v>25</v>
      </c>
      <c r="K72">
        <v>75</v>
      </c>
      <c r="N72" s="11" t="s">
        <v>171</v>
      </c>
      <c r="O72" s="11" t="s">
        <v>16</v>
      </c>
      <c r="P72" s="11">
        <f>K70/J70</f>
        <v>4</v>
      </c>
      <c r="Q72" s="11">
        <v>600</v>
      </c>
      <c r="R72" s="11">
        <v>600</v>
      </c>
    </row>
    <row r="73" spans="2:18" x14ac:dyDescent="0.35">
      <c r="B73">
        <v>70</v>
      </c>
      <c r="C73" s="1">
        <v>44978</v>
      </c>
      <c r="D73" t="s">
        <v>83</v>
      </c>
      <c r="E73" t="s">
        <v>13</v>
      </c>
      <c r="F73">
        <v>43</v>
      </c>
      <c r="G73" t="str">
        <f>IF(Table14[[#This Row],[Age]]&lt;=25,"Young",IF(Table14[[#This Row],[Age]]&gt;55,"Old",IF(Table14[[#This Row],[Age]]&gt;25,"Middle","Na")))</f>
        <v>Middle</v>
      </c>
      <c r="H73" t="s">
        <v>14</v>
      </c>
      <c r="I73">
        <v>1</v>
      </c>
      <c r="J73">
        <v>300</v>
      </c>
      <c r="K73">
        <v>300</v>
      </c>
      <c r="N73" s="11" t="s">
        <v>315</v>
      </c>
      <c r="O73" s="11" t="s">
        <v>11</v>
      </c>
      <c r="P73" s="11">
        <f>K71/J71</f>
        <v>1</v>
      </c>
      <c r="Q73" s="11">
        <v>600</v>
      </c>
      <c r="R73" s="11">
        <v>600</v>
      </c>
    </row>
    <row r="74" spans="2:18" x14ac:dyDescent="0.35">
      <c r="B74">
        <v>71</v>
      </c>
      <c r="C74" s="1">
        <v>45121</v>
      </c>
      <c r="D74" t="s">
        <v>84</v>
      </c>
      <c r="E74" t="s">
        <v>13</v>
      </c>
      <c r="F74">
        <v>51</v>
      </c>
      <c r="G74" t="str">
        <f>IF(Table14[[#This Row],[Age]]&lt;=25,"Young",IF(Table14[[#This Row],[Age]]&gt;55,"Old",IF(Table14[[#This Row],[Age]]&gt;25,"Middle","Na")))</f>
        <v>Middle</v>
      </c>
      <c r="H74" t="s">
        <v>11</v>
      </c>
      <c r="I74">
        <v>4</v>
      </c>
      <c r="J74">
        <v>25</v>
      </c>
      <c r="K74">
        <v>100</v>
      </c>
      <c r="N74" s="11" t="s">
        <v>361</v>
      </c>
      <c r="O74" s="11" t="s">
        <v>16</v>
      </c>
      <c r="P74" s="11">
        <f>K72/J72</f>
        <v>3</v>
      </c>
      <c r="Q74" s="11">
        <v>600</v>
      </c>
      <c r="R74" s="11">
        <v>600</v>
      </c>
    </row>
    <row r="75" spans="2:18" x14ac:dyDescent="0.35">
      <c r="B75">
        <v>72</v>
      </c>
      <c r="C75" s="1">
        <v>45069</v>
      </c>
      <c r="D75" t="s">
        <v>85</v>
      </c>
      <c r="E75" t="s">
        <v>13</v>
      </c>
      <c r="F75">
        <v>20</v>
      </c>
      <c r="G75" t="str">
        <f>IF(Table14[[#This Row],[Age]]&lt;=25,"Young",IF(Table14[[#This Row],[Age]]&gt;55,"Old",IF(Table14[[#This Row],[Age]]&gt;25,"Middle","Na")))</f>
        <v>Young</v>
      </c>
      <c r="H75" t="s">
        <v>16</v>
      </c>
      <c r="I75">
        <v>4</v>
      </c>
      <c r="J75">
        <v>500</v>
      </c>
      <c r="K75">
        <v>2000</v>
      </c>
      <c r="N75" s="11" t="s">
        <v>386</v>
      </c>
      <c r="O75" s="11" t="s">
        <v>11</v>
      </c>
      <c r="P75" s="11">
        <f>K73/J73</f>
        <v>1</v>
      </c>
      <c r="Q75" s="11">
        <v>600</v>
      </c>
      <c r="R75" s="11">
        <v>600</v>
      </c>
    </row>
    <row r="76" spans="2:18" x14ac:dyDescent="0.35">
      <c r="B76">
        <v>73</v>
      </c>
      <c r="C76" s="1">
        <v>45159</v>
      </c>
      <c r="D76" t="s">
        <v>86</v>
      </c>
      <c r="E76" t="s">
        <v>10</v>
      </c>
      <c r="F76">
        <v>29</v>
      </c>
      <c r="G76" t="str">
        <f>IF(Table14[[#This Row],[Age]]&lt;=25,"Young",IF(Table14[[#This Row],[Age]]&gt;55,"Old",IF(Table14[[#This Row],[Age]]&gt;25,"Middle","Na")))</f>
        <v>Middle</v>
      </c>
      <c r="H76" t="s">
        <v>16</v>
      </c>
      <c r="I76">
        <v>3</v>
      </c>
      <c r="J76">
        <v>30</v>
      </c>
      <c r="K76">
        <v>90</v>
      </c>
      <c r="N76" s="11" t="s">
        <v>405</v>
      </c>
      <c r="O76" s="11" t="s">
        <v>14</v>
      </c>
      <c r="P76" s="11">
        <f>K74/J74</f>
        <v>4</v>
      </c>
      <c r="Q76" s="11">
        <v>600</v>
      </c>
      <c r="R76" s="11">
        <v>600</v>
      </c>
    </row>
    <row r="77" spans="2:18" x14ac:dyDescent="0.35">
      <c r="B77">
        <v>74</v>
      </c>
      <c r="C77" s="1">
        <v>45252</v>
      </c>
      <c r="D77" t="s">
        <v>87</v>
      </c>
      <c r="E77" t="s">
        <v>13</v>
      </c>
      <c r="F77">
        <v>18</v>
      </c>
      <c r="G77" t="str">
        <f>IF(Table14[[#This Row],[Age]]&lt;=25,"Young",IF(Table14[[#This Row],[Age]]&gt;55,"Old",IF(Table14[[#This Row],[Age]]&gt;25,"Middle","Na")))</f>
        <v>Young</v>
      </c>
      <c r="H77" t="s">
        <v>11</v>
      </c>
      <c r="I77">
        <v>4</v>
      </c>
      <c r="J77">
        <v>500</v>
      </c>
      <c r="K77">
        <v>2000</v>
      </c>
      <c r="N77" s="11" t="s">
        <v>411</v>
      </c>
      <c r="O77" s="11" t="s">
        <v>14</v>
      </c>
      <c r="P77" s="11">
        <f>K75/J75</f>
        <v>4</v>
      </c>
      <c r="Q77" s="11">
        <v>600</v>
      </c>
      <c r="R77" s="11">
        <v>600</v>
      </c>
    </row>
    <row r="78" spans="2:18" x14ac:dyDescent="0.35">
      <c r="B78">
        <v>75</v>
      </c>
      <c r="C78" s="1">
        <v>45113</v>
      </c>
      <c r="D78" t="s">
        <v>88</v>
      </c>
      <c r="E78" t="s">
        <v>10</v>
      </c>
      <c r="F78">
        <v>61</v>
      </c>
      <c r="G78" t="str">
        <f>IF(Table14[[#This Row],[Age]]&lt;=25,"Young",IF(Table14[[#This Row],[Age]]&gt;55,"Old",IF(Table14[[#This Row],[Age]]&gt;25,"Middle","Na")))</f>
        <v>Old</v>
      </c>
      <c r="H78" t="s">
        <v>11</v>
      </c>
      <c r="I78">
        <v>4</v>
      </c>
      <c r="J78">
        <v>50</v>
      </c>
      <c r="K78">
        <v>200</v>
      </c>
      <c r="N78" s="11" t="s">
        <v>416</v>
      </c>
      <c r="O78" s="11" t="s">
        <v>14</v>
      </c>
      <c r="P78" s="11">
        <f>K76/J76</f>
        <v>3</v>
      </c>
      <c r="Q78" s="11">
        <v>600</v>
      </c>
      <c r="R78" s="11">
        <v>600</v>
      </c>
    </row>
    <row r="79" spans="2:18" x14ac:dyDescent="0.35">
      <c r="B79">
        <v>76</v>
      </c>
      <c r="C79" s="1">
        <v>45010</v>
      </c>
      <c r="D79" t="s">
        <v>89</v>
      </c>
      <c r="E79" t="s">
        <v>13</v>
      </c>
      <c r="F79">
        <v>22</v>
      </c>
      <c r="G79" t="str">
        <f>IF(Table14[[#This Row],[Age]]&lt;=25,"Young",IF(Table14[[#This Row],[Age]]&gt;55,"Old",IF(Table14[[#This Row],[Age]]&gt;25,"Middle","Na")))</f>
        <v>Young</v>
      </c>
      <c r="H79" t="s">
        <v>16</v>
      </c>
      <c r="I79">
        <v>2</v>
      </c>
      <c r="J79">
        <v>50</v>
      </c>
      <c r="K79">
        <v>100</v>
      </c>
      <c r="N79" s="11" t="s">
        <v>477</v>
      </c>
      <c r="O79" s="11" t="s">
        <v>16</v>
      </c>
      <c r="P79" s="11">
        <f>K77/J77</f>
        <v>4</v>
      </c>
      <c r="Q79" s="11">
        <v>600</v>
      </c>
      <c r="R79" s="11">
        <v>600</v>
      </c>
    </row>
    <row r="80" spans="2:18" x14ac:dyDescent="0.35">
      <c r="B80">
        <v>77</v>
      </c>
      <c r="C80" s="1">
        <v>45116</v>
      </c>
      <c r="D80" t="s">
        <v>90</v>
      </c>
      <c r="E80" t="s">
        <v>13</v>
      </c>
      <c r="F80">
        <v>47</v>
      </c>
      <c r="G80" t="str">
        <f>IF(Table14[[#This Row],[Age]]&lt;=25,"Young",IF(Table14[[#This Row],[Age]]&gt;55,"Old",IF(Table14[[#This Row],[Age]]&gt;25,"Middle","Na")))</f>
        <v>Middle</v>
      </c>
      <c r="H80" t="s">
        <v>14</v>
      </c>
      <c r="I80">
        <v>2</v>
      </c>
      <c r="J80">
        <v>50</v>
      </c>
      <c r="K80">
        <v>100</v>
      </c>
      <c r="N80" s="11" t="s">
        <v>509</v>
      </c>
      <c r="O80" s="11" t="s">
        <v>14</v>
      </c>
      <c r="P80" s="11">
        <f>K78/J78</f>
        <v>4</v>
      </c>
      <c r="Q80" s="11">
        <v>600</v>
      </c>
      <c r="R80" s="11">
        <v>600</v>
      </c>
    </row>
    <row r="81" spans="2:18" x14ac:dyDescent="0.35">
      <c r="B81">
        <v>78</v>
      </c>
      <c r="C81" s="1">
        <v>45108</v>
      </c>
      <c r="D81" t="s">
        <v>91</v>
      </c>
      <c r="E81" t="s">
        <v>13</v>
      </c>
      <c r="F81">
        <v>47</v>
      </c>
      <c r="G81" t="str">
        <f>IF(Table14[[#This Row],[Age]]&lt;=25,"Young",IF(Table14[[#This Row],[Age]]&gt;55,"Old",IF(Table14[[#This Row],[Age]]&gt;25,"Middle","Na")))</f>
        <v>Middle</v>
      </c>
      <c r="H81" t="s">
        <v>14</v>
      </c>
      <c r="I81">
        <v>3</v>
      </c>
      <c r="J81">
        <v>500</v>
      </c>
      <c r="K81">
        <v>1500</v>
      </c>
      <c r="N81" s="11" t="s">
        <v>623</v>
      </c>
      <c r="O81" s="11" t="s">
        <v>11</v>
      </c>
      <c r="P81" s="11">
        <f>K79/J79</f>
        <v>2</v>
      </c>
      <c r="Q81" s="11">
        <v>600</v>
      </c>
      <c r="R81" s="11">
        <v>600</v>
      </c>
    </row>
    <row r="82" spans="2:18" x14ac:dyDescent="0.35">
      <c r="B82">
        <v>79</v>
      </c>
      <c r="C82" s="1">
        <v>45034</v>
      </c>
      <c r="D82" t="s">
        <v>92</v>
      </c>
      <c r="E82" t="s">
        <v>10</v>
      </c>
      <c r="F82">
        <v>34</v>
      </c>
      <c r="G82" t="str">
        <f>IF(Table14[[#This Row],[Age]]&lt;=25,"Young",IF(Table14[[#This Row],[Age]]&gt;55,"Old",IF(Table14[[#This Row],[Age]]&gt;25,"Middle","Na")))</f>
        <v>Middle</v>
      </c>
      <c r="H82" t="s">
        <v>11</v>
      </c>
      <c r="I82">
        <v>1</v>
      </c>
      <c r="J82">
        <v>300</v>
      </c>
      <c r="K82">
        <v>300</v>
      </c>
      <c r="N82" s="11" t="s">
        <v>851</v>
      </c>
      <c r="O82" s="11" t="s">
        <v>16</v>
      </c>
      <c r="P82" s="11">
        <f>K80/J80</f>
        <v>2</v>
      </c>
      <c r="Q82" s="11">
        <v>600</v>
      </c>
      <c r="R82" s="11">
        <v>600</v>
      </c>
    </row>
    <row r="83" spans="2:18" x14ac:dyDescent="0.35">
      <c r="B83">
        <v>80</v>
      </c>
      <c r="C83" s="1">
        <v>45270</v>
      </c>
      <c r="D83" t="s">
        <v>93</v>
      </c>
      <c r="E83" t="s">
        <v>13</v>
      </c>
      <c r="F83">
        <v>64</v>
      </c>
      <c r="G83" t="str">
        <f>IF(Table14[[#This Row],[Age]]&lt;=25,"Young",IF(Table14[[#This Row],[Age]]&gt;55,"Old",IF(Table14[[#This Row],[Age]]&gt;25,"Middle","Na")))</f>
        <v>Old</v>
      </c>
      <c r="H83" t="s">
        <v>14</v>
      </c>
      <c r="I83">
        <v>2</v>
      </c>
      <c r="J83">
        <v>30</v>
      </c>
      <c r="K83">
        <v>60</v>
      </c>
      <c r="N83" s="11" t="s">
        <v>912</v>
      </c>
      <c r="O83" s="11" t="s">
        <v>14</v>
      </c>
      <c r="P83" s="11">
        <f>K81/J81</f>
        <v>3</v>
      </c>
      <c r="Q83" s="11">
        <v>600</v>
      </c>
      <c r="R83" s="11">
        <v>600</v>
      </c>
    </row>
    <row r="84" spans="2:18" x14ac:dyDescent="0.35">
      <c r="B84">
        <v>81</v>
      </c>
      <c r="C84" s="1">
        <v>45063</v>
      </c>
      <c r="D84" t="s">
        <v>94</v>
      </c>
      <c r="E84" t="s">
        <v>10</v>
      </c>
      <c r="F84">
        <v>40</v>
      </c>
      <c r="G84" t="str">
        <f>IF(Table14[[#This Row],[Age]]&lt;=25,"Young",IF(Table14[[#This Row],[Age]]&gt;55,"Old",IF(Table14[[#This Row],[Age]]&gt;25,"Middle","Na")))</f>
        <v>Middle</v>
      </c>
      <c r="H84" t="s">
        <v>16</v>
      </c>
      <c r="I84">
        <v>1</v>
      </c>
      <c r="J84">
        <v>50</v>
      </c>
      <c r="K84">
        <v>50</v>
      </c>
      <c r="N84" s="11" t="s">
        <v>17</v>
      </c>
      <c r="O84" s="11" t="s">
        <v>14</v>
      </c>
      <c r="P84" s="11">
        <f>K82/J82</f>
        <v>1</v>
      </c>
      <c r="Q84" s="11">
        <v>500</v>
      </c>
      <c r="R84" s="11">
        <v>500</v>
      </c>
    </row>
    <row r="85" spans="2:18" x14ac:dyDescent="0.35">
      <c r="B85">
        <v>82</v>
      </c>
      <c r="C85" s="1">
        <v>45286</v>
      </c>
      <c r="D85" t="s">
        <v>95</v>
      </c>
      <c r="E85" t="s">
        <v>13</v>
      </c>
      <c r="F85">
        <v>32</v>
      </c>
      <c r="G85" t="str">
        <f>IF(Table14[[#This Row],[Age]]&lt;=25,"Young",IF(Table14[[#This Row],[Age]]&gt;55,"Old",IF(Table14[[#This Row],[Age]]&gt;25,"Middle","Na")))</f>
        <v>Middle</v>
      </c>
      <c r="H85" t="s">
        <v>11</v>
      </c>
      <c r="I85">
        <v>4</v>
      </c>
      <c r="J85">
        <v>50</v>
      </c>
      <c r="K85">
        <v>200</v>
      </c>
      <c r="N85" s="11" t="s">
        <v>34</v>
      </c>
      <c r="O85" s="11" t="s">
        <v>11</v>
      </c>
      <c r="P85" s="11">
        <f>K83/J83</f>
        <v>2</v>
      </c>
      <c r="Q85" s="11">
        <v>500</v>
      </c>
      <c r="R85" s="11">
        <v>500</v>
      </c>
    </row>
    <row r="86" spans="2:18" x14ac:dyDescent="0.35">
      <c r="B86">
        <v>83</v>
      </c>
      <c r="C86" s="1">
        <v>45276</v>
      </c>
      <c r="D86" t="s">
        <v>96</v>
      </c>
      <c r="E86" t="s">
        <v>10</v>
      </c>
      <c r="F86">
        <v>54</v>
      </c>
      <c r="G86" t="str">
        <f>IF(Table14[[#This Row],[Age]]&lt;=25,"Young",IF(Table14[[#This Row],[Age]]&gt;55,"Old",IF(Table14[[#This Row],[Age]]&gt;25,"Middle","Na")))</f>
        <v>Middle</v>
      </c>
      <c r="H86" t="s">
        <v>16</v>
      </c>
      <c r="I86">
        <v>2</v>
      </c>
      <c r="J86">
        <v>50</v>
      </c>
      <c r="K86">
        <v>100</v>
      </c>
      <c r="N86" s="11" t="s">
        <v>233</v>
      </c>
      <c r="O86" s="11" t="s">
        <v>11</v>
      </c>
      <c r="P86" s="11">
        <f>K84/J84</f>
        <v>1</v>
      </c>
      <c r="Q86" s="11">
        <v>500</v>
      </c>
      <c r="R86" s="11">
        <v>500</v>
      </c>
    </row>
    <row r="87" spans="2:18" x14ac:dyDescent="0.35">
      <c r="B87">
        <v>84</v>
      </c>
      <c r="C87" s="1">
        <v>45258</v>
      </c>
      <c r="D87" t="s">
        <v>97</v>
      </c>
      <c r="E87" t="s">
        <v>13</v>
      </c>
      <c r="F87">
        <v>38</v>
      </c>
      <c r="G87" t="str">
        <f>IF(Table14[[#This Row],[Age]]&lt;=25,"Young",IF(Table14[[#This Row],[Age]]&gt;55,"Old",IF(Table14[[#This Row],[Age]]&gt;25,"Middle","Na")))</f>
        <v>Middle</v>
      </c>
      <c r="H87" t="s">
        <v>16</v>
      </c>
      <c r="I87">
        <v>3</v>
      </c>
      <c r="J87">
        <v>30</v>
      </c>
      <c r="K87">
        <v>90</v>
      </c>
      <c r="N87" s="11" t="s">
        <v>292</v>
      </c>
      <c r="O87" s="11" t="s">
        <v>14</v>
      </c>
      <c r="P87" s="11">
        <f>K85/J85</f>
        <v>4</v>
      </c>
      <c r="Q87" s="11">
        <v>500</v>
      </c>
      <c r="R87" s="11">
        <v>500</v>
      </c>
    </row>
    <row r="88" spans="2:18" x14ac:dyDescent="0.35">
      <c r="B88">
        <v>85</v>
      </c>
      <c r="C88" s="1">
        <v>44963</v>
      </c>
      <c r="D88" t="s">
        <v>98</v>
      </c>
      <c r="E88" t="s">
        <v>10</v>
      </c>
      <c r="F88">
        <v>31</v>
      </c>
      <c r="G88" t="str">
        <f>IF(Table14[[#This Row],[Age]]&lt;=25,"Young",IF(Table14[[#This Row],[Age]]&gt;55,"Old",IF(Table14[[#This Row],[Age]]&gt;25,"Middle","Na")))</f>
        <v>Middle</v>
      </c>
      <c r="H88" t="s">
        <v>14</v>
      </c>
      <c r="I88">
        <v>3</v>
      </c>
      <c r="J88">
        <v>50</v>
      </c>
      <c r="K88">
        <v>150</v>
      </c>
      <c r="N88" s="11" t="s">
        <v>296</v>
      </c>
      <c r="O88" s="11" t="s">
        <v>16</v>
      </c>
      <c r="P88" s="11">
        <f>K86/J86</f>
        <v>2</v>
      </c>
      <c r="Q88" s="11">
        <v>500</v>
      </c>
      <c r="R88" s="11">
        <v>500</v>
      </c>
    </row>
    <row r="89" spans="2:18" x14ac:dyDescent="0.35">
      <c r="B89">
        <v>86</v>
      </c>
      <c r="C89" s="1">
        <v>45238</v>
      </c>
      <c r="D89" t="s">
        <v>99</v>
      </c>
      <c r="E89" t="s">
        <v>10</v>
      </c>
      <c r="F89">
        <v>19</v>
      </c>
      <c r="G89" t="str">
        <f>IF(Table14[[#This Row],[Age]]&lt;=25,"Young",IF(Table14[[#This Row],[Age]]&gt;55,"Old",IF(Table14[[#This Row],[Age]]&gt;25,"Middle","Na")))</f>
        <v>Young</v>
      </c>
      <c r="H89" t="s">
        <v>11</v>
      </c>
      <c r="I89">
        <v>3</v>
      </c>
      <c r="J89">
        <v>30</v>
      </c>
      <c r="K89">
        <v>90</v>
      </c>
      <c r="N89" s="11" t="s">
        <v>335</v>
      </c>
      <c r="O89" s="11" t="s">
        <v>16</v>
      </c>
      <c r="P89" s="11">
        <f>K87/J87</f>
        <v>3</v>
      </c>
      <c r="Q89" s="11">
        <v>500</v>
      </c>
      <c r="R89" s="11">
        <v>500</v>
      </c>
    </row>
    <row r="90" spans="2:18" x14ac:dyDescent="0.35">
      <c r="B90">
        <v>87</v>
      </c>
      <c r="C90" s="1">
        <v>45252</v>
      </c>
      <c r="D90" t="s">
        <v>100</v>
      </c>
      <c r="E90" t="s">
        <v>13</v>
      </c>
      <c r="F90">
        <v>28</v>
      </c>
      <c r="G90" t="str">
        <f>IF(Table14[[#This Row],[Age]]&lt;=25,"Young",IF(Table14[[#This Row],[Age]]&gt;55,"Old",IF(Table14[[#This Row],[Age]]&gt;25,"Middle","Na")))</f>
        <v>Middle</v>
      </c>
      <c r="H90" t="s">
        <v>11</v>
      </c>
      <c r="I90">
        <v>2</v>
      </c>
      <c r="J90">
        <v>50</v>
      </c>
      <c r="K90">
        <v>100</v>
      </c>
      <c r="N90" s="11" t="s">
        <v>407</v>
      </c>
      <c r="O90" s="11" t="s">
        <v>14</v>
      </c>
      <c r="P90" s="11">
        <f>K88/J88</f>
        <v>3</v>
      </c>
      <c r="Q90" s="11">
        <v>500</v>
      </c>
      <c r="R90" s="11">
        <v>500</v>
      </c>
    </row>
    <row r="91" spans="2:18" x14ac:dyDescent="0.35">
      <c r="B91">
        <v>88</v>
      </c>
      <c r="C91" s="1">
        <v>45014</v>
      </c>
      <c r="D91" t="s">
        <v>101</v>
      </c>
      <c r="E91" t="s">
        <v>10</v>
      </c>
      <c r="F91">
        <v>56</v>
      </c>
      <c r="G91" t="str">
        <f>IF(Table14[[#This Row],[Age]]&lt;=25,"Young",IF(Table14[[#This Row],[Age]]&gt;55,"Old",IF(Table14[[#This Row],[Age]]&gt;25,"Middle","Na")))</f>
        <v>Old</v>
      </c>
      <c r="H91" t="s">
        <v>14</v>
      </c>
      <c r="I91">
        <v>1</v>
      </c>
      <c r="J91">
        <v>500</v>
      </c>
      <c r="K91">
        <v>500</v>
      </c>
      <c r="N91" s="11" t="s">
        <v>668</v>
      </c>
      <c r="O91" s="11" t="s">
        <v>14</v>
      </c>
      <c r="P91" s="11">
        <f>K89/J89</f>
        <v>3</v>
      </c>
      <c r="Q91" s="11">
        <v>500</v>
      </c>
      <c r="R91" s="11">
        <v>500</v>
      </c>
    </row>
    <row r="92" spans="2:18" x14ac:dyDescent="0.35">
      <c r="B92">
        <v>89</v>
      </c>
      <c r="C92" s="1">
        <v>45200</v>
      </c>
      <c r="D92" t="s">
        <v>102</v>
      </c>
      <c r="E92" t="s">
        <v>13</v>
      </c>
      <c r="F92">
        <v>55</v>
      </c>
      <c r="G92" t="str">
        <f>IF(Table14[[#This Row],[Age]]&lt;=25,"Young",IF(Table14[[#This Row],[Age]]&gt;55,"Old",IF(Table14[[#This Row],[Age]]&gt;25,"Middle","Na")))</f>
        <v>Middle</v>
      </c>
      <c r="H92" t="s">
        <v>16</v>
      </c>
      <c r="I92">
        <v>4</v>
      </c>
      <c r="J92">
        <v>500</v>
      </c>
      <c r="K92">
        <v>2000</v>
      </c>
      <c r="N92" s="11" t="s">
        <v>680</v>
      </c>
      <c r="O92" s="11" t="s">
        <v>16</v>
      </c>
      <c r="P92" s="11">
        <f>K90/J90</f>
        <v>2</v>
      </c>
      <c r="Q92" s="11">
        <v>500</v>
      </c>
      <c r="R92" s="11">
        <v>500</v>
      </c>
    </row>
    <row r="93" spans="2:18" x14ac:dyDescent="0.35">
      <c r="B93">
        <v>90</v>
      </c>
      <c r="C93" s="1">
        <v>45052</v>
      </c>
      <c r="D93" t="s">
        <v>103</v>
      </c>
      <c r="E93" t="s">
        <v>13</v>
      </c>
      <c r="F93">
        <v>51</v>
      </c>
      <c r="G93" t="str">
        <f>IF(Table14[[#This Row],[Age]]&lt;=25,"Young",IF(Table14[[#This Row],[Age]]&gt;55,"Old",IF(Table14[[#This Row],[Age]]&gt;25,"Middle","Na")))</f>
        <v>Middle</v>
      </c>
      <c r="H93" t="s">
        <v>16</v>
      </c>
      <c r="I93">
        <v>1</v>
      </c>
      <c r="J93">
        <v>30</v>
      </c>
      <c r="K93">
        <v>30</v>
      </c>
      <c r="N93" s="11" t="s">
        <v>720</v>
      </c>
      <c r="O93" s="11" t="s">
        <v>14</v>
      </c>
      <c r="P93" s="11">
        <f>K91/J91</f>
        <v>1</v>
      </c>
      <c r="Q93" s="11">
        <v>500</v>
      </c>
      <c r="R93" s="11">
        <v>500</v>
      </c>
    </row>
    <row r="94" spans="2:18" x14ac:dyDescent="0.35">
      <c r="B94">
        <v>91</v>
      </c>
      <c r="C94" s="1">
        <v>45010</v>
      </c>
      <c r="D94" t="s">
        <v>104</v>
      </c>
      <c r="E94" t="s">
        <v>13</v>
      </c>
      <c r="F94">
        <v>55</v>
      </c>
      <c r="G94" t="str">
        <f>IF(Table14[[#This Row],[Age]]&lt;=25,"Young",IF(Table14[[#This Row],[Age]]&gt;55,"Old",IF(Table14[[#This Row],[Age]]&gt;25,"Middle","Na")))</f>
        <v>Middle</v>
      </c>
      <c r="H94" t="s">
        <v>16</v>
      </c>
      <c r="I94">
        <v>1</v>
      </c>
      <c r="J94">
        <v>500</v>
      </c>
      <c r="K94">
        <v>500</v>
      </c>
      <c r="N94" s="11" t="s">
        <v>727</v>
      </c>
      <c r="O94" s="11" t="s">
        <v>14</v>
      </c>
      <c r="P94" s="11">
        <f>K92/J92</f>
        <v>4</v>
      </c>
      <c r="Q94" s="11">
        <v>500</v>
      </c>
      <c r="R94" s="11">
        <v>500</v>
      </c>
    </row>
    <row r="95" spans="2:18" x14ac:dyDescent="0.35">
      <c r="B95">
        <v>92</v>
      </c>
      <c r="C95" s="1">
        <v>45163</v>
      </c>
      <c r="D95" t="s">
        <v>105</v>
      </c>
      <c r="E95" t="s">
        <v>13</v>
      </c>
      <c r="F95">
        <v>51</v>
      </c>
      <c r="G95" t="str">
        <f>IF(Table14[[#This Row],[Age]]&lt;=25,"Young",IF(Table14[[#This Row],[Age]]&gt;55,"Old",IF(Table14[[#This Row],[Age]]&gt;25,"Middle","Na")))</f>
        <v>Middle</v>
      </c>
      <c r="H95" t="s">
        <v>16</v>
      </c>
      <c r="I95">
        <v>4</v>
      </c>
      <c r="J95">
        <v>30</v>
      </c>
      <c r="K95">
        <v>120</v>
      </c>
      <c r="N95" s="11" t="s">
        <v>734</v>
      </c>
      <c r="O95" s="11" t="s">
        <v>14</v>
      </c>
      <c r="P95" s="11">
        <f>K93/J93</f>
        <v>1</v>
      </c>
      <c r="Q95" s="11">
        <v>500</v>
      </c>
      <c r="R95" s="11">
        <v>500</v>
      </c>
    </row>
    <row r="96" spans="2:18" x14ac:dyDescent="0.35">
      <c r="B96">
        <v>93</v>
      </c>
      <c r="C96" s="1">
        <v>45121</v>
      </c>
      <c r="D96" t="s">
        <v>106</v>
      </c>
      <c r="E96" t="s">
        <v>13</v>
      </c>
      <c r="F96">
        <v>35</v>
      </c>
      <c r="G96" t="str">
        <f>IF(Table14[[#This Row],[Age]]&lt;=25,"Young",IF(Table14[[#This Row],[Age]]&gt;55,"Old",IF(Table14[[#This Row],[Age]]&gt;25,"Middle","Na")))</f>
        <v>Middle</v>
      </c>
      <c r="H96" t="s">
        <v>11</v>
      </c>
      <c r="I96">
        <v>4</v>
      </c>
      <c r="J96">
        <v>500</v>
      </c>
      <c r="K96">
        <v>2000</v>
      </c>
      <c r="N96" s="11" t="s">
        <v>827</v>
      </c>
      <c r="O96" s="11" t="s">
        <v>14</v>
      </c>
      <c r="P96" s="11">
        <f>K94/J94</f>
        <v>1</v>
      </c>
      <c r="Q96" s="11">
        <v>500</v>
      </c>
      <c r="R96" s="11">
        <v>500</v>
      </c>
    </row>
    <row r="97" spans="2:18" x14ac:dyDescent="0.35">
      <c r="B97">
        <v>94</v>
      </c>
      <c r="C97" s="1">
        <v>45065</v>
      </c>
      <c r="D97" t="s">
        <v>107</v>
      </c>
      <c r="E97" t="s">
        <v>13</v>
      </c>
      <c r="F97">
        <v>47</v>
      </c>
      <c r="G97" t="str">
        <f>IF(Table14[[#This Row],[Age]]&lt;=25,"Young",IF(Table14[[#This Row],[Age]]&gt;55,"Old",IF(Table14[[#This Row],[Age]]&gt;25,"Middle","Na")))</f>
        <v>Middle</v>
      </c>
      <c r="H97" t="s">
        <v>11</v>
      </c>
      <c r="I97">
        <v>2</v>
      </c>
      <c r="J97">
        <v>500</v>
      </c>
      <c r="K97">
        <v>1000</v>
      </c>
      <c r="N97" s="11" t="s">
        <v>831</v>
      </c>
      <c r="O97" s="11" t="s">
        <v>16</v>
      </c>
      <c r="P97" s="11">
        <f>K95/J95</f>
        <v>4</v>
      </c>
      <c r="Q97" s="11">
        <v>500</v>
      </c>
      <c r="R97" s="11">
        <v>500</v>
      </c>
    </row>
    <row r="98" spans="2:18" x14ac:dyDescent="0.35">
      <c r="B98">
        <v>95</v>
      </c>
      <c r="C98" s="1">
        <v>45254</v>
      </c>
      <c r="D98" t="s">
        <v>108</v>
      </c>
      <c r="E98" t="s">
        <v>13</v>
      </c>
      <c r="F98">
        <v>32</v>
      </c>
      <c r="G98" t="str">
        <f>IF(Table14[[#This Row],[Age]]&lt;=25,"Young",IF(Table14[[#This Row],[Age]]&gt;55,"Old",IF(Table14[[#This Row],[Age]]&gt;25,"Middle","Na")))</f>
        <v>Middle</v>
      </c>
      <c r="H98" t="s">
        <v>14</v>
      </c>
      <c r="I98">
        <v>2</v>
      </c>
      <c r="J98">
        <v>30</v>
      </c>
      <c r="K98">
        <v>60</v>
      </c>
      <c r="N98" s="11" t="s">
        <v>858</v>
      </c>
      <c r="O98" s="11" t="s">
        <v>14</v>
      </c>
      <c r="P98" s="11">
        <f>K96/J96</f>
        <v>4</v>
      </c>
      <c r="Q98" s="11">
        <v>500</v>
      </c>
      <c r="R98" s="11">
        <v>500</v>
      </c>
    </row>
    <row r="99" spans="2:18" x14ac:dyDescent="0.35">
      <c r="B99">
        <v>96</v>
      </c>
      <c r="C99" s="1">
        <v>45279</v>
      </c>
      <c r="D99" t="s">
        <v>109</v>
      </c>
      <c r="E99" t="s">
        <v>13</v>
      </c>
      <c r="F99">
        <v>44</v>
      </c>
      <c r="G99" t="str">
        <f>IF(Table14[[#This Row],[Age]]&lt;=25,"Young",IF(Table14[[#This Row],[Age]]&gt;55,"Old",IF(Table14[[#This Row],[Age]]&gt;25,"Middle","Na")))</f>
        <v>Middle</v>
      </c>
      <c r="H99" t="s">
        <v>14</v>
      </c>
      <c r="I99">
        <v>2</v>
      </c>
      <c r="J99">
        <v>300</v>
      </c>
      <c r="K99">
        <v>600</v>
      </c>
      <c r="N99" s="11" t="s">
        <v>81</v>
      </c>
      <c r="O99" s="11" t="s">
        <v>16</v>
      </c>
      <c r="P99" s="11">
        <f>K97/J97</f>
        <v>2</v>
      </c>
      <c r="Q99" s="11">
        <v>300</v>
      </c>
      <c r="R99" s="11">
        <v>300</v>
      </c>
    </row>
    <row r="100" spans="2:18" x14ac:dyDescent="0.35">
      <c r="B100">
        <v>97</v>
      </c>
      <c r="C100" s="1">
        <v>45212</v>
      </c>
      <c r="D100" t="s">
        <v>110</v>
      </c>
      <c r="E100" t="s">
        <v>13</v>
      </c>
      <c r="F100">
        <v>51</v>
      </c>
      <c r="G100" t="str">
        <f>IF(Table14[[#This Row],[Age]]&lt;=25,"Young",IF(Table14[[#This Row],[Age]]&gt;55,"Old",IF(Table14[[#This Row],[Age]]&gt;25,"Middle","Na")))</f>
        <v>Middle</v>
      </c>
      <c r="H100" t="s">
        <v>11</v>
      </c>
      <c r="I100">
        <v>2</v>
      </c>
      <c r="J100">
        <v>500</v>
      </c>
      <c r="K100">
        <v>1000</v>
      </c>
      <c r="N100" s="11" t="s">
        <v>192</v>
      </c>
      <c r="O100" s="11" t="s">
        <v>16</v>
      </c>
      <c r="P100" s="11">
        <f>K98/J98</f>
        <v>2</v>
      </c>
      <c r="Q100" s="11">
        <v>300</v>
      </c>
      <c r="R100" s="11">
        <v>300</v>
      </c>
    </row>
    <row r="101" spans="2:18" x14ac:dyDescent="0.35">
      <c r="B101">
        <v>98</v>
      </c>
      <c r="C101" s="1">
        <v>45039</v>
      </c>
      <c r="D101" t="s">
        <v>111</v>
      </c>
      <c r="E101" t="s">
        <v>13</v>
      </c>
      <c r="F101">
        <v>55</v>
      </c>
      <c r="G101" t="str">
        <f>IF(Table14[[#This Row],[Age]]&lt;=25,"Young",IF(Table14[[#This Row],[Age]]&gt;55,"Old",IF(Table14[[#This Row],[Age]]&gt;25,"Middle","Na")))</f>
        <v>Middle</v>
      </c>
      <c r="H101" t="s">
        <v>11</v>
      </c>
      <c r="I101">
        <v>2</v>
      </c>
      <c r="J101">
        <v>50</v>
      </c>
      <c r="K101">
        <v>100</v>
      </c>
      <c r="N101" s="11" t="s">
        <v>253</v>
      </c>
      <c r="O101" s="11" t="s">
        <v>11</v>
      </c>
      <c r="P101" s="11">
        <f>K99/J99</f>
        <v>2</v>
      </c>
      <c r="Q101" s="11">
        <v>300</v>
      </c>
      <c r="R101" s="11">
        <v>300</v>
      </c>
    </row>
    <row r="102" spans="2:18" x14ac:dyDescent="0.35">
      <c r="B102">
        <v>99</v>
      </c>
      <c r="C102" s="1">
        <v>45277</v>
      </c>
      <c r="D102" t="s">
        <v>112</v>
      </c>
      <c r="E102" t="s">
        <v>13</v>
      </c>
      <c r="F102">
        <v>50</v>
      </c>
      <c r="G102" t="str">
        <f>IF(Table14[[#This Row],[Age]]&lt;=25,"Young",IF(Table14[[#This Row],[Age]]&gt;55,"Old",IF(Table14[[#This Row],[Age]]&gt;25,"Middle","Na")))</f>
        <v>Middle</v>
      </c>
      <c r="H102" t="s">
        <v>16</v>
      </c>
      <c r="I102">
        <v>4</v>
      </c>
      <c r="J102">
        <v>300</v>
      </c>
      <c r="K102">
        <v>1200</v>
      </c>
      <c r="N102" s="11" t="s">
        <v>458</v>
      </c>
      <c r="O102" s="11" t="s">
        <v>16</v>
      </c>
      <c r="P102" s="11">
        <f>K100/J100</f>
        <v>2</v>
      </c>
      <c r="Q102" s="11">
        <v>300</v>
      </c>
      <c r="R102" s="11">
        <v>300</v>
      </c>
    </row>
    <row r="103" spans="2:18" x14ac:dyDescent="0.35">
      <c r="B103">
        <v>100</v>
      </c>
      <c r="C103" s="1">
        <v>45093</v>
      </c>
      <c r="D103" t="s">
        <v>113</v>
      </c>
      <c r="E103" t="s">
        <v>10</v>
      </c>
      <c r="F103">
        <v>41</v>
      </c>
      <c r="G103" t="str">
        <f>IF(Table14[[#This Row],[Age]]&lt;=25,"Young",IF(Table14[[#This Row],[Age]]&gt;55,"Old",IF(Table14[[#This Row],[Age]]&gt;25,"Middle","Na")))</f>
        <v>Middle</v>
      </c>
      <c r="H103" t="s">
        <v>16</v>
      </c>
      <c r="I103">
        <v>1</v>
      </c>
      <c r="J103">
        <v>30</v>
      </c>
      <c r="K103">
        <v>30</v>
      </c>
      <c r="N103" s="11" t="s">
        <v>687</v>
      </c>
      <c r="O103" s="11" t="s">
        <v>14</v>
      </c>
      <c r="P103" s="11">
        <f>K101/J101</f>
        <v>2</v>
      </c>
      <c r="Q103" s="11">
        <v>300</v>
      </c>
      <c r="R103" s="11">
        <v>300</v>
      </c>
    </row>
    <row r="104" spans="2:18" x14ac:dyDescent="0.35">
      <c r="B104">
        <v>101</v>
      </c>
      <c r="C104" s="1">
        <v>44955</v>
      </c>
      <c r="D104" t="s">
        <v>114</v>
      </c>
      <c r="E104" t="s">
        <v>10</v>
      </c>
      <c r="F104">
        <v>32</v>
      </c>
      <c r="G104" t="str">
        <f>IF(Table14[[#This Row],[Age]]&lt;=25,"Young",IF(Table14[[#This Row],[Age]]&gt;55,"Old",IF(Table14[[#This Row],[Age]]&gt;25,"Middle","Na")))</f>
        <v>Middle</v>
      </c>
      <c r="H104" t="s">
        <v>14</v>
      </c>
      <c r="I104">
        <v>2</v>
      </c>
      <c r="J104">
        <v>300</v>
      </c>
      <c r="K104">
        <v>600</v>
      </c>
      <c r="N104" s="11" t="s">
        <v>754</v>
      </c>
      <c r="O104" s="11" t="s">
        <v>14</v>
      </c>
      <c r="P104" s="11">
        <f>K102/J102</f>
        <v>4</v>
      </c>
      <c r="Q104" s="11">
        <v>300</v>
      </c>
      <c r="R104" s="11">
        <v>300</v>
      </c>
    </row>
    <row r="105" spans="2:18" x14ac:dyDescent="0.35">
      <c r="B105">
        <v>102</v>
      </c>
      <c r="C105" s="1">
        <v>45044</v>
      </c>
      <c r="D105" t="s">
        <v>115</v>
      </c>
      <c r="E105" t="s">
        <v>13</v>
      </c>
      <c r="F105">
        <v>47</v>
      </c>
      <c r="G105" t="str">
        <f>IF(Table14[[#This Row],[Age]]&lt;=25,"Young",IF(Table14[[#This Row],[Age]]&gt;55,"Old",IF(Table14[[#This Row],[Age]]&gt;25,"Middle","Na")))</f>
        <v>Middle</v>
      </c>
      <c r="H105" t="s">
        <v>11</v>
      </c>
      <c r="I105">
        <v>2</v>
      </c>
      <c r="J105">
        <v>25</v>
      </c>
      <c r="K105">
        <v>50</v>
      </c>
      <c r="N105" s="11" t="s">
        <v>88</v>
      </c>
      <c r="O105" s="11" t="s">
        <v>11</v>
      </c>
      <c r="P105" s="11">
        <f>K103/J103</f>
        <v>1</v>
      </c>
      <c r="Q105" s="11">
        <v>200</v>
      </c>
      <c r="R105" s="11">
        <v>200</v>
      </c>
    </row>
    <row r="106" spans="2:18" x14ac:dyDescent="0.35">
      <c r="B106">
        <v>103</v>
      </c>
      <c r="C106" s="1">
        <v>44943</v>
      </c>
      <c r="D106" t="s">
        <v>116</v>
      </c>
      <c r="E106" t="s">
        <v>13</v>
      </c>
      <c r="F106">
        <v>59</v>
      </c>
      <c r="G106" t="str">
        <f>IF(Table14[[#This Row],[Age]]&lt;=25,"Young",IF(Table14[[#This Row],[Age]]&gt;55,"Old",IF(Table14[[#This Row],[Age]]&gt;25,"Middle","Na")))</f>
        <v>Old</v>
      </c>
      <c r="H106" t="s">
        <v>14</v>
      </c>
      <c r="I106">
        <v>1</v>
      </c>
      <c r="J106">
        <v>25</v>
      </c>
      <c r="K106">
        <v>25</v>
      </c>
      <c r="N106" s="11" t="s">
        <v>159</v>
      </c>
      <c r="O106" s="11" t="s">
        <v>14</v>
      </c>
      <c r="P106" s="11">
        <f>K104/J104</f>
        <v>2</v>
      </c>
      <c r="Q106" s="11">
        <v>200</v>
      </c>
      <c r="R106" s="11">
        <v>200</v>
      </c>
    </row>
    <row r="107" spans="2:18" x14ac:dyDescent="0.35">
      <c r="B107">
        <v>104</v>
      </c>
      <c r="C107" s="1">
        <v>45088</v>
      </c>
      <c r="D107" t="s">
        <v>117</v>
      </c>
      <c r="E107" t="s">
        <v>13</v>
      </c>
      <c r="F107">
        <v>34</v>
      </c>
      <c r="G107" t="str">
        <f>IF(Table14[[#This Row],[Age]]&lt;=25,"Young",IF(Table14[[#This Row],[Age]]&gt;55,"Old",IF(Table14[[#This Row],[Age]]&gt;25,"Middle","Na")))</f>
        <v>Middle</v>
      </c>
      <c r="H107" t="s">
        <v>11</v>
      </c>
      <c r="I107">
        <v>2</v>
      </c>
      <c r="J107">
        <v>500</v>
      </c>
      <c r="K107">
        <v>1000</v>
      </c>
      <c r="N107" s="11" t="s">
        <v>172</v>
      </c>
      <c r="O107" s="11" t="s">
        <v>14</v>
      </c>
      <c r="P107" s="11">
        <f>K105/J105</f>
        <v>2</v>
      </c>
      <c r="Q107" s="11">
        <v>200</v>
      </c>
      <c r="R107" s="11">
        <v>200</v>
      </c>
    </row>
    <row r="108" spans="2:18" x14ac:dyDescent="0.35">
      <c r="B108">
        <v>105</v>
      </c>
      <c r="C108" s="1">
        <v>45132</v>
      </c>
      <c r="D108" t="s">
        <v>118</v>
      </c>
      <c r="E108" t="s">
        <v>13</v>
      </c>
      <c r="F108">
        <v>22</v>
      </c>
      <c r="G108" t="str">
        <f>IF(Table14[[#This Row],[Age]]&lt;=25,"Young",IF(Table14[[#This Row],[Age]]&gt;55,"Old",IF(Table14[[#This Row],[Age]]&gt;25,"Middle","Na")))</f>
        <v>Young</v>
      </c>
      <c r="H108" t="s">
        <v>16</v>
      </c>
      <c r="I108">
        <v>1</v>
      </c>
      <c r="J108">
        <v>500</v>
      </c>
      <c r="K108">
        <v>500</v>
      </c>
      <c r="N108" s="11" t="s">
        <v>221</v>
      </c>
      <c r="O108" s="11" t="s">
        <v>16</v>
      </c>
      <c r="P108" s="11">
        <f>K106/J106</f>
        <v>1</v>
      </c>
      <c r="Q108" s="11">
        <v>200</v>
      </c>
      <c r="R108" s="11">
        <v>200</v>
      </c>
    </row>
    <row r="109" spans="2:18" x14ac:dyDescent="0.35">
      <c r="B109">
        <v>106</v>
      </c>
      <c r="C109" s="1">
        <v>45064</v>
      </c>
      <c r="D109" t="s">
        <v>119</v>
      </c>
      <c r="E109" t="s">
        <v>13</v>
      </c>
      <c r="F109">
        <v>46</v>
      </c>
      <c r="G109" t="str">
        <f>IF(Table14[[#This Row],[Age]]&lt;=25,"Young",IF(Table14[[#This Row],[Age]]&gt;55,"Old",IF(Table14[[#This Row],[Age]]&gt;25,"Middle","Na")))</f>
        <v>Middle</v>
      </c>
      <c r="H109" t="s">
        <v>14</v>
      </c>
      <c r="I109">
        <v>1</v>
      </c>
      <c r="J109">
        <v>50</v>
      </c>
      <c r="K109">
        <v>50</v>
      </c>
      <c r="N109" s="11" t="s">
        <v>222</v>
      </c>
      <c r="O109" s="11" t="s">
        <v>16</v>
      </c>
      <c r="P109" s="11">
        <f>K107/J107</f>
        <v>2</v>
      </c>
      <c r="Q109" s="11">
        <v>200</v>
      </c>
      <c r="R109" s="11">
        <v>200</v>
      </c>
    </row>
    <row r="110" spans="2:18" x14ac:dyDescent="0.35">
      <c r="B110">
        <v>107</v>
      </c>
      <c r="C110" s="1">
        <v>44960</v>
      </c>
      <c r="D110" t="s">
        <v>120</v>
      </c>
      <c r="E110" t="s">
        <v>13</v>
      </c>
      <c r="F110">
        <v>21</v>
      </c>
      <c r="G110" t="str">
        <f>IF(Table14[[#This Row],[Age]]&lt;=25,"Young",IF(Table14[[#This Row],[Age]]&gt;55,"Old",IF(Table14[[#This Row],[Age]]&gt;25,"Middle","Na")))</f>
        <v>Young</v>
      </c>
      <c r="H110" t="s">
        <v>14</v>
      </c>
      <c r="I110">
        <v>4</v>
      </c>
      <c r="J110">
        <v>300</v>
      </c>
      <c r="K110">
        <v>1200</v>
      </c>
      <c r="N110" s="11" t="s">
        <v>230</v>
      </c>
      <c r="O110" s="11" t="s">
        <v>16</v>
      </c>
      <c r="P110" s="11">
        <f>K108/J108</f>
        <v>1</v>
      </c>
      <c r="Q110" s="11">
        <v>200</v>
      </c>
      <c r="R110" s="11">
        <v>200</v>
      </c>
    </row>
    <row r="111" spans="2:18" x14ac:dyDescent="0.35">
      <c r="B111">
        <v>108</v>
      </c>
      <c r="C111" s="1">
        <v>45035</v>
      </c>
      <c r="D111" t="s">
        <v>121</v>
      </c>
      <c r="E111" t="s">
        <v>13</v>
      </c>
      <c r="F111">
        <v>27</v>
      </c>
      <c r="G111" t="str">
        <f>IF(Table14[[#This Row],[Age]]&lt;=25,"Young",IF(Table14[[#This Row],[Age]]&gt;55,"Old",IF(Table14[[#This Row],[Age]]&gt;25,"Middle","Na")))</f>
        <v>Middle</v>
      </c>
      <c r="H111" t="s">
        <v>11</v>
      </c>
      <c r="I111">
        <v>3</v>
      </c>
      <c r="J111">
        <v>25</v>
      </c>
      <c r="K111">
        <v>75</v>
      </c>
      <c r="N111" s="11" t="s">
        <v>272</v>
      </c>
      <c r="O111" s="11" t="s">
        <v>14</v>
      </c>
      <c r="P111" s="11">
        <f>K109/J109</f>
        <v>1</v>
      </c>
      <c r="Q111" s="11">
        <v>200</v>
      </c>
      <c r="R111" s="11">
        <v>200</v>
      </c>
    </row>
    <row r="112" spans="2:18" x14ac:dyDescent="0.35">
      <c r="B112">
        <v>109</v>
      </c>
      <c r="C112" s="1">
        <v>45217</v>
      </c>
      <c r="D112" t="s">
        <v>122</v>
      </c>
      <c r="E112" t="s">
        <v>13</v>
      </c>
      <c r="F112">
        <v>34</v>
      </c>
      <c r="G112" t="str">
        <f>IF(Table14[[#This Row],[Age]]&lt;=25,"Young",IF(Table14[[#This Row],[Age]]&gt;55,"Old",IF(Table14[[#This Row],[Age]]&gt;25,"Middle","Na")))</f>
        <v>Middle</v>
      </c>
      <c r="H112" t="s">
        <v>16</v>
      </c>
      <c r="I112">
        <v>4</v>
      </c>
      <c r="J112">
        <v>500</v>
      </c>
      <c r="K112">
        <v>2000</v>
      </c>
      <c r="N112" s="11" t="s">
        <v>343</v>
      </c>
      <c r="O112" s="11" t="s">
        <v>11</v>
      </c>
      <c r="P112" s="11">
        <f>K110/J110</f>
        <v>4</v>
      </c>
      <c r="Q112" s="11">
        <v>200</v>
      </c>
      <c r="R112" s="11">
        <v>200</v>
      </c>
    </row>
    <row r="113" spans="2:18" x14ac:dyDescent="0.35">
      <c r="B113">
        <v>110</v>
      </c>
      <c r="C113" s="1">
        <v>45088</v>
      </c>
      <c r="D113" t="s">
        <v>123</v>
      </c>
      <c r="E113" t="s">
        <v>10</v>
      </c>
      <c r="F113">
        <v>27</v>
      </c>
      <c r="G113" t="str">
        <f>IF(Table14[[#This Row],[Age]]&lt;=25,"Young",IF(Table14[[#This Row],[Age]]&gt;55,"Old",IF(Table14[[#This Row],[Age]]&gt;25,"Middle","Na")))</f>
        <v>Middle</v>
      </c>
      <c r="H113" t="s">
        <v>14</v>
      </c>
      <c r="I113">
        <v>3</v>
      </c>
      <c r="J113">
        <v>300</v>
      </c>
      <c r="K113">
        <v>900</v>
      </c>
      <c r="N113" s="11" t="s">
        <v>413</v>
      </c>
      <c r="O113" s="11" t="s">
        <v>14</v>
      </c>
      <c r="P113" s="11">
        <f>K111/J111</f>
        <v>3</v>
      </c>
      <c r="Q113" s="11">
        <v>200</v>
      </c>
      <c r="R113" s="11">
        <v>200</v>
      </c>
    </row>
    <row r="114" spans="2:18" x14ac:dyDescent="0.35">
      <c r="B114">
        <v>111</v>
      </c>
      <c r="C114" s="1">
        <v>45035</v>
      </c>
      <c r="D114" t="s">
        <v>124</v>
      </c>
      <c r="E114" t="s">
        <v>13</v>
      </c>
      <c r="F114">
        <v>34</v>
      </c>
      <c r="G114" t="str">
        <f>IF(Table14[[#This Row],[Age]]&lt;=25,"Young",IF(Table14[[#This Row],[Age]]&gt;55,"Old",IF(Table14[[#This Row],[Age]]&gt;25,"Middle","Na")))</f>
        <v>Middle</v>
      </c>
      <c r="H114" t="s">
        <v>16</v>
      </c>
      <c r="I114">
        <v>3</v>
      </c>
      <c r="J114">
        <v>500</v>
      </c>
      <c r="K114">
        <v>1500</v>
      </c>
      <c r="N114" s="11" t="s">
        <v>424</v>
      </c>
      <c r="O114" s="11" t="s">
        <v>16</v>
      </c>
      <c r="P114" s="11">
        <f>K112/J112</f>
        <v>4</v>
      </c>
      <c r="Q114" s="11">
        <v>200</v>
      </c>
      <c r="R114" s="11">
        <v>200</v>
      </c>
    </row>
    <row r="115" spans="2:18" x14ac:dyDescent="0.35">
      <c r="B115">
        <v>112</v>
      </c>
      <c r="C115" s="1">
        <v>45262</v>
      </c>
      <c r="D115" t="s">
        <v>125</v>
      </c>
      <c r="E115" t="s">
        <v>10</v>
      </c>
      <c r="F115">
        <v>37</v>
      </c>
      <c r="G115" t="str">
        <f>IF(Table14[[#This Row],[Age]]&lt;=25,"Young",IF(Table14[[#This Row],[Age]]&gt;55,"Old",IF(Table14[[#This Row],[Age]]&gt;25,"Middle","Na")))</f>
        <v>Middle</v>
      </c>
      <c r="H115" t="s">
        <v>14</v>
      </c>
      <c r="I115">
        <v>3</v>
      </c>
      <c r="J115">
        <v>500</v>
      </c>
      <c r="K115">
        <v>1500</v>
      </c>
      <c r="N115" s="11" t="s">
        <v>462</v>
      </c>
      <c r="O115" s="11" t="s">
        <v>16</v>
      </c>
      <c r="P115" s="11">
        <f>K113/J113</f>
        <v>3</v>
      </c>
      <c r="Q115" s="11">
        <v>200</v>
      </c>
      <c r="R115" s="11">
        <v>200</v>
      </c>
    </row>
    <row r="116" spans="2:18" x14ac:dyDescent="0.35">
      <c r="B116">
        <v>113</v>
      </c>
      <c r="C116" s="1">
        <v>45182</v>
      </c>
      <c r="D116" t="s">
        <v>126</v>
      </c>
      <c r="E116" t="s">
        <v>13</v>
      </c>
      <c r="F116">
        <v>41</v>
      </c>
      <c r="G116" t="str">
        <f>IF(Table14[[#This Row],[Age]]&lt;=25,"Young",IF(Table14[[#This Row],[Age]]&gt;55,"Old",IF(Table14[[#This Row],[Age]]&gt;25,"Middle","Na")))</f>
        <v>Middle</v>
      </c>
      <c r="H116" t="s">
        <v>16</v>
      </c>
      <c r="I116">
        <v>2</v>
      </c>
      <c r="J116">
        <v>25</v>
      </c>
      <c r="K116">
        <v>50</v>
      </c>
      <c r="N116" s="11" t="s">
        <v>559</v>
      </c>
      <c r="O116" s="11" t="s">
        <v>16</v>
      </c>
      <c r="P116" s="11">
        <f>K114/J114</f>
        <v>3</v>
      </c>
      <c r="Q116" s="11">
        <v>200</v>
      </c>
      <c r="R116" s="11">
        <v>200</v>
      </c>
    </row>
    <row r="117" spans="2:18" x14ac:dyDescent="0.35">
      <c r="B117">
        <v>114</v>
      </c>
      <c r="C117" s="1">
        <v>45129</v>
      </c>
      <c r="D117" t="s">
        <v>127</v>
      </c>
      <c r="E117" t="s">
        <v>13</v>
      </c>
      <c r="F117">
        <v>22</v>
      </c>
      <c r="G117" t="str">
        <f>IF(Table14[[#This Row],[Age]]&lt;=25,"Young",IF(Table14[[#This Row],[Age]]&gt;55,"Old",IF(Table14[[#This Row],[Age]]&gt;25,"Middle","Na")))</f>
        <v>Young</v>
      </c>
      <c r="H117" t="s">
        <v>11</v>
      </c>
      <c r="I117">
        <v>4</v>
      </c>
      <c r="J117">
        <v>25</v>
      </c>
      <c r="K117">
        <v>100</v>
      </c>
      <c r="N117" s="11" t="s">
        <v>597</v>
      </c>
      <c r="O117" s="11" t="s">
        <v>11</v>
      </c>
      <c r="P117" s="11">
        <f>K115/J115</f>
        <v>3</v>
      </c>
      <c r="Q117" s="11">
        <v>200</v>
      </c>
      <c r="R117" s="11">
        <v>200</v>
      </c>
    </row>
    <row r="118" spans="2:18" x14ac:dyDescent="0.35">
      <c r="B118">
        <v>115</v>
      </c>
      <c r="C118" s="1">
        <v>45256</v>
      </c>
      <c r="D118" t="s">
        <v>128</v>
      </c>
      <c r="E118" t="s">
        <v>10</v>
      </c>
      <c r="F118">
        <v>51</v>
      </c>
      <c r="G118" t="str">
        <f>IF(Table14[[#This Row],[Age]]&lt;=25,"Young",IF(Table14[[#This Row],[Age]]&gt;55,"Old",IF(Table14[[#This Row],[Age]]&gt;25,"Middle","Na")))</f>
        <v>Middle</v>
      </c>
      <c r="H118" t="s">
        <v>14</v>
      </c>
      <c r="I118">
        <v>3</v>
      </c>
      <c r="J118">
        <v>500</v>
      </c>
      <c r="K118">
        <v>1500</v>
      </c>
      <c r="N118" s="11" t="s">
        <v>652</v>
      </c>
      <c r="O118" s="11" t="s">
        <v>11</v>
      </c>
      <c r="P118" s="11">
        <f>K116/J116</f>
        <v>2</v>
      </c>
      <c r="Q118" s="11">
        <v>200</v>
      </c>
      <c r="R118" s="11">
        <v>200</v>
      </c>
    </row>
    <row r="119" spans="2:18" x14ac:dyDescent="0.35">
      <c r="B119">
        <v>116</v>
      </c>
      <c r="C119" s="1">
        <v>45161</v>
      </c>
      <c r="D119" t="s">
        <v>129</v>
      </c>
      <c r="E119" t="s">
        <v>13</v>
      </c>
      <c r="F119">
        <v>23</v>
      </c>
      <c r="G119" t="str">
        <f>IF(Table14[[#This Row],[Age]]&lt;=25,"Young",IF(Table14[[#This Row],[Age]]&gt;55,"Old",IF(Table14[[#This Row],[Age]]&gt;25,"Middle","Na")))</f>
        <v>Young</v>
      </c>
      <c r="H119" t="s">
        <v>14</v>
      </c>
      <c r="I119">
        <v>1</v>
      </c>
      <c r="J119">
        <v>30</v>
      </c>
      <c r="K119">
        <v>30</v>
      </c>
      <c r="N119" s="11" t="s">
        <v>699</v>
      </c>
      <c r="O119" s="11" t="s">
        <v>16</v>
      </c>
      <c r="P119" s="11">
        <f>K117/J117</f>
        <v>4</v>
      </c>
      <c r="Q119" s="11">
        <v>200</v>
      </c>
      <c r="R119" s="11">
        <v>200</v>
      </c>
    </row>
    <row r="120" spans="2:18" x14ac:dyDescent="0.35">
      <c r="B120">
        <v>117</v>
      </c>
      <c r="C120" s="1">
        <v>45000</v>
      </c>
      <c r="D120" t="s">
        <v>130</v>
      </c>
      <c r="E120" t="s">
        <v>10</v>
      </c>
      <c r="F120">
        <v>19</v>
      </c>
      <c r="G120" t="str">
        <f>IF(Table14[[#This Row],[Age]]&lt;=25,"Young",IF(Table14[[#This Row],[Age]]&gt;55,"Old",IF(Table14[[#This Row],[Age]]&gt;25,"Middle","Na")))</f>
        <v>Young</v>
      </c>
      <c r="H120" t="s">
        <v>16</v>
      </c>
      <c r="I120">
        <v>2</v>
      </c>
      <c r="J120">
        <v>500</v>
      </c>
      <c r="K120">
        <v>1000</v>
      </c>
      <c r="N120" s="11" t="s">
        <v>778</v>
      </c>
      <c r="O120" s="11" t="s">
        <v>14</v>
      </c>
      <c r="P120" s="11">
        <f>K118/J118</f>
        <v>3</v>
      </c>
      <c r="Q120" s="11">
        <v>200</v>
      </c>
      <c r="R120" s="11">
        <v>200</v>
      </c>
    </row>
    <row r="121" spans="2:18" x14ac:dyDescent="0.35">
      <c r="B121">
        <v>118</v>
      </c>
      <c r="C121" s="1">
        <v>45062</v>
      </c>
      <c r="D121" t="s">
        <v>131</v>
      </c>
      <c r="E121" t="s">
        <v>13</v>
      </c>
      <c r="F121">
        <v>30</v>
      </c>
      <c r="G121" t="str">
        <f>IF(Table14[[#This Row],[Age]]&lt;=25,"Young",IF(Table14[[#This Row],[Age]]&gt;55,"Old",IF(Table14[[#This Row],[Age]]&gt;25,"Middle","Na")))</f>
        <v>Middle</v>
      </c>
      <c r="H121" t="s">
        <v>16</v>
      </c>
      <c r="I121">
        <v>4</v>
      </c>
      <c r="J121">
        <v>500</v>
      </c>
      <c r="K121">
        <v>2000</v>
      </c>
      <c r="N121" s="11" t="s">
        <v>798</v>
      </c>
      <c r="O121" s="11" t="s">
        <v>11</v>
      </c>
      <c r="P121" s="11">
        <f>K119/J119</f>
        <v>1</v>
      </c>
      <c r="Q121" s="11">
        <v>200</v>
      </c>
      <c r="R121" s="11">
        <v>200</v>
      </c>
    </row>
    <row r="122" spans="2:18" x14ac:dyDescent="0.35">
      <c r="B122">
        <v>119</v>
      </c>
      <c r="C122" s="1">
        <v>44998</v>
      </c>
      <c r="D122" t="s">
        <v>132</v>
      </c>
      <c r="E122" t="s">
        <v>13</v>
      </c>
      <c r="F122">
        <v>60</v>
      </c>
      <c r="G122" t="str">
        <f>IF(Table14[[#This Row],[Age]]&lt;=25,"Young",IF(Table14[[#This Row],[Age]]&gt;55,"Old",IF(Table14[[#This Row],[Age]]&gt;25,"Middle","Na")))</f>
        <v>Old</v>
      </c>
      <c r="H122" t="s">
        <v>14</v>
      </c>
      <c r="I122">
        <v>3</v>
      </c>
      <c r="J122">
        <v>50</v>
      </c>
      <c r="K122">
        <v>150</v>
      </c>
      <c r="N122" s="11" t="s">
        <v>846</v>
      </c>
      <c r="O122" s="11" t="s">
        <v>11</v>
      </c>
      <c r="P122" s="11">
        <f>K120/J120</f>
        <v>2</v>
      </c>
      <c r="Q122" s="11">
        <v>200</v>
      </c>
      <c r="R122" s="11">
        <v>200</v>
      </c>
    </row>
    <row r="123" spans="2:18" x14ac:dyDescent="0.35">
      <c r="B123">
        <v>120</v>
      </c>
      <c r="C123" s="1">
        <v>45053</v>
      </c>
      <c r="D123" t="s">
        <v>133</v>
      </c>
      <c r="E123" t="s">
        <v>10</v>
      </c>
      <c r="F123">
        <v>60</v>
      </c>
      <c r="G123" t="str">
        <f>IF(Table14[[#This Row],[Age]]&lt;=25,"Young",IF(Table14[[#This Row],[Age]]&gt;55,"Old",IF(Table14[[#This Row],[Age]]&gt;25,"Middle","Na")))</f>
        <v>Old</v>
      </c>
      <c r="H123" t="s">
        <v>11</v>
      </c>
      <c r="I123">
        <v>1</v>
      </c>
      <c r="J123">
        <v>50</v>
      </c>
      <c r="K123">
        <v>50</v>
      </c>
      <c r="N123" s="11" t="s">
        <v>873</v>
      </c>
      <c r="O123" s="11" t="s">
        <v>14</v>
      </c>
      <c r="P123" s="11">
        <f>K121/J121</f>
        <v>4</v>
      </c>
      <c r="Q123" s="11">
        <v>200</v>
      </c>
      <c r="R123" s="11">
        <v>200</v>
      </c>
    </row>
    <row r="124" spans="2:18" x14ac:dyDescent="0.35">
      <c r="B124">
        <v>121</v>
      </c>
      <c r="C124" s="1">
        <v>45214</v>
      </c>
      <c r="D124" t="s">
        <v>134</v>
      </c>
      <c r="E124" t="s">
        <v>13</v>
      </c>
      <c r="F124">
        <v>28</v>
      </c>
      <c r="G124" t="str">
        <f>IF(Table14[[#This Row],[Age]]&lt;=25,"Young",IF(Table14[[#This Row],[Age]]&gt;55,"Old",IF(Table14[[#This Row],[Age]]&gt;25,"Middle","Na")))</f>
        <v>Middle</v>
      </c>
      <c r="H124" t="s">
        <v>16</v>
      </c>
      <c r="I124">
        <v>4</v>
      </c>
      <c r="J124">
        <v>50</v>
      </c>
      <c r="K124">
        <v>200</v>
      </c>
      <c r="N124" s="11" t="s">
        <v>974</v>
      </c>
      <c r="O124" s="11" t="s">
        <v>11</v>
      </c>
      <c r="P124" s="11">
        <f>K122/J122</f>
        <v>3</v>
      </c>
      <c r="Q124" s="11">
        <v>200</v>
      </c>
      <c r="R124" s="11">
        <v>200</v>
      </c>
    </row>
    <row r="125" spans="2:18" x14ac:dyDescent="0.35">
      <c r="B125">
        <v>122</v>
      </c>
      <c r="C125" s="1">
        <v>45202</v>
      </c>
      <c r="D125" t="s">
        <v>135</v>
      </c>
      <c r="E125" t="s">
        <v>10</v>
      </c>
      <c r="F125">
        <v>64</v>
      </c>
      <c r="G125" t="str">
        <f>IF(Table14[[#This Row],[Age]]&lt;=25,"Young",IF(Table14[[#This Row],[Age]]&gt;55,"Old",IF(Table14[[#This Row],[Age]]&gt;25,"Middle","Na")))</f>
        <v>Old</v>
      </c>
      <c r="H125" t="s">
        <v>16</v>
      </c>
      <c r="I125">
        <v>4</v>
      </c>
      <c r="J125">
        <v>30</v>
      </c>
      <c r="K125">
        <v>120</v>
      </c>
      <c r="N125" s="11" t="s">
        <v>988</v>
      </c>
      <c r="O125" s="11" t="s">
        <v>14</v>
      </c>
      <c r="P125" s="11">
        <f>K123/J123</f>
        <v>1</v>
      </c>
      <c r="Q125" s="11">
        <v>200</v>
      </c>
      <c r="R125" s="11">
        <v>200</v>
      </c>
    </row>
    <row r="126" spans="2:18" x14ac:dyDescent="0.35">
      <c r="B126">
        <v>123</v>
      </c>
      <c r="C126" s="1">
        <v>45061</v>
      </c>
      <c r="D126" t="s">
        <v>136</v>
      </c>
      <c r="E126" t="s">
        <v>13</v>
      </c>
      <c r="F126">
        <v>40</v>
      </c>
      <c r="G126" t="str">
        <f>IF(Table14[[#This Row],[Age]]&lt;=25,"Young",IF(Table14[[#This Row],[Age]]&gt;55,"Old",IF(Table14[[#This Row],[Age]]&gt;25,"Middle","Na")))</f>
        <v>Middle</v>
      </c>
      <c r="H126" t="s">
        <v>16</v>
      </c>
      <c r="I126">
        <v>2</v>
      </c>
      <c r="J126">
        <v>30</v>
      </c>
      <c r="K126">
        <v>60</v>
      </c>
      <c r="N126" s="11" t="s">
        <v>9</v>
      </c>
      <c r="O126" s="11" t="s">
        <v>11</v>
      </c>
      <c r="P126" s="11">
        <f>K124/J124</f>
        <v>4</v>
      </c>
      <c r="Q126" s="11">
        <v>150</v>
      </c>
      <c r="R126" s="11">
        <v>150</v>
      </c>
    </row>
    <row r="127" spans="2:18" x14ac:dyDescent="0.35">
      <c r="B127">
        <v>124</v>
      </c>
      <c r="C127" s="1">
        <v>45226</v>
      </c>
      <c r="D127" t="s">
        <v>137</v>
      </c>
      <c r="E127" t="s">
        <v>10</v>
      </c>
      <c r="F127">
        <v>33</v>
      </c>
      <c r="G127" t="str">
        <f>IF(Table14[[#This Row],[Age]]&lt;=25,"Young",IF(Table14[[#This Row],[Age]]&gt;55,"Old",IF(Table14[[#This Row],[Age]]&gt;25,"Middle","Na")))</f>
        <v>Middle</v>
      </c>
      <c r="H127" t="s">
        <v>14</v>
      </c>
      <c r="I127">
        <v>4</v>
      </c>
      <c r="J127">
        <v>500</v>
      </c>
      <c r="K127">
        <v>2000</v>
      </c>
      <c r="N127" s="11" t="s">
        <v>98</v>
      </c>
      <c r="O127" s="11" t="s">
        <v>14</v>
      </c>
      <c r="P127" s="11">
        <f>K125/J125</f>
        <v>4</v>
      </c>
      <c r="Q127" s="11">
        <v>150</v>
      </c>
      <c r="R127" s="11">
        <v>150</v>
      </c>
    </row>
    <row r="128" spans="2:18" x14ac:dyDescent="0.35">
      <c r="B128">
        <v>125</v>
      </c>
      <c r="C128" s="1">
        <v>45146</v>
      </c>
      <c r="D128" t="s">
        <v>138</v>
      </c>
      <c r="E128" t="s">
        <v>10</v>
      </c>
      <c r="F128">
        <v>48</v>
      </c>
      <c r="G128" t="str">
        <f>IF(Table14[[#This Row],[Age]]&lt;=25,"Young",IF(Table14[[#This Row],[Age]]&gt;55,"Old",IF(Table14[[#This Row],[Age]]&gt;25,"Middle","Na")))</f>
        <v>Middle</v>
      </c>
      <c r="H128" t="s">
        <v>14</v>
      </c>
      <c r="I128">
        <v>2</v>
      </c>
      <c r="J128">
        <v>50</v>
      </c>
      <c r="K128">
        <v>100</v>
      </c>
      <c r="N128" s="11" t="s">
        <v>213</v>
      </c>
      <c r="O128" s="11" t="s">
        <v>11</v>
      </c>
      <c r="P128" s="11">
        <f>K126/J126</f>
        <v>2</v>
      </c>
      <c r="Q128" s="11">
        <v>150</v>
      </c>
      <c r="R128" s="11">
        <v>150</v>
      </c>
    </row>
    <row r="129" spans="2:18" x14ac:dyDescent="0.35">
      <c r="B129">
        <v>126</v>
      </c>
      <c r="C129" s="1">
        <v>45225</v>
      </c>
      <c r="D129" t="s">
        <v>139</v>
      </c>
      <c r="E129" t="s">
        <v>13</v>
      </c>
      <c r="F129">
        <v>28</v>
      </c>
      <c r="G129" t="str">
        <f>IF(Table14[[#This Row],[Age]]&lt;=25,"Young",IF(Table14[[#This Row],[Age]]&gt;55,"Old",IF(Table14[[#This Row],[Age]]&gt;25,"Middle","Na")))</f>
        <v>Middle</v>
      </c>
      <c r="H129" t="s">
        <v>14</v>
      </c>
      <c r="I129">
        <v>3</v>
      </c>
      <c r="J129">
        <v>30</v>
      </c>
      <c r="K129">
        <v>90</v>
      </c>
      <c r="N129" s="11" t="s">
        <v>515</v>
      </c>
      <c r="O129" s="11" t="s">
        <v>16</v>
      </c>
      <c r="P129" s="11">
        <f>K127/J127</f>
        <v>4</v>
      </c>
      <c r="Q129" s="11">
        <v>150</v>
      </c>
      <c r="R129" s="11">
        <v>150</v>
      </c>
    </row>
    <row r="130" spans="2:18" x14ac:dyDescent="0.35">
      <c r="B130">
        <v>127</v>
      </c>
      <c r="C130" s="1">
        <v>45131</v>
      </c>
      <c r="D130" t="s">
        <v>140</v>
      </c>
      <c r="E130" t="s">
        <v>13</v>
      </c>
      <c r="F130">
        <v>33</v>
      </c>
      <c r="G130" t="str">
        <f>IF(Table14[[#This Row],[Age]]&lt;=25,"Young",IF(Table14[[#This Row],[Age]]&gt;55,"Old",IF(Table14[[#This Row],[Age]]&gt;25,"Middle","Na")))</f>
        <v>Middle</v>
      </c>
      <c r="H130" t="s">
        <v>14</v>
      </c>
      <c r="I130">
        <v>2</v>
      </c>
      <c r="J130">
        <v>25</v>
      </c>
      <c r="K130">
        <v>50</v>
      </c>
      <c r="N130" s="11" t="s">
        <v>517</v>
      </c>
      <c r="O130" s="11" t="s">
        <v>11</v>
      </c>
      <c r="P130" s="11">
        <f>K128/J128</f>
        <v>2</v>
      </c>
      <c r="Q130" s="11">
        <v>150</v>
      </c>
      <c r="R130" s="11">
        <v>150</v>
      </c>
    </row>
    <row r="131" spans="2:18" x14ac:dyDescent="0.35">
      <c r="B131">
        <v>128</v>
      </c>
      <c r="C131" s="1">
        <v>45112</v>
      </c>
      <c r="D131" t="s">
        <v>141</v>
      </c>
      <c r="E131" t="s">
        <v>10</v>
      </c>
      <c r="F131">
        <v>25</v>
      </c>
      <c r="G131" t="str">
        <f>IF(Table14[[#This Row],[Age]]&lt;=25,"Young",IF(Table14[[#This Row],[Age]]&gt;55,"Old",IF(Table14[[#This Row],[Age]]&gt;25,"Middle","Na")))</f>
        <v>Young</v>
      </c>
      <c r="H131" t="s">
        <v>11</v>
      </c>
      <c r="I131">
        <v>1</v>
      </c>
      <c r="J131">
        <v>500</v>
      </c>
      <c r="K131">
        <v>500</v>
      </c>
      <c r="N131" s="11" t="s">
        <v>551</v>
      </c>
      <c r="O131" s="11" t="s">
        <v>14</v>
      </c>
      <c r="P131" s="11">
        <f>K129/J129</f>
        <v>3</v>
      </c>
      <c r="Q131" s="11">
        <v>150</v>
      </c>
      <c r="R131" s="11">
        <v>150</v>
      </c>
    </row>
    <row r="132" spans="2:18" x14ac:dyDescent="0.35">
      <c r="B132">
        <v>129</v>
      </c>
      <c r="C132" s="1">
        <v>45039</v>
      </c>
      <c r="D132" t="s">
        <v>142</v>
      </c>
      <c r="E132" t="s">
        <v>13</v>
      </c>
      <c r="F132">
        <v>21</v>
      </c>
      <c r="G132" t="str">
        <f>IF(Table14[[#This Row],[Age]]&lt;=25,"Young",IF(Table14[[#This Row],[Age]]&gt;55,"Old",IF(Table14[[#This Row],[Age]]&gt;25,"Middle","Na")))</f>
        <v>Young</v>
      </c>
      <c r="H132" t="s">
        <v>11</v>
      </c>
      <c r="I132">
        <v>2</v>
      </c>
      <c r="J132">
        <v>300</v>
      </c>
      <c r="K132">
        <v>600</v>
      </c>
      <c r="N132" s="11" t="s">
        <v>567</v>
      </c>
      <c r="O132" s="11" t="s">
        <v>11</v>
      </c>
      <c r="P132" s="11">
        <f>K130/J130</f>
        <v>2</v>
      </c>
      <c r="Q132" s="11">
        <v>150</v>
      </c>
      <c r="R132" s="11">
        <v>150</v>
      </c>
    </row>
    <row r="133" spans="2:18" x14ac:dyDescent="0.35">
      <c r="B133">
        <v>130</v>
      </c>
      <c r="C133" s="1">
        <v>44997</v>
      </c>
      <c r="D133" t="s">
        <v>143</v>
      </c>
      <c r="E133" t="s">
        <v>13</v>
      </c>
      <c r="F133">
        <v>57</v>
      </c>
      <c r="G133" t="str">
        <f>IF(Table14[[#This Row],[Age]]&lt;=25,"Young",IF(Table14[[#This Row],[Age]]&gt;55,"Old",IF(Table14[[#This Row],[Age]]&gt;25,"Middle","Na")))</f>
        <v>Old</v>
      </c>
      <c r="H133" t="s">
        <v>14</v>
      </c>
      <c r="I133">
        <v>1</v>
      </c>
      <c r="J133">
        <v>500</v>
      </c>
      <c r="K133">
        <v>500</v>
      </c>
      <c r="N133" s="11" t="s">
        <v>589</v>
      </c>
      <c r="O133" s="11" t="s">
        <v>11</v>
      </c>
      <c r="P133" s="11">
        <f>K131/J131</f>
        <v>1</v>
      </c>
      <c r="Q133" s="11">
        <v>150</v>
      </c>
      <c r="R133" s="11">
        <v>150</v>
      </c>
    </row>
    <row r="134" spans="2:18" x14ac:dyDescent="0.35">
      <c r="B134">
        <v>131</v>
      </c>
      <c r="C134" s="1">
        <v>45187</v>
      </c>
      <c r="D134" t="s">
        <v>144</v>
      </c>
      <c r="E134" t="s">
        <v>13</v>
      </c>
      <c r="F134">
        <v>21</v>
      </c>
      <c r="G134" t="str">
        <f>IF(Table14[[#This Row],[Age]]&lt;=25,"Young",IF(Table14[[#This Row],[Age]]&gt;55,"Old",IF(Table14[[#This Row],[Age]]&gt;25,"Middle","Na")))</f>
        <v>Young</v>
      </c>
      <c r="H134" t="s">
        <v>11</v>
      </c>
      <c r="I134">
        <v>2</v>
      </c>
      <c r="J134">
        <v>300</v>
      </c>
      <c r="K134">
        <v>600</v>
      </c>
      <c r="N134" s="11" t="s">
        <v>636</v>
      </c>
      <c r="O134" s="11" t="s">
        <v>14</v>
      </c>
      <c r="P134" s="11">
        <f>K132/J132</f>
        <v>2</v>
      </c>
      <c r="Q134" s="11">
        <v>150</v>
      </c>
      <c r="R134" s="11">
        <v>150</v>
      </c>
    </row>
    <row r="135" spans="2:18" x14ac:dyDescent="0.35">
      <c r="B135">
        <v>132</v>
      </c>
      <c r="C135" s="1">
        <v>45179</v>
      </c>
      <c r="D135" t="s">
        <v>145</v>
      </c>
      <c r="E135" t="s">
        <v>10</v>
      </c>
      <c r="F135">
        <v>42</v>
      </c>
      <c r="G135" t="str">
        <f>IF(Table14[[#This Row],[Age]]&lt;=25,"Young",IF(Table14[[#This Row],[Age]]&gt;55,"Old",IF(Table14[[#This Row],[Age]]&gt;25,"Middle","Na")))</f>
        <v>Middle</v>
      </c>
      <c r="H135" t="s">
        <v>16</v>
      </c>
      <c r="I135">
        <v>4</v>
      </c>
      <c r="J135">
        <v>50</v>
      </c>
      <c r="K135">
        <v>200</v>
      </c>
      <c r="N135" s="11" t="s">
        <v>679</v>
      </c>
      <c r="O135" s="11" t="s">
        <v>16</v>
      </c>
      <c r="P135" s="11">
        <f>K133/J133</f>
        <v>1</v>
      </c>
      <c r="Q135" s="11">
        <v>150</v>
      </c>
      <c r="R135" s="11">
        <v>150</v>
      </c>
    </row>
    <row r="136" spans="2:18" x14ac:dyDescent="0.35">
      <c r="B136">
        <v>133</v>
      </c>
      <c r="C136" s="1">
        <v>44973</v>
      </c>
      <c r="D136" t="s">
        <v>146</v>
      </c>
      <c r="E136" t="s">
        <v>10</v>
      </c>
      <c r="F136">
        <v>20</v>
      </c>
      <c r="G136" t="str">
        <f>IF(Table14[[#This Row],[Age]]&lt;=25,"Young",IF(Table14[[#This Row],[Age]]&gt;55,"Old",IF(Table14[[#This Row],[Age]]&gt;25,"Middle","Na")))</f>
        <v>Young</v>
      </c>
      <c r="H136" t="s">
        <v>16</v>
      </c>
      <c r="I136">
        <v>3</v>
      </c>
      <c r="J136">
        <v>300</v>
      </c>
      <c r="K136">
        <v>900</v>
      </c>
      <c r="N136" s="11" t="s">
        <v>708</v>
      </c>
      <c r="O136" s="11" t="s">
        <v>16</v>
      </c>
      <c r="P136" s="11">
        <f>K134/J134</f>
        <v>2</v>
      </c>
      <c r="Q136" s="11">
        <v>150</v>
      </c>
      <c r="R136" s="11">
        <v>150</v>
      </c>
    </row>
    <row r="137" spans="2:18" x14ac:dyDescent="0.35">
      <c r="B137">
        <v>134</v>
      </c>
      <c r="C137" s="1">
        <v>44951</v>
      </c>
      <c r="D137" t="s">
        <v>147</v>
      </c>
      <c r="E137" t="s">
        <v>10</v>
      </c>
      <c r="F137">
        <v>49</v>
      </c>
      <c r="G137" t="str">
        <f>IF(Table14[[#This Row],[Age]]&lt;=25,"Young",IF(Table14[[#This Row],[Age]]&gt;55,"Old",IF(Table14[[#This Row],[Age]]&gt;25,"Middle","Na")))</f>
        <v>Middle</v>
      </c>
      <c r="H137" t="s">
        <v>16</v>
      </c>
      <c r="I137">
        <v>1</v>
      </c>
      <c r="J137">
        <v>50</v>
      </c>
      <c r="K137">
        <v>50</v>
      </c>
      <c r="N137" s="11" t="s">
        <v>826</v>
      </c>
      <c r="O137" s="11" t="s">
        <v>16</v>
      </c>
      <c r="P137" s="11">
        <f>K135/J135</f>
        <v>4</v>
      </c>
      <c r="Q137" s="11">
        <v>150</v>
      </c>
      <c r="R137" s="11">
        <v>150</v>
      </c>
    </row>
    <row r="138" spans="2:18" x14ac:dyDescent="0.35">
      <c r="B138">
        <v>135</v>
      </c>
      <c r="C138" s="1">
        <v>44983</v>
      </c>
      <c r="D138" t="s">
        <v>148</v>
      </c>
      <c r="E138" t="s">
        <v>10</v>
      </c>
      <c r="F138">
        <v>20</v>
      </c>
      <c r="G138" t="str">
        <f>IF(Table14[[#This Row],[Age]]&lt;=25,"Young",IF(Table14[[#This Row],[Age]]&gt;55,"Old",IF(Table14[[#This Row],[Age]]&gt;25,"Middle","Na")))</f>
        <v>Young</v>
      </c>
      <c r="H138" t="s">
        <v>14</v>
      </c>
      <c r="I138">
        <v>2</v>
      </c>
      <c r="J138">
        <v>25</v>
      </c>
      <c r="K138">
        <v>50</v>
      </c>
      <c r="N138" s="11" t="s">
        <v>843</v>
      </c>
      <c r="O138" s="11" t="s">
        <v>14</v>
      </c>
      <c r="P138" s="11">
        <f>K136/J136</f>
        <v>3</v>
      </c>
      <c r="Q138" s="11">
        <v>150</v>
      </c>
      <c r="R138" s="11">
        <v>150</v>
      </c>
    </row>
    <row r="139" spans="2:18" x14ac:dyDescent="0.35">
      <c r="B139">
        <v>136</v>
      </c>
      <c r="C139" s="1">
        <v>45005</v>
      </c>
      <c r="D139" t="s">
        <v>149</v>
      </c>
      <c r="E139" t="s">
        <v>10</v>
      </c>
      <c r="F139">
        <v>44</v>
      </c>
      <c r="G139" t="str">
        <f>IF(Table14[[#This Row],[Age]]&lt;=25,"Young",IF(Table14[[#This Row],[Age]]&gt;55,"Old",IF(Table14[[#This Row],[Age]]&gt;25,"Middle","Na")))</f>
        <v>Middle</v>
      </c>
      <c r="H139" t="s">
        <v>16</v>
      </c>
      <c r="I139">
        <v>2</v>
      </c>
      <c r="J139">
        <v>300</v>
      </c>
      <c r="K139">
        <v>600</v>
      </c>
      <c r="N139" s="11" t="s">
        <v>925</v>
      </c>
      <c r="O139" s="11" t="s">
        <v>11</v>
      </c>
      <c r="P139" s="11">
        <f>K137/J137</f>
        <v>1</v>
      </c>
      <c r="Q139" s="11">
        <v>150</v>
      </c>
      <c r="R139" s="11">
        <v>150</v>
      </c>
    </row>
    <row r="140" spans="2:18" x14ac:dyDescent="0.35">
      <c r="B140">
        <v>137</v>
      </c>
      <c r="C140" s="1">
        <v>45248</v>
      </c>
      <c r="D140" t="s">
        <v>150</v>
      </c>
      <c r="E140" t="s">
        <v>10</v>
      </c>
      <c r="F140">
        <v>46</v>
      </c>
      <c r="G140" t="str">
        <f>IF(Table14[[#This Row],[Age]]&lt;=25,"Young",IF(Table14[[#This Row],[Age]]&gt;55,"Old",IF(Table14[[#This Row],[Age]]&gt;25,"Middle","Na")))</f>
        <v>Middle</v>
      </c>
      <c r="H140" t="s">
        <v>11</v>
      </c>
      <c r="I140">
        <v>2</v>
      </c>
      <c r="J140">
        <v>500</v>
      </c>
      <c r="K140">
        <v>1000</v>
      </c>
      <c r="N140" s="11" t="s">
        <v>991</v>
      </c>
      <c r="O140" s="11" t="s">
        <v>14</v>
      </c>
      <c r="P140" s="11">
        <f>K138/J138</f>
        <v>2</v>
      </c>
      <c r="Q140" s="11">
        <v>150</v>
      </c>
      <c r="R140" s="11">
        <v>150</v>
      </c>
    </row>
    <row r="141" spans="2:18" x14ac:dyDescent="0.35">
      <c r="B141">
        <v>138</v>
      </c>
      <c r="C141" s="1">
        <v>45008</v>
      </c>
      <c r="D141" t="s">
        <v>151</v>
      </c>
      <c r="E141" t="s">
        <v>10</v>
      </c>
      <c r="F141">
        <v>49</v>
      </c>
      <c r="G141" t="str">
        <f>IF(Table14[[#This Row],[Age]]&lt;=25,"Young",IF(Table14[[#This Row],[Age]]&gt;55,"Old",IF(Table14[[#This Row],[Age]]&gt;25,"Middle","Na")))</f>
        <v>Middle</v>
      </c>
      <c r="H141" t="s">
        <v>14</v>
      </c>
      <c r="I141">
        <v>4</v>
      </c>
      <c r="J141">
        <v>50</v>
      </c>
      <c r="K141">
        <v>200</v>
      </c>
      <c r="N141" s="11" t="s">
        <v>1012</v>
      </c>
      <c r="O141" s="11" t="s">
        <v>16</v>
      </c>
      <c r="P141" s="11">
        <f>K139/J139</f>
        <v>2</v>
      </c>
      <c r="Q141" s="11">
        <v>150</v>
      </c>
      <c r="R141" s="11">
        <v>150</v>
      </c>
    </row>
    <row r="142" spans="2:18" x14ac:dyDescent="0.35">
      <c r="B142">
        <v>139</v>
      </c>
      <c r="C142" s="1">
        <v>45275</v>
      </c>
      <c r="D142" t="s">
        <v>152</v>
      </c>
      <c r="E142" t="s">
        <v>10</v>
      </c>
      <c r="F142">
        <v>36</v>
      </c>
      <c r="G142" t="str">
        <f>IF(Table14[[#This Row],[Age]]&lt;=25,"Young",IF(Table14[[#This Row],[Age]]&gt;55,"Old",IF(Table14[[#This Row],[Age]]&gt;25,"Middle","Na")))</f>
        <v>Middle</v>
      </c>
      <c r="H142" t="s">
        <v>11</v>
      </c>
      <c r="I142">
        <v>4</v>
      </c>
      <c r="J142">
        <v>500</v>
      </c>
      <c r="K142">
        <v>2000</v>
      </c>
      <c r="N142" s="11" t="s">
        <v>52</v>
      </c>
      <c r="O142" s="11" t="s">
        <v>14</v>
      </c>
      <c r="P142" s="11">
        <f>K140/J140</f>
        <v>2</v>
      </c>
      <c r="Q142" s="11">
        <v>120</v>
      </c>
      <c r="R142" s="11">
        <v>120</v>
      </c>
    </row>
    <row r="143" spans="2:18" x14ac:dyDescent="0.35">
      <c r="B143">
        <v>140</v>
      </c>
      <c r="C143" s="1">
        <v>45143</v>
      </c>
      <c r="D143" t="s">
        <v>153</v>
      </c>
      <c r="E143" t="s">
        <v>10</v>
      </c>
      <c r="F143">
        <v>38</v>
      </c>
      <c r="G143" t="str">
        <f>IF(Table14[[#This Row],[Age]]&lt;=25,"Young",IF(Table14[[#This Row],[Age]]&gt;55,"Old",IF(Table14[[#This Row],[Age]]&gt;25,"Middle","Na")))</f>
        <v>Middle</v>
      </c>
      <c r="H143" t="s">
        <v>16</v>
      </c>
      <c r="I143">
        <v>1</v>
      </c>
      <c r="J143">
        <v>30</v>
      </c>
      <c r="K143">
        <v>30</v>
      </c>
      <c r="N143" s="11" t="s">
        <v>235</v>
      </c>
      <c r="O143" s="11" t="s">
        <v>14</v>
      </c>
      <c r="P143" s="11">
        <f>K141/J141</f>
        <v>4</v>
      </c>
      <c r="Q143" s="11">
        <v>120</v>
      </c>
      <c r="R143" s="11">
        <v>120</v>
      </c>
    </row>
    <row r="144" spans="2:18" x14ac:dyDescent="0.35">
      <c r="B144">
        <v>141</v>
      </c>
      <c r="C144" s="1">
        <v>45232</v>
      </c>
      <c r="D144" t="s">
        <v>154</v>
      </c>
      <c r="E144" t="s">
        <v>13</v>
      </c>
      <c r="F144">
        <v>22</v>
      </c>
      <c r="G144" t="str">
        <f>IF(Table14[[#This Row],[Age]]&lt;=25,"Young",IF(Table14[[#This Row],[Age]]&gt;55,"Old",IF(Table14[[#This Row],[Age]]&gt;25,"Middle","Na")))</f>
        <v>Young</v>
      </c>
      <c r="H144" t="s">
        <v>16</v>
      </c>
      <c r="I144">
        <v>1</v>
      </c>
      <c r="J144">
        <v>50</v>
      </c>
      <c r="K144">
        <v>50</v>
      </c>
      <c r="N144" s="11" t="s">
        <v>301</v>
      </c>
      <c r="O144" s="11" t="s">
        <v>14</v>
      </c>
      <c r="P144" s="11">
        <f>K142/J142</f>
        <v>4</v>
      </c>
      <c r="Q144" s="11">
        <v>120</v>
      </c>
      <c r="R144" s="11">
        <v>120</v>
      </c>
    </row>
    <row r="145" spans="2:18" x14ac:dyDescent="0.35">
      <c r="B145">
        <v>142</v>
      </c>
      <c r="C145" s="1">
        <v>44959</v>
      </c>
      <c r="D145" t="s">
        <v>155</v>
      </c>
      <c r="E145" t="s">
        <v>10</v>
      </c>
      <c r="F145">
        <v>35</v>
      </c>
      <c r="G145" t="str">
        <f>IF(Table14[[#This Row],[Age]]&lt;=25,"Young",IF(Table14[[#This Row],[Age]]&gt;55,"Old",IF(Table14[[#This Row],[Age]]&gt;25,"Middle","Na")))</f>
        <v>Middle</v>
      </c>
      <c r="H145" t="s">
        <v>16</v>
      </c>
      <c r="I145">
        <v>4</v>
      </c>
      <c r="J145">
        <v>300</v>
      </c>
      <c r="K145">
        <v>1200</v>
      </c>
      <c r="N145" s="11" t="s">
        <v>327</v>
      </c>
      <c r="O145" s="11" t="s">
        <v>14</v>
      </c>
      <c r="P145" s="11">
        <f>K143/J143</f>
        <v>1</v>
      </c>
      <c r="Q145" s="11">
        <v>120</v>
      </c>
      <c r="R145" s="11">
        <v>120</v>
      </c>
    </row>
    <row r="146" spans="2:18" x14ac:dyDescent="0.35">
      <c r="B146">
        <v>143</v>
      </c>
      <c r="C146" s="1">
        <v>45124</v>
      </c>
      <c r="D146" t="s">
        <v>156</v>
      </c>
      <c r="E146" t="s">
        <v>13</v>
      </c>
      <c r="F146">
        <v>45</v>
      </c>
      <c r="G146" t="str">
        <f>IF(Table14[[#This Row],[Age]]&lt;=25,"Young",IF(Table14[[#This Row],[Age]]&gt;55,"Old",IF(Table14[[#This Row],[Age]]&gt;25,"Middle","Na")))</f>
        <v>Middle</v>
      </c>
      <c r="H146" t="s">
        <v>14</v>
      </c>
      <c r="I146">
        <v>1</v>
      </c>
      <c r="J146">
        <v>50</v>
      </c>
      <c r="K146">
        <v>50</v>
      </c>
      <c r="N146" s="11" t="s">
        <v>348</v>
      </c>
      <c r="O146" s="11" t="s">
        <v>11</v>
      </c>
      <c r="P146" s="11">
        <f>K144/J144</f>
        <v>1</v>
      </c>
      <c r="Q146" s="11">
        <v>120</v>
      </c>
      <c r="R146" s="11">
        <v>120</v>
      </c>
    </row>
    <row r="147" spans="2:18" x14ac:dyDescent="0.35">
      <c r="B147">
        <v>144</v>
      </c>
      <c r="C147" s="1">
        <v>45122</v>
      </c>
      <c r="D147" t="s">
        <v>157</v>
      </c>
      <c r="E147" t="s">
        <v>13</v>
      </c>
      <c r="F147">
        <v>59</v>
      </c>
      <c r="G147" t="str">
        <f>IF(Table14[[#This Row],[Age]]&lt;=25,"Young",IF(Table14[[#This Row],[Age]]&gt;55,"Old",IF(Table14[[#This Row],[Age]]&gt;25,"Middle","Na")))</f>
        <v>Old</v>
      </c>
      <c r="H147" t="s">
        <v>11</v>
      </c>
      <c r="I147">
        <v>3</v>
      </c>
      <c r="J147">
        <v>500</v>
      </c>
      <c r="K147">
        <v>1500</v>
      </c>
      <c r="N147" s="11" t="s">
        <v>449</v>
      </c>
      <c r="O147" s="11" t="s">
        <v>14</v>
      </c>
      <c r="P147" s="11">
        <f>K145/J145</f>
        <v>4</v>
      </c>
      <c r="Q147" s="11">
        <v>120</v>
      </c>
      <c r="R147" s="11">
        <v>120</v>
      </c>
    </row>
    <row r="148" spans="2:18" x14ac:dyDescent="0.35">
      <c r="B148">
        <v>145</v>
      </c>
      <c r="C148" s="1">
        <v>45232</v>
      </c>
      <c r="D148" t="s">
        <v>158</v>
      </c>
      <c r="E148" t="s">
        <v>13</v>
      </c>
      <c r="F148">
        <v>39</v>
      </c>
      <c r="G148" t="str">
        <f>IF(Table14[[#This Row],[Age]]&lt;=25,"Young",IF(Table14[[#This Row],[Age]]&gt;55,"Old",IF(Table14[[#This Row],[Age]]&gt;25,"Middle","Na")))</f>
        <v>Middle</v>
      </c>
      <c r="H148" t="s">
        <v>14</v>
      </c>
      <c r="I148">
        <v>3</v>
      </c>
      <c r="J148">
        <v>25</v>
      </c>
      <c r="K148">
        <v>75</v>
      </c>
      <c r="N148" s="11" t="s">
        <v>490</v>
      </c>
      <c r="O148" s="11" t="s">
        <v>14</v>
      </c>
      <c r="P148" s="11">
        <f>K146/J146</f>
        <v>1</v>
      </c>
      <c r="Q148" s="11">
        <v>120</v>
      </c>
      <c r="R148" s="11">
        <v>120</v>
      </c>
    </row>
    <row r="149" spans="2:18" x14ac:dyDescent="0.35">
      <c r="B149">
        <v>146</v>
      </c>
      <c r="C149" s="1">
        <v>45166</v>
      </c>
      <c r="D149" t="s">
        <v>159</v>
      </c>
      <c r="E149" t="s">
        <v>10</v>
      </c>
      <c r="F149">
        <v>38</v>
      </c>
      <c r="G149" t="str">
        <f>IF(Table14[[#This Row],[Age]]&lt;=25,"Young",IF(Table14[[#This Row],[Age]]&gt;55,"Old",IF(Table14[[#This Row],[Age]]&gt;25,"Middle","Na")))</f>
        <v>Middle</v>
      </c>
      <c r="H149" t="s">
        <v>14</v>
      </c>
      <c r="I149">
        <v>4</v>
      </c>
      <c r="J149">
        <v>50</v>
      </c>
      <c r="K149">
        <v>200</v>
      </c>
      <c r="N149" s="11" t="s">
        <v>510</v>
      </c>
      <c r="O149" s="11" t="s">
        <v>14</v>
      </c>
      <c r="P149" s="11">
        <f>K147/J147</f>
        <v>3</v>
      </c>
      <c r="Q149" s="11">
        <v>120</v>
      </c>
      <c r="R149" s="11">
        <v>120</v>
      </c>
    </row>
    <row r="150" spans="2:18" x14ac:dyDescent="0.35">
      <c r="B150">
        <v>147</v>
      </c>
      <c r="C150" s="1">
        <v>45197</v>
      </c>
      <c r="D150" t="s">
        <v>160</v>
      </c>
      <c r="E150" t="s">
        <v>10</v>
      </c>
      <c r="F150">
        <v>23</v>
      </c>
      <c r="G150" t="str">
        <f>IF(Table14[[#This Row],[Age]]&lt;=25,"Young",IF(Table14[[#This Row],[Age]]&gt;55,"Old",IF(Table14[[#This Row],[Age]]&gt;25,"Middle","Na")))</f>
        <v>Young</v>
      </c>
      <c r="H150" t="s">
        <v>16</v>
      </c>
      <c r="I150">
        <v>1</v>
      </c>
      <c r="J150">
        <v>300</v>
      </c>
      <c r="K150">
        <v>300</v>
      </c>
      <c r="N150" s="11" t="s">
        <v>543</v>
      </c>
      <c r="O150" s="11" t="s">
        <v>16</v>
      </c>
      <c r="P150" s="11">
        <f>K148/J148</f>
        <v>3</v>
      </c>
      <c r="Q150" s="11">
        <v>120</v>
      </c>
      <c r="R150" s="11">
        <v>120</v>
      </c>
    </row>
    <row r="151" spans="2:18" x14ac:dyDescent="0.35">
      <c r="B151">
        <v>148</v>
      </c>
      <c r="C151" s="1">
        <v>45055</v>
      </c>
      <c r="D151" t="s">
        <v>161</v>
      </c>
      <c r="E151" t="s">
        <v>10</v>
      </c>
      <c r="F151">
        <v>18</v>
      </c>
      <c r="G151" t="str">
        <f>IF(Table14[[#This Row],[Age]]&lt;=25,"Young",IF(Table14[[#This Row],[Age]]&gt;55,"Old",IF(Table14[[#This Row],[Age]]&gt;25,"Middle","Na")))</f>
        <v>Young</v>
      </c>
      <c r="H151" t="s">
        <v>14</v>
      </c>
      <c r="I151">
        <v>2</v>
      </c>
      <c r="J151">
        <v>30</v>
      </c>
      <c r="K151">
        <v>60</v>
      </c>
      <c r="N151" s="11" t="s">
        <v>653</v>
      </c>
      <c r="O151" s="11" t="s">
        <v>16</v>
      </c>
      <c r="P151" s="11">
        <f>K149/J149</f>
        <v>4</v>
      </c>
      <c r="Q151" s="11">
        <v>120</v>
      </c>
      <c r="R151" s="11">
        <v>120</v>
      </c>
    </row>
    <row r="152" spans="2:18" x14ac:dyDescent="0.35">
      <c r="B152">
        <v>149</v>
      </c>
      <c r="C152" s="1">
        <v>45210</v>
      </c>
      <c r="D152" t="s">
        <v>162</v>
      </c>
      <c r="E152" t="s">
        <v>10</v>
      </c>
      <c r="F152">
        <v>22</v>
      </c>
      <c r="G152" t="str">
        <f>IF(Table14[[#This Row],[Age]]&lt;=25,"Young",IF(Table14[[#This Row],[Age]]&gt;55,"Old",IF(Table14[[#This Row],[Age]]&gt;25,"Middle","Na")))</f>
        <v>Young</v>
      </c>
      <c r="H152" t="s">
        <v>14</v>
      </c>
      <c r="I152">
        <v>3</v>
      </c>
      <c r="J152">
        <v>25</v>
      </c>
      <c r="K152">
        <v>75</v>
      </c>
      <c r="N152" s="11" t="s">
        <v>712</v>
      </c>
      <c r="O152" s="11" t="s">
        <v>14</v>
      </c>
      <c r="P152" s="11">
        <f>K150/J150</f>
        <v>1</v>
      </c>
      <c r="Q152" s="11">
        <v>120</v>
      </c>
      <c r="R152" s="11">
        <v>120</v>
      </c>
    </row>
    <row r="153" spans="2:18" x14ac:dyDescent="0.35">
      <c r="B153">
        <v>150</v>
      </c>
      <c r="C153" s="1">
        <v>44932</v>
      </c>
      <c r="D153" t="s">
        <v>163</v>
      </c>
      <c r="E153" t="s">
        <v>13</v>
      </c>
      <c r="F153">
        <v>58</v>
      </c>
      <c r="G153" t="str">
        <f>IF(Table14[[#This Row],[Age]]&lt;=25,"Young",IF(Table14[[#This Row],[Age]]&gt;55,"Old",IF(Table14[[#This Row],[Age]]&gt;25,"Middle","Na")))</f>
        <v>Old</v>
      </c>
      <c r="H153" t="s">
        <v>16</v>
      </c>
      <c r="I153">
        <v>4</v>
      </c>
      <c r="J153">
        <v>30</v>
      </c>
      <c r="K153">
        <v>120</v>
      </c>
      <c r="N153" s="11" t="s">
        <v>869</v>
      </c>
      <c r="O153" s="11" t="s">
        <v>16</v>
      </c>
      <c r="P153" s="11">
        <f>K151/J151</f>
        <v>2</v>
      </c>
      <c r="Q153" s="11">
        <v>120</v>
      </c>
      <c r="R153" s="11">
        <v>120</v>
      </c>
    </row>
    <row r="154" spans="2:18" x14ac:dyDescent="0.35">
      <c r="B154">
        <v>151</v>
      </c>
      <c r="C154" s="1">
        <v>45275</v>
      </c>
      <c r="D154" t="s">
        <v>164</v>
      </c>
      <c r="E154" t="s">
        <v>10</v>
      </c>
      <c r="F154">
        <v>29</v>
      </c>
      <c r="G154" t="str">
        <f>IF(Table14[[#This Row],[Age]]&lt;=25,"Young",IF(Table14[[#This Row],[Age]]&gt;55,"Old",IF(Table14[[#This Row],[Age]]&gt;25,"Middle","Na")))</f>
        <v>Middle</v>
      </c>
      <c r="H154" t="s">
        <v>14</v>
      </c>
      <c r="I154">
        <v>1</v>
      </c>
      <c r="J154">
        <v>50</v>
      </c>
      <c r="K154">
        <v>50</v>
      </c>
      <c r="N154" s="11" t="s">
        <v>77</v>
      </c>
      <c r="O154" s="11" t="s">
        <v>14</v>
      </c>
      <c r="P154" s="11">
        <f>K152/J152</f>
        <v>3</v>
      </c>
      <c r="Q154" s="11">
        <v>100</v>
      </c>
      <c r="R154" s="11">
        <v>100</v>
      </c>
    </row>
    <row r="155" spans="2:18" x14ac:dyDescent="0.35">
      <c r="B155">
        <v>152</v>
      </c>
      <c r="C155" s="1">
        <v>44985</v>
      </c>
      <c r="D155" t="s">
        <v>165</v>
      </c>
      <c r="E155" t="s">
        <v>10</v>
      </c>
      <c r="F155">
        <v>43</v>
      </c>
      <c r="G155" t="str">
        <f>IF(Table14[[#This Row],[Age]]&lt;=25,"Young",IF(Table14[[#This Row],[Age]]&gt;55,"Old",IF(Table14[[#This Row],[Age]]&gt;25,"Middle","Na")))</f>
        <v>Middle</v>
      </c>
      <c r="H155" t="s">
        <v>16</v>
      </c>
      <c r="I155">
        <v>4</v>
      </c>
      <c r="J155">
        <v>500</v>
      </c>
      <c r="K155">
        <v>2000</v>
      </c>
      <c r="N155" s="11" t="s">
        <v>84</v>
      </c>
      <c r="O155" s="11" t="s">
        <v>11</v>
      </c>
      <c r="P155" s="11">
        <f>K153/J153</f>
        <v>4</v>
      </c>
      <c r="Q155" s="11">
        <v>100</v>
      </c>
      <c r="R155" s="11">
        <v>100</v>
      </c>
    </row>
    <row r="156" spans="2:18" x14ac:dyDescent="0.35">
      <c r="B156">
        <v>153</v>
      </c>
      <c r="C156" s="1">
        <v>45276</v>
      </c>
      <c r="D156" t="s">
        <v>166</v>
      </c>
      <c r="E156" t="s">
        <v>10</v>
      </c>
      <c r="F156">
        <v>63</v>
      </c>
      <c r="G156" t="str">
        <f>IF(Table14[[#This Row],[Age]]&lt;=25,"Young",IF(Table14[[#This Row],[Age]]&gt;55,"Old",IF(Table14[[#This Row],[Age]]&gt;25,"Middle","Na")))</f>
        <v>Old</v>
      </c>
      <c r="H156" t="s">
        <v>16</v>
      </c>
      <c r="I156">
        <v>2</v>
      </c>
      <c r="J156">
        <v>500</v>
      </c>
      <c r="K156">
        <v>1000</v>
      </c>
      <c r="N156" s="11" t="s">
        <v>290</v>
      </c>
      <c r="O156" s="11" t="s">
        <v>14</v>
      </c>
      <c r="P156" s="11">
        <f>K154/J154</f>
        <v>1</v>
      </c>
      <c r="Q156" s="11">
        <v>100</v>
      </c>
      <c r="R156" s="11">
        <v>100</v>
      </c>
    </row>
    <row r="157" spans="2:18" x14ac:dyDescent="0.35">
      <c r="B157">
        <v>154</v>
      </c>
      <c r="C157" s="1">
        <v>45201</v>
      </c>
      <c r="D157" t="s">
        <v>167</v>
      </c>
      <c r="E157" t="s">
        <v>10</v>
      </c>
      <c r="F157">
        <v>51</v>
      </c>
      <c r="G157" t="str">
        <f>IF(Table14[[#This Row],[Age]]&lt;=25,"Young",IF(Table14[[#This Row],[Age]]&gt;55,"Old",IF(Table14[[#This Row],[Age]]&gt;25,"Middle","Na")))</f>
        <v>Middle</v>
      </c>
      <c r="H157" t="s">
        <v>16</v>
      </c>
      <c r="I157">
        <v>3</v>
      </c>
      <c r="J157">
        <v>300</v>
      </c>
      <c r="K157">
        <v>900</v>
      </c>
      <c r="N157" s="11" t="s">
        <v>394</v>
      </c>
      <c r="O157" s="11" t="s">
        <v>14</v>
      </c>
      <c r="P157" s="11">
        <f>K155/J155</f>
        <v>4</v>
      </c>
      <c r="Q157" s="11">
        <v>100</v>
      </c>
      <c r="R157" s="11">
        <v>100</v>
      </c>
    </row>
    <row r="158" spans="2:18" x14ac:dyDescent="0.35">
      <c r="B158">
        <v>155</v>
      </c>
      <c r="C158" s="1">
        <v>45063</v>
      </c>
      <c r="D158" t="s">
        <v>168</v>
      </c>
      <c r="E158" t="s">
        <v>10</v>
      </c>
      <c r="F158">
        <v>31</v>
      </c>
      <c r="G158" t="str">
        <f>IF(Table14[[#This Row],[Age]]&lt;=25,"Young",IF(Table14[[#This Row],[Age]]&gt;55,"Old",IF(Table14[[#This Row],[Age]]&gt;25,"Middle","Na")))</f>
        <v>Middle</v>
      </c>
      <c r="H158" t="s">
        <v>16</v>
      </c>
      <c r="I158">
        <v>4</v>
      </c>
      <c r="J158">
        <v>500</v>
      </c>
      <c r="K158">
        <v>2000</v>
      </c>
      <c r="N158" s="11" t="s">
        <v>427</v>
      </c>
      <c r="O158" s="11" t="s">
        <v>11</v>
      </c>
      <c r="P158" s="11">
        <f>K156/J156</f>
        <v>2</v>
      </c>
      <c r="Q158" s="11">
        <v>100</v>
      </c>
      <c r="R158" s="11">
        <v>100</v>
      </c>
    </row>
    <row r="159" spans="2:18" x14ac:dyDescent="0.35">
      <c r="B159">
        <v>156</v>
      </c>
      <c r="C159" s="1">
        <v>45255</v>
      </c>
      <c r="D159" t="s">
        <v>169</v>
      </c>
      <c r="E159" t="s">
        <v>13</v>
      </c>
      <c r="F159">
        <v>43</v>
      </c>
      <c r="G159" t="str">
        <f>IF(Table14[[#This Row],[Age]]&lt;=25,"Young",IF(Table14[[#This Row],[Age]]&gt;55,"Old",IF(Table14[[#This Row],[Age]]&gt;25,"Middle","Na")))</f>
        <v>Middle</v>
      </c>
      <c r="H159" t="s">
        <v>14</v>
      </c>
      <c r="I159">
        <v>4</v>
      </c>
      <c r="J159">
        <v>25</v>
      </c>
      <c r="K159">
        <v>100</v>
      </c>
      <c r="N159" s="11" t="s">
        <v>526</v>
      </c>
      <c r="O159" s="11" t="s">
        <v>16</v>
      </c>
      <c r="P159" s="11">
        <f>K157/J157</f>
        <v>3</v>
      </c>
      <c r="Q159" s="11">
        <v>100</v>
      </c>
      <c r="R159" s="11">
        <v>100</v>
      </c>
    </row>
    <row r="160" spans="2:18" x14ac:dyDescent="0.35">
      <c r="B160">
        <v>157</v>
      </c>
      <c r="C160" s="1">
        <v>45101</v>
      </c>
      <c r="D160" t="s">
        <v>170</v>
      </c>
      <c r="E160" t="s">
        <v>10</v>
      </c>
      <c r="F160">
        <v>62</v>
      </c>
      <c r="G160" t="str">
        <f>IF(Table14[[#This Row],[Age]]&lt;=25,"Young",IF(Table14[[#This Row],[Age]]&gt;55,"Old",IF(Table14[[#This Row],[Age]]&gt;25,"Middle","Na")))</f>
        <v>Old</v>
      </c>
      <c r="H160" t="s">
        <v>16</v>
      </c>
      <c r="I160">
        <v>4</v>
      </c>
      <c r="J160">
        <v>500</v>
      </c>
      <c r="K160">
        <v>2000</v>
      </c>
      <c r="N160" s="11" t="s">
        <v>533</v>
      </c>
      <c r="O160" s="11" t="s">
        <v>16</v>
      </c>
      <c r="P160" s="11">
        <f>K158/J158</f>
        <v>4</v>
      </c>
      <c r="Q160" s="11">
        <v>100</v>
      </c>
      <c r="R160" s="11">
        <v>100</v>
      </c>
    </row>
    <row r="161" spans="2:18" x14ac:dyDescent="0.35">
      <c r="B161">
        <v>158</v>
      </c>
      <c r="C161" s="1">
        <v>44984</v>
      </c>
      <c r="D161" t="s">
        <v>171</v>
      </c>
      <c r="E161" t="s">
        <v>13</v>
      </c>
      <c r="F161">
        <v>44</v>
      </c>
      <c r="G161" t="str">
        <f>IF(Table14[[#This Row],[Age]]&lt;=25,"Young",IF(Table14[[#This Row],[Age]]&gt;55,"Old",IF(Table14[[#This Row],[Age]]&gt;25,"Middle","Na")))</f>
        <v>Middle</v>
      </c>
      <c r="H161" t="s">
        <v>16</v>
      </c>
      <c r="I161">
        <v>2</v>
      </c>
      <c r="J161">
        <v>300</v>
      </c>
      <c r="K161">
        <v>600</v>
      </c>
      <c r="N161" s="11" t="s">
        <v>645</v>
      </c>
      <c r="O161" s="11" t="s">
        <v>16</v>
      </c>
      <c r="P161" s="11">
        <f>K159/J159</f>
        <v>4</v>
      </c>
      <c r="Q161" s="11">
        <v>100</v>
      </c>
      <c r="R161" s="11">
        <v>100</v>
      </c>
    </row>
    <row r="162" spans="2:18" x14ac:dyDescent="0.35">
      <c r="B162">
        <v>159</v>
      </c>
      <c r="C162" s="1">
        <v>45077</v>
      </c>
      <c r="D162" t="s">
        <v>172</v>
      </c>
      <c r="E162" t="s">
        <v>10</v>
      </c>
      <c r="F162">
        <v>26</v>
      </c>
      <c r="G162" t="str">
        <f>IF(Table14[[#This Row],[Age]]&lt;=25,"Young",IF(Table14[[#This Row],[Age]]&gt;55,"Old",IF(Table14[[#This Row],[Age]]&gt;25,"Middle","Na")))</f>
        <v>Middle</v>
      </c>
      <c r="H162" t="s">
        <v>14</v>
      </c>
      <c r="I162">
        <v>4</v>
      </c>
      <c r="J162">
        <v>50</v>
      </c>
      <c r="K162">
        <v>200</v>
      </c>
      <c r="N162" s="11" t="s">
        <v>655</v>
      </c>
      <c r="O162" s="11" t="s">
        <v>14</v>
      </c>
      <c r="P162" s="11">
        <f>K160/J160</f>
        <v>4</v>
      </c>
      <c r="Q162" s="11">
        <v>100</v>
      </c>
      <c r="R162" s="11">
        <v>100</v>
      </c>
    </row>
    <row r="163" spans="2:18" x14ac:dyDescent="0.35">
      <c r="B163">
        <v>160</v>
      </c>
      <c r="C163" s="1">
        <v>45149</v>
      </c>
      <c r="D163" t="s">
        <v>173</v>
      </c>
      <c r="E163" t="s">
        <v>13</v>
      </c>
      <c r="F163">
        <v>43</v>
      </c>
      <c r="G163" t="str">
        <f>IF(Table14[[#This Row],[Age]]&lt;=25,"Young",IF(Table14[[#This Row],[Age]]&gt;55,"Old",IF(Table14[[#This Row],[Age]]&gt;25,"Middle","Na")))</f>
        <v>Middle</v>
      </c>
      <c r="H163" t="s">
        <v>14</v>
      </c>
      <c r="I163">
        <v>2</v>
      </c>
      <c r="J163">
        <v>50</v>
      </c>
      <c r="K163">
        <v>100</v>
      </c>
      <c r="N163" s="11" t="s">
        <v>749</v>
      </c>
      <c r="O163" s="11" t="s">
        <v>14</v>
      </c>
      <c r="P163" s="11">
        <f>K161/J161</f>
        <v>2</v>
      </c>
      <c r="Q163" s="11">
        <v>100</v>
      </c>
      <c r="R163" s="11">
        <v>100</v>
      </c>
    </row>
    <row r="164" spans="2:18" x14ac:dyDescent="0.35">
      <c r="B164">
        <v>161</v>
      </c>
      <c r="C164" s="1">
        <v>45007</v>
      </c>
      <c r="D164" t="s">
        <v>174</v>
      </c>
      <c r="E164" t="s">
        <v>10</v>
      </c>
      <c r="F164">
        <v>64</v>
      </c>
      <c r="G164" t="str">
        <f>IF(Table14[[#This Row],[Age]]&lt;=25,"Young",IF(Table14[[#This Row],[Age]]&gt;55,"Old",IF(Table14[[#This Row],[Age]]&gt;25,"Middle","Na")))</f>
        <v>Old</v>
      </c>
      <c r="H164" t="s">
        <v>11</v>
      </c>
      <c r="I164">
        <v>2</v>
      </c>
      <c r="J164">
        <v>500</v>
      </c>
      <c r="K164">
        <v>1000</v>
      </c>
      <c r="N164" s="11" t="s">
        <v>767</v>
      </c>
      <c r="O164" s="11" t="s">
        <v>16</v>
      </c>
      <c r="P164" s="11">
        <f>K162/J162</f>
        <v>4</v>
      </c>
      <c r="Q164" s="11">
        <v>100</v>
      </c>
      <c r="R164" s="11">
        <v>100</v>
      </c>
    </row>
    <row r="165" spans="2:18" x14ac:dyDescent="0.35">
      <c r="B165">
        <v>162</v>
      </c>
      <c r="C165" s="1">
        <v>45159</v>
      </c>
      <c r="D165" t="s">
        <v>175</v>
      </c>
      <c r="E165" t="s">
        <v>10</v>
      </c>
      <c r="F165">
        <v>39</v>
      </c>
      <c r="G165" t="str">
        <f>IF(Table14[[#This Row],[Age]]&lt;=25,"Young",IF(Table14[[#This Row],[Age]]&gt;55,"Old",IF(Table14[[#This Row],[Age]]&gt;25,"Middle","Na")))</f>
        <v>Middle</v>
      </c>
      <c r="H165" t="s">
        <v>14</v>
      </c>
      <c r="I165">
        <v>2</v>
      </c>
      <c r="J165">
        <v>30</v>
      </c>
      <c r="K165">
        <v>60</v>
      </c>
      <c r="N165" s="11" t="s">
        <v>791</v>
      </c>
      <c r="O165" s="11" t="s">
        <v>11</v>
      </c>
      <c r="P165" s="11">
        <f>K163/J163</f>
        <v>2</v>
      </c>
      <c r="Q165" s="11">
        <v>100</v>
      </c>
      <c r="R165" s="11">
        <v>100</v>
      </c>
    </row>
    <row r="166" spans="2:18" x14ac:dyDescent="0.35">
      <c r="B166">
        <v>163</v>
      </c>
      <c r="C166" s="1">
        <v>44928</v>
      </c>
      <c r="D166" t="s">
        <v>176</v>
      </c>
      <c r="E166" t="s">
        <v>13</v>
      </c>
      <c r="F166">
        <v>64</v>
      </c>
      <c r="G166" t="str">
        <f>IF(Table14[[#This Row],[Age]]&lt;=25,"Young",IF(Table14[[#This Row],[Age]]&gt;55,"Old",IF(Table14[[#This Row],[Age]]&gt;25,"Middle","Na")))</f>
        <v>Old</v>
      </c>
      <c r="H166" t="s">
        <v>14</v>
      </c>
      <c r="I166">
        <v>3</v>
      </c>
      <c r="J166">
        <v>50</v>
      </c>
      <c r="K166">
        <v>150</v>
      </c>
      <c r="N166" s="11" t="s">
        <v>844</v>
      </c>
      <c r="O166" s="11" t="s">
        <v>16</v>
      </c>
      <c r="P166" s="11">
        <f>K164/J164</f>
        <v>2</v>
      </c>
      <c r="Q166" s="11">
        <v>100</v>
      </c>
      <c r="R166" s="11">
        <v>100</v>
      </c>
    </row>
    <row r="167" spans="2:18" x14ac:dyDescent="0.35">
      <c r="B167">
        <v>164</v>
      </c>
      <c r="C167" s="1">
        <v>45061</v>
      </c>
      <c r="D167" t="s">
        <v>177</v>
      </c>
      <c r="E167" t="s">
        <v>13</v>
      </c>
      <c r="F167">
        <v>47</v>
      </c>
      <c r="G167" t="str">
        <f>IF(Table14[[#This Row],[Age]]&lt;=25,"Young",IF(Table14[[#This Row],[Age]]&gt;55,"Old",IF(Table14[[#This Row],[Age]]&gt;25,"Middle","Na")))</f>
        <v>Middle</v>
      </c>
      <c r="H167" t="s">
        <v>11</v>
      </c>
      <c r="I167">
        <v>3</v>
      </c>
      <c r="J167">
        <v>500</v>
      </c>
      <c r="K167">
        <v>1500</v>
      </c>
      <c r="N167" s="11" t="s">
        <v>854</v>
      </c>
      <c r="O167" s="11" t="s">
        <v>16</v>
      </c>
      <c r="P167" s="11">
        <f>K165/J165</f>
        <v>2</v>
      </c>
      <c r="Q167" s="11">
        <v>100</v>
      </c>
      <c r="R167" s="11">
        <v>100</v>
      </c>
    </row>
    <row r="168" spans="2:18" x14ac:dyDescent="0.35">
      <c r="B168">
        <v>165</v>
      </c>
      <c r="C168" s="1">
        <v>45183</v>
      </c>
      <c r="D168" t="s">
        <v>178</v>
      </c>
      <c r="E168" t="s">
        <v>13</v>
      </c>
      <c r="F168">
        <v>60</v>
      </c>
      <c r="G168" t="str">
        <f>IF(Table14[[#This Row],[Age]]&lt;=25,"Young",IF(Table14[[#This Row],[Age]]&gt;55,"Old",IF(Table14[[#This Row],[Age]]&gt;25,"Middle","Na")))</f>
        <v>Old</v>
      </c>
      <c r="H168" t="s">
        <v>14</v>
      </c>
      <c r="I168">
        <v>4</v>
      </c>
      <c r="J168">
        <v>300</v>
      </c>
      <c r="K168">
        <v>1200</v>
      </c>
      <c r="N168" s="11" t="s">
        <v>901</v>
      </c>
      <c r="O168" s="11" t="s">
        <v>16</v>
      </c>
      <c r="P168" s="11">
        <f>K166/J166</f>
        <v>3</v>
      </c>
      <c r="Q168" s="11">
        <v>100</v>
      </c>
      <c r="R168" s="11">
        <v>100</v>
      </c>
    </row>
    <row r="169" spans="2:18" x14ac:dyDescent="0.35">
      <c r="B169">
        <v>166</v>
      </c>
      <c r="C169" s="1">
        <v>45018</v>
      </c>
      <c r="D169" t="s">
        <v>179</v>
      </c>
      <c r="E169" t="s">
        <v>10</v>
      </c>
      <c r="F169">
        <v>34</v>
      </c>
      <c r="G169" t="str">
        <f>IF(Table14[[#This Row],[Age]]&lt;=25,"Young",IF(Table14[[#This Row],[Age]]&gt;55,"Old",IF(Table14[[#This Row],[Age]]&gt;25,"Middle","Na")))</f>
        <v>Middle</v>
      </c>
      <c r="H169" t="s">
        <v>14</v>
      </c>
      <c r="I169">
        <v>4</v>
      </c>
      <c r="J169">
        <v>500</v>
      </c>
      <c r="K169">
        <v>2000</v>
      </c>
      <c r="N169" s="11" t="s">
        <v>985</v>
      </c>
      <c r="O169" s="11" t="s">
        <v>11</v>
      </c>
      <c r="P169" s="11">
        <f>K167/J167</f>
        <v>3</v>
      </c>
      <c r="Q169" s="11">
        <v>100</v>
      </c>
      <c r="R169" s="11">
        <v>100</v>
      </c>
    </row>
    <row r="170" spans="2:18" x14ac:dyDescent="0.35">
      <c r="B170">
        <v>167</v>
      </c>
      <c r="C170" s="1">
        <v>45186</v>
      </c>
      <c r="D170" t="s">
        <v>180</v>
      </c>
      <c r="E170" t="s">
        <v>13</v>
      </c>
      <c r="F170">
        <v>43</v>
      </c>
      <c r="G170" t="str">
        <f>IF(Table14[[#This Row],[Age]]&lt;=25,"Young",IF(Table14[[#This Row],[Age]]&gt;55,"Old",IF(Table14[[#This Row],[Age]]&gt;25,"Middle","Na")))</f>
        <v>Middle</v>
      </c>
      <c r="H170" t="s">
        <v>14</v>
      </c>
      <c r="I170">
        <v>3</v>
      </c>
      <c r="J170">
        <v>50</v>
      </c>
      <c r="K170">
        <v>150</v>
      </c>
      <c r="N170" s="11" t="s">
        <v>1011</v>
      </c>
      <c r="O170" s="11" t="s">
        <v>11</v>
      </c>
      <c r="P170" s="11">
        <f>K168/J168</f>
        <v>4</v>
      </c>
      <c r="Q170" s="11">
        <v>100</v>
      </c>
      <c r="R170" s="11">
        <v>100</v>
      </c>
    </row>
    <row r="171" spans="2:18" x14ac:dyDescent="0.35">
      <c r="B171">
        <v>168</v>
      </c>
      <c r="C171" s="1">
        <v>44981</v>
      </c>
      <c r="D171" t="s">
        <v>181</v>
      </c>
      <c r="E171" t="s">
        <v>10</v>
      </c>
      <c r="F171">
        <v>53</v>
      </c>
      <c r="G171" t="str">
        <f>IF(Table14[[#This Row],[Age]]&lt;=25,"Young",IF(Table14[[#This Row],[Age]]&gt;55,"Old",IF(Table14[[#This Row],[Age]]&gt;25,"Middle","Na")))</f>
        <v>Middle</v>
      </c>
      <c r="H171" t="s">
        <v>14</v>
      </c>
      <c r="I171">
        <v>1</v>
      </c>
      <c r="J171">
        <v>300</v>
      </c>
      <c r="K171">
        <v>300</v>
      </c>
      <c r="N171" s="11" t="s">
        <v>75</v>
      </c>
      <c r="O171" s="11" t="s">
        <v>11</v>
      </c>
      <c r="P171" s="11">
        <f>K169/J169</f>
        <v>4</v>
      </c>
      <c r="Q171" s="11">
        <v>100</v>
      </c>
      <c r="R171" s="11">
        <v>100</v>
      </c>
    </row>
    <row r="172" spans="2:18" x14ac:dyDescent="0.35">
      <c r="B172">
        <v>169</v>
      </c>
      <c r="C172" s="1">
        <v>45247</v>
      </c>
      <c r="D172" t="s">
        <v>182</v>
      </c>
      <c r="E172" t="s">
        <v>10</v>
      </c>
      <c r="F172">
        <v>18</v>
      </c>
      <c r="G172" t="str">
        <f>IF(Table14[[#This Row],[Age]]&lt;=25,"Young",IF(Table14[[#This Row],[Age]]&gt;55,"Old",IF(Table14[[#This Row],[Age]]&gt;25,"Middle","Na")))</f>
        <v>Young</v>
      </c>
      <c r="H172" t="s">
        <v>11</v>
      </c>
      <c r="I172">
        <v>3</v>
      </c>
      <c r="J172">
        <v>500</v>
      </c>
      <c r="K172">
        <v>1500</v>
      </c>
      <c r="N172" s="11" t="s">
        <v>200</v>
      </c>
      <c r="O172" s="11" t="s">
        <v>14</v>
      </c>
      <c r="P172" s="11">
        <f>K170/J170</f>
        <v>3</v>
      </c>
      <c r="Q172" s="11">
        <v>100</v>
      </c>
      <c r="R172" s="11">
        <v>100</v>
      </c>
    </row>
    <row r="173" spans="2:18" x14ac:dyDescent="0.35">
      <c r="B173">
        <v>170</v>
      </c>
      <c r="C173" s="1">
        <v>45079</v>
      </c>
      <c r="D173" t="s">
        <v>183</v>
      </c>
      <c r="E173" t="s">
        <v>13</v>
      </c>
      <c r="F173">
        <v>25</v>
      </c>
      <c r="G173" t="str">
        <f>IF(Table14[[#This Row],[Age]]&lt;=25,"Young",IF(Table14[[#This Row],[Age]]&gt;55,"Old",IF(Table14[[#This Row],[Age]]&gt;25,"Middle","Na")))</f>
        <v>Young</v>
      </c>
      <c r="H173" t="s">
        <v>14</v>
      </c>
      <c r="I173">
        <v>2</v>
      </c>
      <c r="J173">
        <v>25</v>
      </c>
      <c r="K173">
        <v>50</v>
      </c>
      <c r="N173" s="11" t="s">
        <v>205</v>
      </c>
      <c r="O173" s="11" t="s">
        <v>11</v>
      </c>
      <c r="P173" s="11">
        <f>K171/J171</f>
        <v>1</v>
      </c>
      <c r="Q173" s="11">
        <v>100</v>
      </c>
      <c r="R173" s="11">
        <v>100</v>
      </c>
    </row>
    <row r="174" spans="2:18" x14ac:dyDescent="0.35">
      <c r="B174">
        <v>171</v>
      </c>
      <c r="C174" s="1">
        <v>45254</v>
      </c>
      <c r="D174" t="s">
        <v>184</v>
      </c>
      <c r="E174" t="s">
        <v>13</v>
      </c>
      <c r="F174">
        <v>52</v>
      </c>
      <c r="G174" t="str">
        <f>IF(Table14[[#This Row],[Age]]&lt;=25,"Young",IF(Table14[[#This Row],[Age]]&gt;55,"Old",IF(Table14[[#This Row],[Age]]&gt;25,"Middle","Na")))</f>
        <v>Middle</v>
      </c>
      <c r="H174" t="s">
        <v>14</v>
      </c>
      <c r="I174">
        <v>3</v>
      </c>
      <c r="J174">
        <v>300</v>
      </c>
      <c r="K174">
        <v>900</v>
      </c>
      <c r="N174" s="11" t="s">
        <v>285</v>
      </c>
      <c r="O174" s="11" t="s">
        <v>16</v>
      </c>
      <c r="P174" s="11">
        <f>K172/J172</f>
        <v>3</v>
      </c>
      <c r="Q174" s="11">
        <v>100</v>
      </c>
      <c r="R174" s="11">
        <v>100</v>
      </c>
    </row>
    <row r="175" spans="2:18" x14ac:dyDescent="0.35">
      <c r="B175">
        <v>172</v>
      </c>
      <c r="C175" s="1">
        <v>45186</v>
      </c>
      <c r="D175" t="s">
        <v>185</v>
      </c>
      <c r="E175" t="s">
        <v>10</v>
      </c>
      <c r="F175">
        <v>32</v>
      </c>
      <c r="G175" t="str">
        <f>IF(Table14[[#This Row],[Age]]&lt;=25,"Young",IF(Table14[[#This Row],[Age]]&gt;55,"Old",IF(Table14[[#This Row],[Age]]&gt;25,"Middle","Na")))</f>
        <v>Middle</v>
      </c>
      <c r="H175" t="s">
        <v>11</v>
      </c>
      <c r="I175">
        <v>2</v>
      </c>
      <c r="J175">
        <v>25</v>
      </c>
      <c r="K175">
        <v>50</v>
      </c>
      <c r="N175" s="11" t="s">
        <v>539</v>
      </c>
      <c r="O175" s="11" t="s">
        <v>14</v>
      </c>
      <c r="P175" s="11">
        <f>K173/J173</f>
        <v>2</v>
      </c>
      <c r="Q175" s="11">
        <v>100</v>
      </c>
      <c r="R175" s="11">
        <v>100</v>
      </c>
    </row>
    <row r="176" spans="2:18" x14ac:dyDescent="0.35">
      <c r="B176">
        <v>173</v>
      </c>
      <c r="C176" s="1">
        <v>45238</v>
      </c>
      <c r="D176" t="s">
        <v>186</v>
      </c>
      <c r="E176" t="s">
        <v>10</v>
      </c>
      <c r="F176">
        <v>64</v>
      </c>
      <c r="G176" t="str">
        <f>IF(Table14[[#This Row],[Age]]&lt;=25,"Young",IF(Table14[[#This Row],[Age]]&gt;55,"Old",IF(Table14[[#This Row],[Age]]&gt;25,"Middle","Na")))</f>
        <v>Old</v>
      </c>
      <c r="H176" t="s">
        <v>16</v>
      </c>
      <c r="I176">
        <v>4</v>
      </c>
      <c r="J176">
        <v>30</v>
      </c>
      <c r="K176">
        <v>120</v>
      </c>
      <c r="N176" s="11" t="s">
        <v>577</v>
      </c>
      <c r="O176" s="11" t="s">
        <v>16</v>
      </c>
      <c r="P176" s="11">
        <f>K174/J174</f>
        <v>3</v>
      </c>
      <c r="Q176" s="11">
        <v>100</v>
      </c>
      <c r="R176" s="11">
        <v>100</v>
      </c>
    </row>
    <row r="177" spans="2:18" x14ac:dyDescent="0.35">
      <c r="B177">
        <v>174</v>
      </c>
      <c r="C177" s="1">
        <v>45028</v>
      </c>
      <c r="D177" t="s">
        <v>187</v>
      </c>
      <c r="E177" t="s">
        <v>13</v>
      </c>
      <c r="F177">
        <v>39</v>
      </c>
      <c r="G177" t="str">
        <f>IF(Table14[[#This Row],[Age]]&lt;=25,"Young",IF(Table14[[#This Row],[Age]]&gt;55,"Old",IF(Table14[[#This Row],[Age]]&gt;25,"Middle","Na")))</f>
        <v>Middle</v>
      </c>
      <c r="H177" t="s">
        <v>11</v>
      </c>
      <c r="I177">
        <v>1</v>
      </c>
      <c r="J177">
        <v>300</v>
      </c>
      <c r="K177">
        <v>300</v>
      </c>
      <c r="N177" s="11" t="s">
        <v>629</v>
      </c>
      <c r="O177" s="11" t="s">
        <v>14</v>
      </c>
      <c r="P177" s="11">
        <f>K175/J175</f>
        <v>2</v>
      </c>
      <c r="Q177" s="11">
        <v>100</v>
      </c>
      <c r="R177" s="11">
        <v>100</v>
      </c>
    </row>
    <row r="178" spans="2:18" x14ac:dyDescent="0.35">
      <c r="B178">
        <v>175</v>
      </c>
      <c r="C178" s="1">
        <v>45005</v>
      </c>
      <c r="D178" t="s">
        <v>188</v>
      </c>
      <c r="E178" t="s">
        <v>13</v>
      </c>
      <c r="F178">
        <v>31</v>
      </c>
      <c r="G178" t="str">
        <f>IF(Table14[[#This Row],[Age]]&lt;=25,"Young",IF(Table14[[#This Row],[Age]]&gt;55,"Old",IF(Table14[[#This Row],[Age]]&gt;25,"Middle","Na")))</f>
        <v>Middle</v>
      </c>
      <c r="H178" t="s">
        <v>16</v>
      </c>
      <c r="I178">
        <v>4</v>
      </c>
      <c r="J178">
        <v>25</v>
      </c>
      <c r="K178">
        <v>100</v>
      </c>
      <c r="N178" s="11" t="s">
        <v>643</v>
      </c>
      <c r="O178" s="11" t="s">
        <v>14</v>
      </c>
      <c r="P178" s="11">
        <f>K176/J176</f>
        <v>4</v>
      </c>
      <c r="Q178" s="11">
        <v>100</v>
      </c>
      <c r="R178" s="11">
        <v>100</v>
      </c>
    </row>
    <row r="179" spans="2:18" x14ac:dyDescent="0.35">
      <c r="B179">
        <v>176</v>
      </c>
      <c r="C179" s="1">
        <v>45118</v>
      </c>
      <c r="D179" t="s">
        <v>189</v>
      </c>
      <c r="E179" t="s">
        <v>13</v>
      </c>
      <c r="F179">
        <v>43</v>
      </c>
      <c r="G179" t="str">
        <f>IF(Table14[[#This Row],[Age]]&lt;=25,"Young",IF(Table14[[#This Row],[Age]]&gt;55,"Old",IF(Table14[[#This Row],[Age]]&gt;25,"Middle","Na")))</f>
        <v>Middle</v>
      </c>
      <c r="H179" t="s">
        <v>11</v>
      </c>
      <c r="I179">
        <v>2</v>
      </c>
      <c r="J179">
        <v>50</v>
      </c>
      <c r="K179">
        <v>100</v>
      </c>
      <c r="N179" s="11" t="s">
        <v>665</v>
      </c>
      <c r="O179" s="11" t="s">
        <v>11</v>
      </c>
      <c r="P179" s="11">
        <f>K177/J177</f>
        <v>1</v>
      </c>
      <c r="Q179" s="11">
        <v>100</v>
      </c>
      <c r="R179" s="11">
        <v>100</v>
      </c>
    </row>
    <row r="180" spans="2:18" x14ac:dyDescent="0.35">
      <c r="B180">
        <v>177</v>
      </c>
      <c r="C180" s="1">
        <v>45009</v>
      </c>
      <c r="D180" t="s">
        <v>190</v>
      </c>
      <c r="E180" t="s">
        <v>10</v>
      </c>
      <c r="F180">
        <v>45</v>
      </c>
      <c r="G180" t="str">
        <f>IF(Table14[[#This Row],[Age]]&lt;=25,"Young",IF(Table14[[#This Row],[Age]]&gt;55,"Old",IF(Table14[[#This Row],[Age]]&gt;25,"Middle","Na")))</f>
        <v>Middle</v>
      </c>
      <c r="H180" t="s">
        <v>11</v>
      </c>
      <c r="I180">
        <v>2</v>
      </c>
      <c r="J180">
        <v>50</v>
      </c>
      <c r="K180">
        <v>100</v>
      </c>
      <c r="N180" s="11" t="s">
        <v>751</v>
      </c>
      <c r="O180" s="11" t="s">
        <v>14</v>
      </c>
      <c r="P180" s="11">
        <f>K178/J178</f>
        <v>4</v>
      </c>
      <c r="Q180" s="11">
        <v>100</v>
      </c>
      <c r="R180" s="11">
        <v>100</v>
      </c>
    </row>
    <row r="181" spans="2:18" x14ac:dyDescent="0.35">
      <c r="B181">
        <v>178</v>
      </c>
      <c r="C181" s="1">
        <v>45203</v>
      </c>
      <c r="D181" t="s">
        <v>191</v>
      </c>
      <c r="E181" t="s">
        <v>10</v>
      </c>
      <c r="F181">
        <v>40</v>
      </c>
      <c r="G181" t="str">
        <f>IF(Table14[[#This Row],[Age]]&lt;=25,"Young",IF(Table14[[#This Row],[Age]]&gt;55,"Old",IF(Table14[[#This Row],[Age]]&gt;25,"Middle","Na")))</f>
        <v>Middle</v>
      </c>
      <c r="H181" t="s">
        <v>14</v>
      </c>
      <c r="I181">
        <v>2</v>
      </c>
      <c r="J181">
        <v>30</v>
      </c>
      <c r="K181">
        <v>60</v>
      </c>
      <c r="N181" s="11" t="s">
        <v>758</v>
      </c>
      <c r="O181" s="11" t="s">
        <v>11</v>
      </c>
      <c r="P181" s="11">
        <f>K179/J179</f>
        <v>2</v>
      </c>
      <c r="Q181" s="11">
        <v>100</v>
      </c>
      <c r="R181" s="11">
        <v>100</v>
      </c>
    </row>
    <row r="182" spans="2:18" x14ac:dyDescent="0.35">
      <c r="B182">
        <v>179</v>
      </c>
      <c r="C182" s="1">
        <v>45198</v>
      </c>
      <c r="D182" t="s">
        <v>192</v>
      </c>
      <c r="E182" t="s">
        <v>10</v>
      </c>
      <c r="F182">
        <v>31</v>
      </c>
      <c r="G182" t="str">
        <f>IF(Table14[[#This Row],[Age]]&lt;=25,"Young",IF(Table14[[#This Row],[Age]]&gt;55,"Old",IF(Table14[[#This Row],[Age]]&gt;25,"Middle","Na")))</f>
        <v>Middle</v>
      </c>
      <c r="H182" t="s">
        <v>16</v>
      </c>
      <c r="I182">
        <v>1</v>
      </c>
      <c r="J182">
        <v>300</v>
      </c>
      <c r="K182">
        <v>300</v>
      </c>
      <c r="N182" s="11" t="s">
        <v>772</v>
      </c>
      <c r="O182" s="11" t="s">
        <v>16</v>
      </c>
      <c r="P182" s="11">
        <f>K180/J180</f>
        <v>2</v>
      </c>
      <c r="Q182" s="11">
        <v>100</v>
      </c>
      <c r="R182" s="11">
        <v>100</v>
      </c>
    </row>
    <row r="183" spans="2:18" x14ac:dyDescent="0.35">
      <c r="B183">
        <v>180</v>
      </c>
      <c r="C183" s="1">
        <v>44927</v>
      </c>
      <c r="D183" t="s">
        <v>193</v>
      </c>
      <c r="E183" t="s">
        <v>10</v>
      </c>
      <c r="F183">
        <v>41</v>
      </c>
      <c r="G183" t="str">
        <f>IF(Table14[[#This Row],[Age]]&lt;=25,"Young",IF(Table14[[#This Row],[Age]]&gt;55,"Old",IF(Table14[[#This Row],[Age]]&gt;25,"Middle","Na")))</f>
        <v>Middle</v>
      </c>
      <c r="H183" t="s">
        <v>14</v>
      </c>
      <c r="I183">
        <v>3</v>
      </c>
      <c r="J183">
        <v>300</v>
      </c>
      <c r="K183">
        <v>900</v>
      </c>
      <c r="N183" s="11" t="s">
        <v>832</v>
      </c>
      <c r="O183" s="11" t="s">
        <v>11</v>
      </c>
      <c r="P183" s="11">
        <f>K181/J181</f>
        <v>2</v>
      </c>
      <c r="Q183" s="11">
        <v>100</v>
      </c>
      <c r="R183" s="11">
        <v>100</v>
      </c>
    </row>
    <row r="184" spans="2:18" x14ac:dyDescent="0.35">
      <c r="B184">
        <v>181</v>
      </c>
      <c r="C184" s="1">
        <v>45233</v>
      </c>
      <c r="D184" t="s">
        <v>194</v>
      </c>
      <c r="E184" t="s">
        <v>10</v>
      </c>
      <c r="F184">
        <v>19</v>
      </c>
      <c r="G184" t="str">
        <f>IF(Table14[[#This Row],[Age]]&lt;=25,"Young",IF(Table14[[#This Row],[Age]]&gt;55,"Old",IF(Table14[[#This Row],[Age]]&gt;25,"Middle","Na")))</f>
        <v>Young</v>
      </c>
      <c r="H184" t="s">
        <v>16</v>
      </c>
      <c r="I184">
        <v>4</v>
      </c>
      <c r="J184">
        <v>300</v>
      </c>
      <c r="K184">
        <v>1200</v>
      </c>
      <c r="N184" s="11" t="s">
        <v>910</v>
      </c>
      <c r="O184" s="11" t="s">
        <v>16</v>
      </c>
      <c r="P184" s="11">
        <f>K182/J182</f>
        <v>1</v>
      </c>
      <c r="Q184" s="11">
        <v>100</v>
      </c>
      <c r="R184" s="11">
        <v>100</v>
      </c>
    </row>
    <row r="185" spans="2:18" x14ac:dyDescent="0.35">
      <c r="B185">
        <v>182</v>
      </c>
      <c r="C185" s="1">
        <v>45092</v>
      </c>
      <c r="D185" t="s">
        <v>195</v>
      </c>
      <c r="E185" t="s">
        <v>10</v>
      </c>
      <c r="F185">
        <v>62</v>
      </c>
      <c r="G185" t="str">
        <f>IF(Table14[[#This Row],[Age]]&lt;=25,"Young",IF(Table14[[#This Row],[Age]]&gt;55,"Old",IF(Table14[[#This Row],[Age]]&gt;25,"Middle","Na")))</f>
        <v>Old</v>
      </c>
      <c r="H185" t="s">
        <v>11</v>
      </c>
      <c r="I185">
        <v>4</v>
      </c>
      <c r="J185">
        <v>30</v>
      </c>
      <c r="K185">
        <v>120</v>
      </c>
      <c r="N185" s="11" t="s">
        <v>258</v>
      </c>
      <c r="O185" s="11" t="s">
        <v>14</v>
      </c>
      <c r="P185" s="11">
        <f>K183/J183</f>
        <v>3</v>
      </c>
      <c r="Q185" s="11">
        <v>90</v>
      </c>
      <c r="R185" s="11">
        <v>90</v>
      </c>
    </row>
    <row r="186" spans="2:18" x14ac:dyDescent="0.35">
      <c r="B186">
        <v>183</v>
      </c>
      <c r="C186" s="1">
        <v>45177</v>
      </c>
      <c r="D186" t="s">
        <v>196</v>
      </c>
      <c r="E186" t="s">
        <v>13</v>
      </c>
      <c r="F186">
        <v>43</v>
      </c>
      <c r="G186" t="str">
        <f>IF(Table14[[#This Row],[Age]]&lt;=25,"Young",IF(Table14[[#This Row],[Age]]&gt;55,"Old",IF(Table14[[#This Row],[Age]]&gt;25,"Middle","Na")))</f>
        <v>Middle</v>
      </c>
      <c r="H186" t="s">
        <v>11</v>
      </c>
      <c r="I186">
        <v>3</v>
      </c>
      <c r="J186">
        <v>300</v>
      </c>
      <c r="K186">
        <v>900</v>
      </c>
      <c r="N186" s="11" t="s">
        <v>306</v>
      </c>
      <c r="O186" s="11" t="s">
        <v>16</v>
      </c>
      <c r="P186" s="11">
        <f>K184/J184</f>
        <v>4</v>
      </c>
      <c r="Q186" s="11">
        <v>90</v>
      </c>
      <c r="R186" s="11">
        <v>90</v>
      </c>
    </row>
    <row r="187" spans="2:18" x14ac:dyDescent="0.35">
      <c r="B187">
        <v>184</v>
      </c>
      <c r="C187" s="1">
        <v>44936</v>
      </c>
      <c r="D187" t="s">
        <v>197</v>
      </c>
      <c r="E187" t="s">
        <v>10</v>
      </c>
      <c r="F187">
        <v>31</v>
      </c>
      <c r="G187" t="str">
        <f>IF(Table14[[#This Row],[Age]]&lt;=25,"Young",IF(Table14[[#This Row],[Age]]&gt;55,"Old",IF(Table14[[#This Row],[Age]]&gt;25,"Middle","Na")))</f>
        <v>Middle</v>
      </c>
      <c r="H187" t="s">
        <v>16</v>
      </c>
      <c r="I187">
        <v>4</v>
      </c>
      <c r="J187">
        <v>50</v>
      </c>
      <c r="K187">
        <v>200</v>
      </c>
      <c r="N187" s="11" t="s">
        <v>307</v>
      </c>
      <c r="O187" s="11" t="s">
        <v>14</v>
      </c>
      <c r="P187" s="11">
        <f>K185/J185</f>
        <v>4</v>
      </c>
      <c r="Q187" s="11">
        <v>90</v>
      </c>
      <c r="R187" s="11">
        <v>90</v>
      </c>
    </row>
    <row r="188" spans="2:18" x14ac:dyDescent="0.35">
      <c r="B188">
        <v>185</v>
      </c>
      <c r="C188" s="1">
        <v>44984</v>
      </c>
      <c r="D188" t="s">
        <v>198</v>
      </c>
      <c r="E188" t="s">
        <v>10</v>
      </c>
      <c r="F188">
        <v>24</v>
      </c>
      <c r="G188" t="str">
        <f>IF(Table14[[#This Row],[Age]]&lt;=25,"Young",IF(Table14[[#This Row],[Age]]&gt;55,"Old",IF(Table14[[#This Row],[Age]]&gt;25,"Middle","Na")))</f>
        <v>Young</v>
      </c>
      <c r="H188" t="s">
        <v>14</v>
      </c>
      <c r="I188">
        <v>1</v>
      </c>
      <c r="J188">
        <v>25</v>
      </c>
      <c r="K188">
        <v>25</v>
      </c>
      <c r="N188" s="11" t="s">
        <v>396</v>
      </c>
      <c r="O188" s="11" t="s">
        <v>11</v>
      </c>
      <c r="P188" s="11">
        <f>K186/J186</f>
        <v>3</v>
      </c>
      <c r="Q188" s="11">
        <v>90</v>
      </c>
      <c r="R188" s="11">
        <v>90</v>
      </c>
    </row>
    <row r="189" spans="2:18" x14ac:dyDescent="0.35">
      <c r="B189">
        <v>186</v>
      </c>
      <c r="C189" s="1">
        <v>45112</v>
      </c>
      <c r="D189" t="s">
        <v>199</v>
      </c>
      <c r="E189" t="s">
        <v>10</v>
      </c>
      <c r="F189">
        <v>20</v>
      </c>
      <c r="G189" t="str">
        <f>IF(Table14[[#This Row],[Age]]&lt;=25,"Young",IF(Table14[[#This Row],[Age]]&gt;55,"Old",IF(Table14[[#This Row],[Age]]&gt;25,"Middle","Na")))</f>
        <v>Young</v>
      </c>
      <c r="H189" t="s">
        <v>14</v>
      </c>
      <c r="I189">
        <v>4</v>
      </c>
      <c r="J189">
        <v>50</v>
      </c>
      <c r="K189">
        <v>200</v>
      </c>
      <c r="N189" s="11" t="s">
        <v>704</v>
      </c>
      <c r="O189" s="11" t="s">
        <v>14</v>
      </c>
      <c r="P189" s="11">
        <f>K187/J187</f>
        <v>4</v>
      </c>
      <c r="Q189" s="11">
        <v>90</v>
      </c>
      <c r="R189" s="11">
        <v>90</v>
      </c>
    </row>
    <row r="190" spans="2:18" x14ac:dyDescent="0.35">
      <c r="B190">
        <v>187</v>
      </c>
      <c r="C190" s="1">
        <v>45084</v>
      </c>
      <c r="D190" t="s">
        <v>200</v>
      </c>
      <c r="E190" t="s">
        <v>13</v>
      </c>
      <c r="F190">
        <v>64</v>
      </c>
      <c r="G190" t="str">
        <f>IF(Table14[[#This Row],[Age]]&lt;=25,"Young",IF(Table14[[#This Row],[Age]]&gt;55,"Old",IF(Table14[[#This Row],[Age]]&gt;25,"Middle","Na")))</f>
        <v>Old</v>
      </c>
      <c r="H190" t="s">
        <v>14</v>
      </c>
      <c r="I190">
        <v>2</v>
      </c>
      <c r="J190">
        <v>50</v>
      </c>
      <c r="K190">
        <v>100</v>
      </c>
      <c r="N190" s="11" t="s">
        <v>842</v>
      </c>
      <c r="O190" s="11" t="s">
        <v>11</v>
      </c>
      <c r="P190" s="11">
        <f>K188/J188</f>
        <v>1</v>
      </c>
      <c r="Q190" s="11">
        <v>90</v>
      </c>
      <c r="R190" s="11">
        <v>90</v>
      </c>
    </row>
    <row r="191" spans="2:18" x14ac:dyDescent="0.35">
      <c r="B191">
        <v>188</v>
      </c>
      <c r="C191" s="1">
        <v>45049</v>
      </c>
      <c r="D191" t="s">
        <v>201</v>
      </c>
      <c r="E191" t="s">
        <v>10</v>
      </c>
      <c r="F191">
        <v>40</v>
      </c>
      <c r="G191" t="str">
        <f>IF(Table14[[#This Row],[Age]]&lt;=25,"Young",IF(Table14[[#This Row],[Age]]&gt;55,"Old",IF(Table14[[#This Row],[Age]]&gt;25,"Middle","Na")))</f>
        <v>Middle</v>
      </c>
      <c r="H191" t="s">
        <v>14</v>
      </c>
      <c r="I191">
        <v>3</v>
      </c>
      <c r="J191">
        <v>25</v>
      </c>
      <c r="K191">
        <v>75</v>
      </c>
      <c r="N191" s="11" t="s">
        <v>874</v>
      </c>
      <c r="O191" s="11" t="s">
        <v>14</v>
      </c>
      <c r="P191" s="11">
        <f>K189/J189</f>
        <v>4</v>
      </c>
      <c r="Q191" s="11">
        <v>90</v>
      </c>
      <c r="R191" s="11">
        <v>90</v>
      </c>
    </row>
    <row r="192" spans="2:18" x14ac:dyDescent="0.35">
      <c r="B192">
        <v>189</v>
      </c>
      <c r="C192" s="1">
        <v>44956</v>
      </c>
      <c r="D192" t="s">
        <v>202</v>
      </c>
      <c r="E192" t="s">
        <v>10</v>
      </c>
      <c r="F192">
        <v>63</v>
      </c>
      <c r="G192" t="str">
        <f>IF(Table14[[#This Row],[Age]]&lt;=25,"Young",IF(Table14[[#This Row],[Age]]&gt;55,"Old",IF(Table14[[#This Row],[Age]]&gt;25,"Middle","Na")))</f>
        <v>Old</v>
      </c>
      <c r="H192" t="s">
        <v>11</v>
      </c>
      <c r="I192">
        <v>1</v>
      </c>
      <c r="J192">
        <v>50</v>
      </c>
      <c r="K192">
        <v>50</v>
      </c>
      <c r="N192" s="11" t="s">
        <v>25</v>
      </c>
      <c r="O192" s="11" t="s">
        <v>11</v>
      </c>
      <c r="P192" s="11">
        <f>K190/J190</f>
        <v>2</v>
      </c>
      <c r="Q192" s="11">
        <v>75</v>
      </c>
      <c r="R192" s="11">
        <v>75</v>
      </c>
    </row>
    <row r="193" spans="2:18" x14ac:dyDescent="0.35">
      <c r="B193">
        <v>190</v>
      </c>
      <c r="C193" s="1">
        <v>45050</v>
      </c>
      <c r="D193" t="s">
        <v>203</v>
      </c>
      <c r="E193" t="s">
        <v>13</v>
      </c>
      <c r="F193">
        <v>60</v>
      </c>
      <c r="G193" t="str">
        <f>IF(Table14[[#This Row],[Age]]&lt;=25,"Young",IF(Table14[[#This Row],[Age]]&gt;55,"Old",IF(Table14[[#This Row],[Age]]&gt;25,"Middle","Na")))</f>
        <v>Old</v>
      </c>
      <c r="H193" t="s">
        <v>11</v>
      </c>
      <c r="I193">
        <v>3</v>
      </c>
      <c r="J193">
        <v>30</v>
      </c>
      <c r="K193">
        <v>90</v>
      </c>
      <c r="N193" s="11" t="s">
        <v>64</v>
      </c>
      <c r="O193" s="11" t="s">
        <v>11</v>
      </c>
      <c r="P193" s="11">
        <f>K191/J191</f>
        <v>3</v>
      </c>
      <c r="Q193" s="11">
        <v>75</v>
      </c>
      <c r="R193" s="11">
        <v>75</v>
      </c>
    </row>
    <row r="194" spans="2:18" x14ac:dyDescent="0.35">
      <c r="B194">
        <v>191</v>
      </c>
      <c r="C194" s="1">
        <v>45217</v>
      </c>
      <c r="D194" t="s">
        <v>204</v>
      </c>
      <c r="E194" t="s">
        <v>10</v>
      </c>
      <c r="F194">
        <v>64</v>
      </c>
      <c r="G194" t="str">
        <f>IF(Table14[[#This Row],[Age]]&lt;=25,"Young",IF(Table14[[#This Row],[Age]]&gt;55,"Old",IF(Table14[[#This Row],[Age]]&gt;25,"Middle","Na")))</f>
        <v>Old</v>
      </c>
      <c r="H194" t="s">
        <v>11</v>
      </c>
      <c r="I194">
        <v>1</v>
      </c>
      <c r="J194">
        <v>25</v>
      </c>
      <c r="K194">
        <v>25</v>
      </c>
      <c r="N194" s="11" t="s">
        <v>82</v>
      </c>
      <c r="O194" s="11" t="s">
        <v>11</v>
      </c>
      <c r="P194" s="11">
        <f>K192/J192</f>
        <v>1</v>
      </c>
      <c r="Q194" s="11">
        <v>75</v>
      </c>
      <c r="R194" s="11">
        <v>75</v>
      </c>
    </row>
    <row r="195" spans="2:18" x14ac:dyDescent="0.35">
      <c r="B195">
        <v>192</v>
      </c>
      <c r="C195" s="1">
        <v>44967</v>
      </c>
      <c r="D195" t="s">
        <v>205</v>
      </c>
      <c r="E195" t="s">
        <v>10</v>
      </c>
      <c r="F195">
        <v>62</v>
      </c>
      <c r="G195" t="str">
        <f>IF(Table14[[#This Row],[Age]]&lt;=25,"Young",IF(Table14[[#This Row],[Age]]&gt;55,"Old",IF(Table14[[#This Row],[Age]]&gt;25,"Middle","Na")))</f>
        <v>Old</v>
      </c>
      <c r="H195" t="s">
        <v>11</v>
      </c>
      <c r="I195">
        <v>2</v>
      </c>
      <c r="J195">
        <v>50</v>
      </c>
      <c r="K195">
        <v>100</v>
      </c>
      <c r="N195" s="11" t="s">
        <v>339</v>
      </c>
      <c r="O195" s="11" t="s">
        <v>14</v>
      </c>
      <c r="P195" s="11">
        <f>K193/J193</f>
        <v>3</v>
      </c>
      <c r="Q195" s="11">
        <v>75</v>
      </c>
      <c r="R195" s="11">
        <v>75</v>
      </c>
    </row>
    <row r="196" spans="2:18" x14ac:dyDescent="0.35">
      <c r="B196">
        <v>193</v>
      </c>
      <c r="C196" s="1">
        <v>44970</v>
      </c>
      <c r="D196" t="s">
        <v>206</v>
      </c>
      <c r="E196" t="s">
        <v>10</v>
      </c>
      <c r="F196">
        <v>35</v>
      </c>
      <c r="G196" t="str">
        <f>IF(Table14[[#This Row],[Age]]&lt;=25,"Young",IF(Table14[[#This Row],[Age]]&gt;55,"Old",IF(Table14[[#This Row],[Age]]&gt;25,"Middle","Na")))</f>
        <v>Middle</v>
      </c>
      <c r="H196" t="s">
        <v>11</v>
      </c>
      <c r="I196">
        <v>3</v>
      </c>
      <c r="J196">
        <v>500</v>
      </c>
      <c r="K196">
        <v>1500</v>
      </c>
      <c r="N196" s="11" t="s">
        <v>620</v>
      </c>
      <c r="O196" s="11" t="s">
        <v>14</v>
      </c>
      <c r="P196" s="11">
        <f>K194/J194</f>
        <v>1</v>
      </c>
      <c r="Q196" s="11">
        <v>75</v>
      </c>
      <c r="R196" s="11">
        <v>75</v>
      </c>
    </row>
    <row r="197" spans="2:18" x14ac:dyDescent="0.35">
      <c r="B197">
        <v>194</v>
      </c>
      <c r="C197" s="1">
        <v>45175</v>
      </c>
      <c r="D197" t="s">
        <v>207</v>
      </c>
      <c r="E197" t="s">
        <v>10</v>
      </c>
      <c r="F197">
        <v>55</v>
      </c>
      <c r="G197" t="str">
        <f>IF(Table14[[#This Row],[Age]]&lt;=25,"Young",IF(Table14[[#This Row],[Age]]&gt;55,"Old",IF(Table14[[#This Row],[Age]]&gt;25,"Middle","Na")))</f>
        <v>Middle</v>
      </c>
      <c r="H197" t="s">
        <v>14</v>
      </c>
      <c r="I197">
        <v>4</v>
      </c>
      <c r="J197">
        <v>50</v>
      </c>
      <c r="K197">
        <v>200</v>
      </c>
      <c r="N197" s="11" t="s">
        <v>633</v>
      </c>
      <c r="O197" s="11" t="s">
        <v>16</v>
      </c>
      <c r="P197" s="11">
        <f>K195/J195</f>
        <v>2</v>
      </c>
      <c r="Q197" s="11">
        <v>75</v>
      </c>
      <c r="R197" s="11">
        <v>75</v>
      </c>
    </row>
    <row r="198" spans="2:18" x14ac:dyDescent="0.35">
      <c r="B198">
        <v>195</v>
      </c>
      <c r="C198" s="1">
        <v>44962</v>
      </c>
      <c r="D198" t="s">
        <v>208</v>
      </c>
      <c r="E198" t="s">
        <v>10</v>
      </c>
      <c r="F198">
        <v>52</v>
      </c>
      <c r="G198" t="str">
        <f>IF(Table14[[#This Row],[Age]]&lt;=25,"Young",IF(Table14[[#This Row],[Age]]&gt;55,"Old",IF(Table14[[#This Row],[Age]]&gt;25,"Middle","Na")))</f>
        <v>Middle</v>
      </c>
      <c r="H198" t="s">
        <v>14</v>
      </c>
      <c r="I198">
        <v>1</v>
      </c>
      <c r="J198">
        <v>30</v>
      </c>
      <c r="K198">
        <v>30</v>
      </c>
      <c r="N198" s="11" t="s">
        <v>763</v>
      </c>
      <c r="O198" s="11" t="s">
        <v>14</v>
      </c>
      <c r="P198" s="11">
        <f>K196/J196</f>
        <v>3</v>
      </c>
      <c r="Q198" s="11">
        <v>75</v>
      </c>
      <c r="R198" s="11">
        <v>75</v>
      </c>
    </row>
    <row r="199" spans="2:18" x14ac:dyDescent="0.35">
      <c r="B199">
        <v>196</v>
      </c>
      <c r="C199" s="1">
        <v>45199</v>
      </c>
      <c r="D199" t="s">
        <v>209</v>
      </c>
      <c r="E199" t="s">
        <v>13</v>
      </c>
      <c r="F199">
        <v>32</v>
      </c>
      <c r="G199" t="str">
        <f>IF(Table14[[#This Row],[Age]]&lt;=25,"Young",IF(Table14[[#This Row],[Age]]&gt;55,"Old",IF(Table14[[#This Row],[Age]]&gt;25,"Middle","Na")))</f>
        <v>Middle</v>
      </c>
      <c r="H199" t="s">
        <v>14</v>
      </c>
      <c r="I199">
        <v>3</v>
      </c>
      <c r="J199">
        <v>300</v>
      </c>
      <c r="K199">
        <v>900</v>
      </c>
      <c r="N199" s="11" t="s">
        <v>781</v>
      </c>
      <c r="O199" s="11" t="s">
        <v>11</v>
      </c>
      <c r="P199" s="11">
        <f>K197/J197</f>
        <v>4</v>
      </c>
      <c r="Q199" s="11">
        <v>75</v>
      </c>
      <c r="R199" s="11">
        <v>75</v>
      </c>
    </row>
    <row r="200" spans="2:18" x14ac:dyDescent="0.35">
      <c r="B200">
        <v>197</v>
      </c>
      <c r="C200" s="1">
        <v>44991</v>
      </c>
      <c r="D200" t="s">
        <v>210</v>
      </c>
      <c r="E200" t="s">
        <v>13</v>
      </c>
      <c r="F200">
        <v>42</v>
      </c>
      <c r="G200" t="str">
        <f>IF(Table14[[#This Row],[Age]]&lt;=25,"Young",IF(Table14[[#This Row],[Age]]&gt;55,"Old",IF(Table14[[#This Row],[Age]]&gt;25,"Middle","Na")))</f>
        <v>Middle</v>
      </c>
      <c r="H200" t="s">
        <v>14</v>
      </c>
      <c r="I200">
        <v>4</v>
      </c>
      <c r="J200">
        <v>50</v>
      </c>
      <c r="K200">
        <v>200</v>
      </c>
      <c r="N200" s="11" t="s">
        <v>828</v>
      </c>
      <c r="O200" s="11" t="s">
        <v>14</v>
      </c>
      <c r="P200" s="11">
        <f>K198/J198</f>
        <v>1</v>
      </c>
      <c r="Q200" s="11">
        <v>75</v>
      </c>
      <c r="R200" s="11">
        <v>75</v>
      </c>
    </row>
    <row r="201" spans="2:18" x14ac:dyDescent="0.35">
      <c r="B201">
        <v>198</v>
      </c>
      <c r="C201" s="1">
        <v>44992</v>
      </c>
      <c r="D201" t="s">
        <v>211</v>
      </c>
      <c r="E201" t="s">
        <v>13</v>
      </c>
      <c r="F201">
        <v>54</v>
      </c>
      <c r="G201" t="str">
        <f>IF(Table14[[#This Row],[Age]]&lt;=25,"Young",IF(Table14[[#This Row],[Age]]&gt;55,"Old",IF(Table14[[#This Row],[Age]]&gt;25,"Middle","Na")))</f>
        <v>Middle</v>
      </c>
      <c r="H201" t="s">
        <v>11</v>
      </c>
      <c r="I201">
        <v>3</v>
      </c>
      <c r="J201">
        <v>300</v>
      </c>
      <c r="K201">
        <v>900</v>
      </c>
      <c r="N201" s="11" t="s">
        <v>885</v>
      </c>
      <c r="O201" s="11" t="s">
        <v>11</v>
      </c>
      <c r="P201" s="11">
        <f>K199/J199</f>
        <v>3</v>
      </c>
      <c r="Q201" s="11">
        <v>75</v>
      </c>
      <c r="R201" s="11">
        <v>75</v>
      </c>
    </row>
    <row r="202" spans="2:18" x14ac:dyDescent="0.35">
      <c r="B202">
        <v>199</v>
      </c>
      <c r="C202" s="1">
        <v>45264</v>
      </c>
      <c r="D202" t="s">
        <v>212</v>
      </c>
      <c r="E202" t="s">
        <v>10</v>
      </c>
      <c r="F202">
        <v>45</v>
      </c>
      <c r="G202" t="str">
        <f>IF(Table14[[#This Row],[Age]]&lt;=25,"Young",IF(Table14[[#This Row],[Age]]&gt;55,"Old",IF(Table14[[#This Row],[Age]]&gt;25,"Middle","Na")))</f>
        <v>Middle</v>
      </c>
      <c r="H202" t="s">
        <v>11</v>
      </c>
      <c r="I202">
        <v>3</v>
      </c>
      <c r="J202">
        <v>500</v>
      </c>
      <c r="K202">
        <v>1500</v>
      </c>
      <c r="N202" s="11" t="s">
        <v>961</v>
      </c>
      <c r="O202" s="11" t="s">
        <v>16</v>
      </c>
      <c r="P202" s="11">
        <f>K200/J200</f>
        <v>4</v>
      </c>
      <c r="Q202" s="11">
        <v>75</v>
      </c>
      <c r="R202" s="11">
        <v>75</v>
      </c>
    </row>
    <row r="203" spans="2:18" x14ac:dyDescent="0.35">
      <c r="B203">
        <v>200</v>
      </c>
      <c r="C203" s="1">
        <v>45170</v>
      </c>
      <c r="D203" t="s">
        <v>213</v>
      </c>
      <c r="E203" t="s">
        <v>10</v>
      </c>
      <c r="F203">
        <v>27</v>
      </c>
      <c r="G203" t="str">
        <f>IF(Table14[[#This Row],[Age]]&lt;=25,"Young",IF(Table14[[#This Row],[Age]]&gt;55,"Old",IF(Table14[[#This Row],[Age]]&gt;25,"Middle","Na")))</f>
        <v>Middle</v>
      </c>
      <c r="H203" t="s">
        <v>11</v>
      </c>
      <c r="I203">
        <v>3</v>
      </c>
      <c r="J203">
        <v>50</v>
      </c>
      <c r="K203">
        <v>150</v>
      </c>
      <c r="N203" s="11" t="s">
        <v>990</v>
      </c>
      <c r="O203" s="11" t="s">
        <v>16</v>
      </c>
      <c r="P203" s="11">
        <f>K201/J201</f>
        <v>3</v>
      </c>
      <c r="Q203" s="11">
        <v>75</v>
      </c>
      <c r="R203" s="11">
        <v>75</v>
      </c>
    </row>
    <row r="204" spans="2:18" x14ac:dyDescent="0.35">
      <c r="B204">
        <v>201</v>
      </c>
      <c r="C204" s="1">
        <v>45208</v>
      </c>
      <c r="D204" t="s">
        <v>214</v>
      </c>
      <c r="E204" t="s">
        <v>10</v>
      </c>
      <c r="F204">
        <v>56</v>
      </c>
      <c r="G204" t="str">
        <f>IF(Table14[[#This Row],[Age]]&lt;=25,"Young",IF(Table14[[#This Row],[Age]]&gt;55,"Old",IF(Table14[[#This Row],[Age]]&gt;25,"Middle","Na")))</f>
        <v>Old</v>
      </c>
      <c r="H204" t="s">
        <v>16</v>
      </c>
      <c r="I204">
        <v>1</v>
      </c>
      <c r="J204">
        <v>25</v>
      </c>
      <c r="K204">
        <v>25</v>
      </c>
      <c r="N204" s="11" t="s">
        <v>108</v>
      </c>
      <c r="O204" s="11" t="s">
        <v>14</v>
      </c>
      <c r="P204" s="11">
        <f>K202/J202</f>
        <v>3</v>
      </c>
      <c r="Q204" s="11">
        <v>60</v>
      </c>
      <c r="R204" s="11">
        <v>60</v>
      </c>
    </row>
    <row r="205" spans="2:18" x14ac:dyDescent="0.35">
      <c r="B205">
        <v>202</v>
      </c>
      <c r="C205" s="1">
        <v>45011</v>
      </c>
      <c r="D205" t="s">
        <v>215</v>
      </c>
      <c r="E205" t="s">
        <v>13</v>
      </c>
      <c r="F205">
        <v>34</v>
      </c>
      <c r="G205" t="str">
        <f>IF(Table14[[#This Row],[Age]]&lt;=25,"Young",IF(Table14[[#This Row],[Age]]&gt;55,"Old",IF(Table14[[#This Row],[Age]]&gt;25,"Middle","Na")))</f>
        <v>Middle</v>
      </c>
      <c r="H205" t="s">
        <v>14</v>
      </c>
      <c r="I205">
        <v>4</v>
      </c>
      <c r="J205">
        <v>300</v>
      </c>
      <c r="K205">
        <v>1200</v>
      </c>
      <c r="N205" s="11" t="s">
        <v>161</v>
      </c>
      <c r="O205" s="11" t="s">
        <v>14</v>
      </c>
      <c r="P205" s="11">
        <f>K203/J203</f>
        <v>3</v>
      </c>
      <c r="Q205" s="11">
        <v>60</v>
      </c>
      <c r="R205" s="11">
        <v>60</v>
      </c>
    </row>
    <row r="206" spans="2:18" x14ac:dyDescent="0.35">
      <c r="B206">
        <v>203</v>
      </c>
      <c r="C206" s="1">
        <v>45062</v>
      </c>
      <c r="D206" t="s">
        <v>216</v>
      </c>
      <c r="E206" t="s">
        <v>10</v>
      </c>
      <c r="F206">
        <v>56</v>
      </c>
      <c r="G206" t="str">
        <f>IF(Table14[[#This Row],[Age]]&lt;=25,"Young",IF(Table14[[#This Row],[Age]]&gt;55,"Old",IF(Table14[[#This Row],[Age]]&gt;25,"Middle","Na")))</f>
        <v>Old</v>
      </c>
      <c r="H206" t="s">
        <v>14</v>
      </c>
      <c r="I206">
        <v>2</v>
      </c>
      <c r="J206">
        <v>500</v>
      </c>
      <c r="K206">
        <v>1000</v>
      </c>
      <c r="N206" s="11" t="s">
        <v>175</v>
      </c>
      <c r="O206" s="11" t="s">
        <v>14</v>
      </c>
      <c r="P206" s="11">
        <f>K204/J204</f>
        <v>1</v>
      </c>
      <c r="Q206" s="11">
        <v>60</v>
      </c>
      <c r="R206" s="11">
        <v>60</v>
      </c>
    </row>
    <row r="207" spans="2:18" x14ac:dyDescent="0.35">
      <c r="B207">
        <v>204</v>
      </c>
      <c r="C207" s="1">
        <v>45197</v>
      </c>
      <c r="D207" t="s">
        <v>217</v>
      </c>
      <c r="E207" t="s">
        <v>10</v>
      </c>
      <c r="F207">
        <v>39</v>
      </c>
      <c r="G207" t="str">
        <f>IF(Table14[[#This Row],[Age]]&lt;=25,"Young",IF(Table14[[#This Row],[Age]]&gt;55,"Old",IF(Table14[[#This Row],[Age]]&gt;25,"Middle","Na")))</f>
        <v>Middle</v>
      </c>
      <c r="H207" t="s">
        <v>11</v>
      </c>
      <c r="I207">
        <v>1</v>
      </c>
      <c r="J207">
        <v>25</v>
      </c>
      <c r="K207">
        <v>25</v>
      </c>
      <c r="N207" s="11" t="s">
        <v>383</v>
      </c>
      <c r="O207" s="11" t="s">
        <v>16</v>
      </c>
      <c r="P207" s="11">
        <f>K205/J205</f>
        <v>4</v>
      </c>
      <c r="Q207" s="11">
        <v>60</v>
      </c>
      <c r="R207" s="11">
        <v>60</v>
      </c>
    </row>
    <row r="208" spans="2:18" x14ac:dyDescent="0.35">
      <c r="B208">
        <v>205</v>
      </c>
      <c r="C208" s="1">
        <v>45237</v>
      </c>
      <c r="D208" t="s">
        <v>218</v>
      </c>
      <c r="E208" t="s">
        <v>13</v>
      </c>
      <c r="F208">
        <v>43</v>
      </c>
      <c r="G208" t="str">
        <f>IF(Table14[[#This Row],[Age]]&lt;=25,"Young",IF(Table14[[#This Row],[Age]]&gt;55,"Old",IF(Table14[[#This Row],[Age]]&gt;25,"Middle","Na")))</f>
        <v>Middle</v>
      </c>
      <c r="H208" t="s">
        <v>14</v>
      </c>
      <c r="I208">
        <v>1</v>
      </c>
      <c r="J208">
        <v>25</v>
      </c>
      <c r="K208">
        <v>25</v>
      </c>
      <c r="N208" s="11" t="s">
        <v>428</v>
      </c>
      <c r="O208" s="11" t="s">
        <v>14</v>
      </c>
      <c r="P208" s="11">
        <f>K206/J206</f>
        <v>2</v>
      </c>
      <c r="Q208" s="11">
        <v>60</v>
      </c>
      <c r="R208" s="11">
        <v>60</v>
      </c>
    </row>
    <row r="209" spans="2:18" x14ac:dyDescent="0.35">
      <c r="B209">
        <v>206</v>
      </c>
      <c r="C209" s="1">
        <v>45143</v>
      </c>
      <c r="D209" t="s">
        <v>219</v>
      </c>
      <c r="E209" t="s">
        <v>10</v>
      </c>
      <c r="F209">
        <v>61</v>
      </c>
      <c r="G209" t="str">
        <f>IF(Table14[[#This Row],[Age]]&lt;=25,"Young",IF(Table14[[#This Row],[Age]]&gt;55,"Old",IF(Table14[[#This Row],[Age]]&gt;25,"Middle","Na")))</f>
        <v>Old</v>
      </c>
      <c r="H209" t="s">
        <v>14</v>
      </c>
      <c r="I209">
        <v>1</v>
      </c>
      <c r="J209">
        <v>25</v>
      </c>
      <c r="K209">
        <v>25</v>
      </c>
      <c r="N209" s="11" t="s">
        <v>461</v>
      </c>
      <c r="O209" s="11" t="s">
        <v>11</v>
      </c>
      <c r="P209" s="11">
        <f>K207/J207</f>
        <v>1</v>
      </c>
      <c r="Q209" s="11">
        <v>60</v>
      </c>
      <c r="R209" s="11">
        <v>60</v>
      </c>
    </row>
    <row r="210" spans="2:18" x14ac:dyDescent="0.35">
      <c r="B210">
        <v>207</v>
      </c>
      <c r="C210" s="1">
        <v>45035</v>
      </c>
      <c r="D210" t="s">
        <v>220</v>
      </c>
      <c r="E210" t="s">
        <v>13</v>
      </c>
      <c r="F210">
        <v>42</v>
      </c>
      <c r="G210" t="str">
        <f>IF(Table14[[#This Row],[Age]]&lt;=25,"Young",IF(Table14[[#This Row],[Age]]&gt;55,"Old",IF(Table14[[#This Row],[Age]]&gt;25,"Middle","Na")))</f>
        <v>Middle</v>
      </c>
      <c r="H210" t="s">
        <v>11</v>
      </c>
      <c r="I210">
        <v>2</v>
      </c>
      <c r="J210">
        <v>25</v>
      </c>
      <c r="K210">
        <v>50</v>
      </c>
      <c r="N210" s="11" t="s">
        <v>469</v>
      </c>
      <c r="O210" s="11" t="s">
        <v>16</v>
      </c>
      <c r="P210" s="11">
        <f>K208/J208</f>
        <v>1</v>
      </c>
      <c r="Q210" s="11">
        <v>60</v>
      </c>
      <c r="R210" s="11">
        <v>60</v>
      </c>
    </row>
    <row r="211" spans="2:18" x14ac:dyDescent="0.35">
      <c r="B211">
        <v>208</v>
      </c>
      <c r="C211" s="1">
        <v>45203</v>
      </c>
      <c r="D211" t="s">
        <v>221</v>
      </c>
      <c r="E211" t="s">
        <v>13</v>
      </c>
      <c r="F211">
        <v>34</v>
      </c>
      <c r="G211" t="str">
        <f>IF(Table14[[#This Row],[Age]]&lt;=25,"Young",IF(Table14[[#This Row],[Age]]&gt;55,"Old",IF(Table14[[#This Row],[Age]]&gt;25,"Middle","Na")))</f>
        <v>Middle</v>
      </c>
      <c r="H211" t="s">
        <v>16</v>
      </c>
      <c r="I211">
        <v>4</v>
      </c>
      <c r="J211">
        <v>50</v>
      </c>
      <c r="K211">
        <v>200</v>
      </c>
      <c r="N211" s="11" t="s">
        <v>576</v>
      </c>
      <c r="O211" s="11" t="s">
        <v>14</v>
      </c>
      <c r="P211" s="11">
        <f>K209/J209</f>
        <v>1</v>
      </c>
      <c r="Q211" s="11">
        <v>60</v>
      </c>
      <c r="R211" s="11">
        <v>60</v>
      </c>
    </row>
    <row r="212" spans="2:18" x14ac:dyDescent="0.35">
      <c r="B212">
        <v>209</v>
      </c>
      <c r="C212" s="1">
        <v>45280</v>
      </c>
      <c r="D212" t="s">
        <v>222</v>
      </c>
      <c r="E212" t="s">
        <v>13</v>
      </c>
      <c r="F212">
        <v>30</v>
      </c>
      <c r="G212" t="str">
        <f>IF(Table14[[#This Row],[Age]]&lt;=25,"Young",IF(Table14[[#This Row],[Age]]&gt;55,"Old",IF(Table14[[#This Row],[Age]]&gt;25,"Middle","Na")))</f>
        <v>Middle</v>
      </c>
      <c r="H212" t="s">
        <v>16</v>
      </c>
      <c r="I212">
        <v>4</v>
      </c>
      <c r="J212">
        <v>50</v>
      </c>
      <c r="K212">
        <v>200</v>
      </c>
      <c r="N212" s="11" t="s">
        <v>601</v>
      </c>
      <c r="O212" s="11" t="s">
        <v>16</v>
      </c>
      <c r="P212" s="11">
        <f>K210/J210</f>
        <v>2</v>
      </c>
      <c r="Q212" s="11">
        <v>60</v>
      </c>
      <c r="R212" s="11">
        <v>60</v>
      </c>
    </row>
    <row r="213" spans="2:18" x14ac:dyDescent="0.35">
      <c r="B213">
        <v>210</v>
      </c>
      <c r="C213" s="1">
        <v>45029</v>
      </c>
      <c r="D213" t="s">
        <v>223</v>
      </c>
      <c r="E213" t="s">
        <v>10</v>
      </c>
      <c r="F213">
        <v>37</v>
      </c>
      <c r="G213" t="str">
        <f>IF(Table14[[#This Row],[Age]]&lt;=25,"Young",IF(Table14[[#This Row],[Age]]&gt;55,"Old",IF(Table14[[#This Row],[Age]]&gt;25,"Middle","Na")))</f>
        <v>Middle</v>
      </c>
      <c r="H213" t="s">
        <v>16</v>
      </c>
      <c r="I213">
        <v>4</v>
      </c>
      <c r="J213">
        <v>50</v>
      </c>
      <c r="K213">
        <v>200</v>
      </c>
      <c r="N213" s="11" t="s">
        <v>714</v>
      </c>
      <c r="O213" s="11" t="s">
        <v>11</v>
      </c>
      <c r="P213" s="11">
        <f>K211/J211</f>
        <v>4</v>
      </c>
      <c r="Q213" s="11">
        <v>60</v>
      </c>
      <c r="R213" s="11">
        <v>60</v>
      </c>
    </row>
    <row r="214" spans="2:18" x14ac:dyDescent="0.35">
      <c r="B214">
        <v>211</v>
      </c>
      <c r="C214" s="1">
        <v>45292</v>
      </c>
      <c r="D214" t="s">
        <v>224</v>
      </c>
      <c r="E214" t="s">
        <v>10</v>
      </c>
      <c r="F214">
        <v>42</v>
      </c>
      <c r="G214" t="str">
        <f>IF(Table14[[#This Row],[Age]]&lt;=25,"Young",IF(Table14[[#This Row],[Age]]&gt;55,"Old",IF(Table14[[#This Row],[Age]]&gt;25,"Middle","Na")))</f>
        <v>Middle</v>
      </c>
      <c r="H214" t="s">
        <v>11</v>
      </c>
      <c r="I214">
        <v>3</v>
      </c>
      <c r="J214">
        <v>500</v>
      </c>
      <c r="K214">
        <v>1500</v>
      </c>
      <c r="N214" s="11" t="s">
        <v>847</v>
      </c>
      <c r="O214" s="11" t="s">
        <v>11</v>
      </c>
      <c r="P214" s="11">
        <f>K212/J212</f>
        <v>4</v>
      </c>
      <c r="Q214" s="11">
        <v>60</v>
      </c>
      <c r="R214" s="11">
        <v>60</v>
      </c>
    </row>
    <row r="215" spans="2:18" x14ac:dyDescent="0.35">
      <c r="B215">
        <v>212</v>
      </c>
      <c r="C215" s="1">
        <v>45086</v>
      </c>
      <c r="D215" t="s">
        <v>225</v>
      </c>
      <c r="E215" t="s">
        <v>10</v>
      </c>
      <c r="F215">
        <v>21</v>
      </c>
      <c r="G215" t="str">
        <f>IF(Table14[[#This Row],[Age]]&lt;=25,"Young",IF(Table14[[#This Row],[Age]]&gt;55,"Old",IF(Table14[[#This Row],[Age]]&gt;25,"Middle","Na")))</f>
        <v>Young</v>
      </c>
      <c r="H215" t="s">
        <v>14</v>
      </c>
      <c r="I215">
        <v>3</v>
      </c>
      <c r="J215">
        <v>500</v>
      </c>
      <c r="K215">
        <v>1500</v>
      </c>
      <c r="N215" s="11" t="s">
        <v>913</v>
      </c>
      <c r="O215" s="11" t="s">
        <v>14</v>
      </c>
      <c r="P215" s="11">
        <f>K213/J213</f>
        <v>4</v>
      </c>
      <c r="Q215" s="11">
        <v>60</v>
      </c>
      <c r="R215" s="11">
        <v>60</v>
      </c>
    </row>
    <row r="216" spans="2:18" x14ac:dyDescent="0.35">
      <c r="B216">
        <v>213</v>
      </c>
      <c r="C216" s="1">
        <v>45131</v>
      </c>
      <c r="D216" t="s">
        <v>226</v>
      </c>
      <c r="E216" t="s">
        <v>10</v>
      </c>
      <c r="F216">
        <v>27</v>
      </c>
      <c r="G216" t="str">
        <f>IF(Table14[[#This Row],[Age]]&lt;=25,"Young",IF(Table14[[#This Row],[Age]]&gt;55,"Old",IF(Table14[[#This Row],[Age]]&gt;25,"Middle","Na")))</f>
        <v>Middle</v>
      </c>
      <c r="H216" t="s">
        <v>11</v>
      </c>
      <c r="I216">
        <v>3</v>
      </c>
      <c r="J216">
        <v>500</v>
      </c>
      <c r="K216">
        <v>1500</v>
      </c>
      <c r="N216" s="11" t="s">
        <v>31</v>
      </c>
      <c r="O216" s="11" t="s">
        <v>16</v>
      </c>
      <c r="P216" s="11">
        <f>K214/J214</f>
        <v>3</v>
      </c>
      <c r="Q216" s="11">
        <v>50</v>
      </c>
      <c r="R216" s="11">
        <v>50</v>
      </c>
    </row>
    <row r="217" spans="2:18" x14ac:dyDescent="0.35">
      <c r="B217">
        <v>214</v>
      </c>
      <c r="C217" s="1">
        <v>45270</v>
      </c>
      <c r="D217" t="s">
        <v>227</v>
      </c>
      <c r="E217" t="s">
        <v>10</v>
      </c>
      <c r="F217">
        <v>20</v>
      </c>
      <c r="G217" t="str">
        <f>IF(Table14[[#This Row],[Age]]&lt;=25,"Young",IF(Table14[[#This Row],[Age]]&gt;55,"Old",IF(Table14[[#This Row],[Age]]&gt;25,"Middle","Na")))</f>
        <v>Young</v>
      </c>
      <c r="H217" t="s">
        <v>11</v>
      </c>
      <c r="I217">
        <v>2</v>
      </c>
      <c r="J217">
        <v>30</v>
      </c>
      <c r="K217">
        <v>60</v>
      </c>
      <c r="N217" s="11" t="s">
        <v>32</v>
      </c>
      <c r="O217" s="11" t="s">
        <v>14</v>
      </c>
      <c r="P217" s="11">
        <f>K215/J215</f>
        <v>3</v>
      </c>
      <c r="Q217" s="11">
        <v>50</v>
      </c>
      <c r="R217" s="11">
        <v>50</v>
      </c>
    </row>
    <row r="218" spans="2:18" x14ac:dyDescent="0.35">
      <c r="B218">
        <v>215</v>
      </c>
      <c r="C218" s="1">
        <v>45259</v>
      </c>
      <c r="D218" t="s">
        <v>228</v>
      </c>
      <c r="E218" t="s">
        <v>10</v>
      </c>
      <c r="F218">
        <v>58</v>
      </c>
      <c r="G218" t="str">
        <f>IF(Table14[[#This Row],[Age]]&lt;=25,"Young",IF(Table14[[#This Row],[Age]]&gt;55,"Old",IF(Table14[[#This Row],[Age]]&gt;25,"Middle","Na")))</f>
        <v>Old</v>
      </c>
      <c r="H218" t="s">
        <v>14</v>
      </c>
      <c r="I218">
        <v>3</v>
      </c>
      <c r="J218">
        <v>500</v>
      </c>
      <c r="K218">
        <v>1500</v>
      </c>
      <c r="N218" s="11" t="s">
        <v>76</v>
      </c>
      <c r="O218" s="11" t="s">
        <v>16</v>
      </c>
      <c r="P218" s="11">
        <f>K216/J216</f>
        <v>3</v>
      </c>
      <c r="Q218" s="11">
        <v>50</v>
      </c>
      <c r="R218" s="11">
        <v>50</v>
      </c>
    </row>
    <row r="219" spans="2:18" x14ac:dyDescent="0.35">
      <c r="B219">
        <v>216</v>
      </c>
      <c r="C219" s="1">
        <v>45118</v>
      </c>
      <c r="D219" t="s">
        <v>229</v>
      </c>
      <c r="E219" t="s">
        <v>10</v>
      </c>
      <c r="F219">
        <v>62</v>
      </c>
      <c r="G219" t="str">
        <f>IF(Table14[[#This Row],[Age]]&lt;=25,"Young",IF(Table14[[#This Row],[Age]]&gt;55,"Old",IF(Table14[[#This Row],[Age]]&gt;25,"Middle","Na")))</f>
        <v>Old</v>
      </c>
      <c r="H219" t="s">
        <v>16</v>
      </c>
      <c r="I219">
        <v>2</v>
      </c>
      <c r="J219">
        <v>50</v>
      </c>
      <c r="K219">
        <v>100</v>
      </c>
      <c r="N219" s="11" t="s">
        <v>220</v>
      </c>
      <c r="O219" s="11" t="s">
        <v>11</v>
      </c>
      <c r="P219" s="11">
        <f>K217/J217</f>
        <v>2</v>
      </c>
      <c r="Q219" s="11">
        <v>50</v>
      </c>
      <c r="R219" s="11">
        <v>50</v>
      </c>
    </row>
    <row r="220" spans="2:18" x14ac:dyDescent="0.35">
      <c r="B220">
        <v>217</v>
      </c>
      <c r="C220" s="1">
        <v>45151</v>
      </c>
      <c r="D220" t="s">
        <v>230</v>
      </c>
      <c r="E220" t="s">
        <v>13</v>
      </c>
      <c r="F220">
        <v>35</v>
      </c>
      <c r="G220" t="str">
        <f>IF(Table14[[#This Row],[Age]]&lt;=25,"Young",IF(Table14[[#This Row],[Age]]&gt;55,"Old",IF(Table14[[#This Row],[Age]]&gt;25,"Middle","Na")))</f>
        <v>Middle</v>
      </c>
      <c r="H220" t="s">
        <v>16</v>
      </c>
      <c r="I220">
        <v>4</v>
      </c>
      <c r="J220">
        <v>50</v>
      </c>
      <c r="K220">
        <v>200</v>
      </c>
      <c r="N220" s="11" t="s">
        <v>299</v>
      </c>
      <c r="O220" s="11" t="s">
        <v>16</v>
      </c>
      <c r="P220" s="11">
        <f>K218/J218</f>
        <v>3</v>
      </c>
      <c r="Q220" s="11">
        <v>50</v>
      </c>
      <c r="R220" s="11">
        <v>50</v>
      </c>
    </row>
    <row r="221" spans="2:18" x14ac:dyDescent="0.35">
      <c r="B221">
        <v>218</v>
      </c>
      <c r="C221" s="1">
        <v>45191</v>
      </c>
      <c r="D221" t="s">
        <v>231</v>
      </c>
      <c r="E221" t="s">
        <v>10</v>
      </c>
      <c r="F221">
        <v>64</v>
      </c>
      <c r="G221" t="str">
        <f>IF(Table14[[#This Row],[Age]]&lt;=25,"Young",IF(Table14[[#This Row],[Age]]&gt;55,"Old",IF(Table14[[#This Row],[Age]]&gt;25,"Middle","Na")))</f>
        <v>Old</v>
      </c>
      <c r="H221" t="s">
        <v>11</v>
      </c>
      <c r="I221">
        <v>3</v>
      </c>
      <c r="J221">
        <v>30</v>
      </c>
      <c r="K221">
        <v>90</v>
      </c>
      <c r="N221" s="11" t="s">
        <v>320</v>
      </c>
      <c r="O221" s="11" t="s">
        <v>16</v>
      </c>
      <c r="P221" s="11">
        <f>K219/J219</f>
        <v>2</v>
      </c>
      <c r="Q221" s="11">
        <v>50</v>
      </c>
      <c r="R221" s="11">
        <v>50</v>
      </c>
    </row>
    <row r="222" spans="2:18" x14ac:dyDescent="0.35">
      <c r="B222">
        <v>219</v>
      </c>
      <c r="C222" s="1">
        <v>45158</v>
      </c>
      <c r="D222" t="s">
        <v>232</v>
      </c>
      <c r="E222" t="s">
        <v>13</v>
      </c>
      <c r="F222">
        <v>53</v>
      </c>
      <c r="G222" t="str">
        <f>IF(Table14[[#This Row],[Age]]&lt;=25,"Young",IF(Table14[[#This Row],[Age]]&gt;55,"Old",IF(Table14[[#This Row],[Age]]&gt;25,"Middle","Na")))</f>
        <v>Middle</v>
      </c>
      <c r="H222" t="s">
        <v>16</v>
      </c>
      <c r="I222">
        <v>3</v>
      </c>
      <c r="J222">
        <v>30</v>
      </c>
      <c r="K222">
        <v>90</v>
      </c>
      <c r="N222" s="11" t="s">
        <v>334</v>
      </c>
      <c r="O222" s="11" t="s">
        <v>16</v>
      </c>
      <c r="P222" s="11">
        <f>K220/J220</f>
        <v>4</v>
      </c>
      <c r="Q222" s="11">
        <v>50</v>
      </c>
      <c r="R222" s="11">
        <v>50</v>
      </c>
    </row>
    <row r="223" spans="2:18" x14ac:dyDescent="0.35">
      <c r="B223">
        <v>220</v>
      </c>
      <c r="C223" s="1">
        <v>44988</v>
      </c>
      <c r="D223" t="s">
        <v>233</v>
      </c>
      <c r="E223" t="s">
        <v>10</v>
      </c>
      <c r="F223">
        <v>64</v>
      </c>
      <c r="G223" t="str">
        <f>IF(Table14[[#This Row],[Age]]&lt;=25,"Young",IF(Table14[[#This Row],[Age]]&gt;55,"Old",IF(Table14[[#This Row],[Age]]&gt;25,"Middle","Na")))</f>
        <v>Old</v>
      </c>
      <c r="H223" t="s">
        <v>11</v>
      </c>
      <c r="I223">
        <v>1</v>
      </c>
      <c r="J223">
        <v>500</v>
      </c>
      <c r="K223">
        <v>500</v>
      </c>
      <c r="N223" s="11" t="s">
        <v>402</v>
      </c>
      <c r="O223" s="11" t="s">
        <v>14</v>
      </c>
      <c r="P223" s="11">
        <f>K221/J221</f>
        <v>3</v>
      </c>
      <c r="Q223" s="11">
        <v>50</v>
      </c>
      <c r="R223" s="11">
        <v>50</v>
      </c>
    </row>
    <row r="224" spans="2:18" x14ac:dyDescent="0.35">
      <c r="B224">
        <v>221</v>
      </c>
      <c r="C224" s="1">
        <v>45053</v>
      </c>
      <c r="D224" t="s">
        <v>234</v>
      </c>
      <c r="E224" t="s">
        <v>10</v>
      </c>
      <c r="F224">
        <v>39</v>
      </c>
      <c r="G224" t="str">
        <f>IF(Table14[[#This Row],[Age]]&lt;=25,"Young",IF(Table14[[#This Row],[Age]]&gt;55,"Old",IF(Table14[[#This Row],[Age]]&gt;25,"Middle","Na")))</f>
        <v>Middle</v>
      </c>
      <c r="H224" t="s">
        <v>11</v>
      </c>
      <c r="I224">
        <v>2</v>
      </c>
      <c r="J224">
        <v>300</v>
      </c>
      <c r="K224">
        <v>600</v>
      </c>
      <c r="N224" s="11" t="s">
        <v>404</v>
      </c>
      <c r="O224" s="11" t="s">
        <v>11</v>
      </c>
      <c r="P224" s="11">
        <f>K222/J222</f>
        <v>3</v>
      </c>
      <c r="Q224" s="11">
        <v>50</v>
      </c>
      <c r="R224" s="11">
        <v>50</v>
      </c>
    </row>
    <row r="225" spans="2:18" x14ac:dyDescent="0.35">
      <c r="B225">
        <v>222</v>
      </c>
      <c r="C225" s="1">
        <v>45042</v>
      </c>
      <c r="D225" t="s">
        <v>235</v>
      </c>
      <c r="E225" t="s">
        <v>10</v>
      </c>
      <c r="F225">
        <v>51</v>
      </c>
      <c r="G225" t="str">
        <f>IF(Table14[[#This Row],[Age]]&lt;=25,"Young",IF(Table14[[#This Row],[Age]]&gt;55,"Old",IF(Table14[[#This Row],[Age]]&gt;25,"Middle","Na")))</f>
        <v>Middle</v>
      </c>
      <c r="H225" t="s">
        <v>14</v>
      </c>
      <c r="I225">
        <v>4</v>
      </c>
      <c r="J225">
        <v>30</v>
      </c>
      <c r="K225">
        <v>120</v>
      </c>
      <c r="N225" s="11" t="s">
        <v>447</v>
      </c>
      <c r="O225" s="11" t="s">
        <v>16</v>
      </c>
      <c r="P225" s="11">
        <f>K223/J223</f>
        <v>1</v>
      </c>
      <c r="Q225" s="11">
        <v>50</v>
      </c>
      <c r="R225" s="11">
        <v>50</v>
      </c>
    </row>
    <row r="226" spans="2:18" x14ac:dyDescent="0.35">
      <c r="B226">
        <v>223</v>
      </c>
      <c r="C226" s="1">
        <v>44959</v>
      </c>
      <c r="D226" t="s">
        <v>236</v>
      </c>
      <c r="E226" t="s">
        <v>13</v>
      </c>
      <c r="F226">
        <v>64</v>
      </c>
      <c r="G226" t="str">
        <f>IF(Table14[[#This Row],[Age]]&lt;=25,"Young",IF(Table14[[#This Row],[Age]]&gt;55,"Old",IF(Table14[[#This Row],[Age]]&gt;25,"Middle","Na")))</f>
        <v>Old</v>
      </c>
      <c r="H226" t="s">
        <v>14</v>
      </c>
      <c r="I226">
        <v>1</v>
      </c>
      <c r="J226">
        <v>25</v>
      </c>
      <c r="K226">
        <v>25</v>
      </c>
      <c r="N226" s="11" t="s">
        <v>587</v>
      </c>
      <c r="O226" s="11" t="s">
        <v>16</v>
      </c>
      <c r="P226" s="11">
        <f>K224/J224</f>
        <v>2</v>
      </c>
      <c r="Q226" s="11">
        <v>50</v>
      </c>
      <c r="R226" s="11">
        <v>50</v>
      </c>
    </row>
    <row r="227" spans="2:18" x14ac:dyDescent="0.35">
      <c r="B227">
        <v>224</v>
      </c>
      <c r="C227" s="1">
        <v>45100</v>
      </c>
      <c r="D227" t="s">
        <v>237</v>
      </c>
      <c r="E227" t="s">
        <v>13</v>
      </c>
      <c r="F227">
        <v>25</v>
      </c>
      <c r="G227" t="str">
        <f>IF(Table14[[#This Row],[Age]]&lt;=25,"Young",IF(Table14[[#This Row],[Age]]&gt;55,"Old",IF(Table14[[#This Row],[Age]]&gt;25,"Middle","Na")))</f>
        <v>Young</v>
      </c>
      <c r="H227" t="s">
        <v>14</v>
      </c>
      <c r="I227">
        <v>1</v>
      </c>
      <c r="J227">
        <v>50</v>
      </c>
      <c r="K227">
        <v>50</v>
      </c>
      <c r="N227" s="11" t="s">
        <v>707</v>
      </c>
      <c r="O227" s="11" t="s">
        <v>16</v>
      </c>
      <c r="P227" s="11">
        <f>K225/J225</f>
        <v>4</v>
      </c>
      <c r="Q227" s="11">
        <v>50</v>
      </c>
      <c r="R227" s="11">
        <v>50</v>
      </c>
    </row>
    <row r="228" spans="2:18" x14ac:dyDescent="0.35">
      <c r="B228">
        <v>225</v>
      </c>
      <c r="C228" s="1">
        <v>44937</v>
      </c>
      <c r="D228" t="s">
        <v>238</v>
      </c>
      <c r="E228" t="s">
        <v>13</v>
      </c>
      <c r="F228">
        <v>57</v>
      </c>
      <c r="G228" t="str">
        <f>IF(Table14[[#This Row],[Age]]&lt;=25,"Young",IF(Table14[[#This Row],[Age]]&gt;55,"Old",IF(Table14[[#This Row],[Age]]&gt;25,"Middle","Na")))</f>
        <v>Old</v>
      </c>
      <c r="H228" t="s">
        <v>11</v>
      </c>
      <c r="I228">
        <v>4</v>
      </c>
      <c r="J228">
        <v>25</v>
      </c>
      <c r="K228">
        <v>100</v>
      </c>
      <c r="N228" s="11" t="s">
        <v>764</v>
      </c>
      <c r="O228" s="11" t="s">
        <v>14</v>
      </c>
      <c r="P228" s="11">
        <f>K226/J226</f>
        <v>1</v>
      </c>
      <c r="Q228" s="11">
        <v>50</v>
      </c>
      <c r="R228" s="11">
        <v>50</v>
      </c>
    </row>
    <row r="229" spans="2:18" x14ac:dyDescent="0.35">
      <c r="B229">
        <v>226</v>
      </c>
      <c r="C229" s="1">
        <v>45228</v>
      </c>
      <c r="D229" t="s">
        <v>239</v>
      </c>
      <c r="E229" t="s">
        <v>13</v>
      </c>
      <c r="F229">
        <v>61</v>
      </c>
      <c r="G229" t="str">
        <f>IF(Table14[[#This Row],[Age]]&lt;=25,"Young",IF(Table14[[#This Row],[Age]]&gt;55,"Old",IF(Table14[[#This Row],[Age]]&gt;25,"Middle","Na")))</f>
        <v>Old</v>
      </c>
      <c r="H229" t="s">
        <v>14</v>
      </c>
      <c r="I229">
        <v>1</v>
      </c>
      <c r="J229">
        <v>50</v>
      </c>
      <c r="K229">
        <v>50</v>
      </c>
      <c r="N229" s="11" t="s">
        <v>787</v>
      </c>
      <c r="O229" s="11" t="s">
        <v>14</v>
      </c>
      <c r="P229" s="11">
        <f>K227/J227</f>
        <v>1</v>
      </c>
      <c r="Q229" s="11">
        <v>50</v>
      </c>
      <c r="R229" s="11">
        <v>50</v>
      </c>
    </row>
    <row r="230" spans="2:18" x14ac:dyDescent="0.35">
      <c r="B230">
        <v>227</v>
      </c>
      <c r="C230" s="1">
        <v>45210</v>
      </c>
      <c r="D230" t="s">
        <v>240</v>
      </c>
      <c r="E230" t="s">
        <v>10</v>
      </c>
      <c r="F230">
        <v>36</v>
      </c>
      <c r="G230" t="str">
        <f>IF(Table14[[#This Row],[Age]]&lt;=25,"Young",IF(Table14[[#This Row],[Age]]&gt;55,"Old",IF(Table14[[#This Row],[Age]]&gt;25,"Middle","Na")))</f>
        <v>Middle</v>
      </c>
      <c r="H230" t="s">
        <v>16</v>
      </c>
      <c r="I230">
        <v>2</v>
      </c>
      <c r="J230">
        <v>50</v>
      </c>
      <c r="K230">
        <v>100</v>
      </c>
      <c r="N230" s="11" t="s">
        <v>853</v>
      </c>
      <c r="O230" s="11" t="s">
        <v>14</v>
      </c>
      <c r="P230" s="11">
        <f>K228/J228</f>
        <v>4</v>
      </c>
      <c r="Q230" s="11">
        <v>50</v>
      </c>
      <c r="R230" s="11">
        <v>50</v>
      </c>
    </row>
    <row r="231" spans="2:18" x14ac:dyDescent="0.35">
      <c r="B231">
        <v>228</v>
      </c>
      <c r="C231" s="1">
        <v>45044</v>
      </c>
      <c r="D231" t="s">
        <v>241</v>
      </c>
      <c r="E231" t="s">
        <v>13</v>
      </c>
      <c r="F231">
        <v>59</v>
      </c>
      <c r="G231" t="str">
        <f>IF(Table14[[#This Row],[Age]]&lt;=25,"Young",IF(Table14[[#This Row],[Age]]&gt;55,"Old",IF(Table14[[#This Row],[Age]]&gt;25,"Middle","Na")))</f>
        <v>Old</v>
      </c>
      <c r="H231" t="s">
        <v>16</v>
      </c>
      <c r="I231">
        <v>2</v>
      </c>
      <c r="J231">
        <v>30</v>
      </c>
      <c r="K231">
        <v>60</v>
      </c>
      <c r="N231" s="11" t="s">
        <v>862</v>
      </c>
      <c r="O231" s="11" t="s">
        <v>14</v>
      </c>
      <c r="P231" s="11">
        <f>K229/J229</f>
        <v>1</v>
      </c>
      <c r="Q231" s="11">
        <v>50</v>
      </c>
      <c r="R231" s="11">
        <v>50</v>
      </c>
    </row>
    <row r="232" spans="2:18" x14ac:dyDescent="0.35">
      <c r="B232">
        <v>229</v>
      </c>
      <c r="C232" s="1">
        <v>45228</v>
      </c>
      <c r="D232" t="s">
        <v>242</v>
      </c>
      <c r="E232" t="s">
        <v>10</v>
      </c>
      <c r="F232">
        <v>58</v>
      </c>
      <c r="G232" t="str">
        <f>IF(Table14[[#This Row],[Age]]&lt;=25,"Young",IF(Table14[[#This Row],[Age]]&gt;55,"Old",IF(Table14[[#This Row],[Age]]&gt;25,"Middle","Na")))</f>
        <v>Old</v>
      </c>
      <c r="H232" t="s">
        <v>11</v>
      </c>
      <c r="I232">
        <v>3</v>
      </c>
      <c r="J232">
        <v>30</v>
      </c>
      <c r="K232">
        <v>90</v>
      </c>
      <c r="N232" s="11" t="s">
        <v>864</v>
      </c>
      <c r="O232" s="11" t="s">
        <v>16</v>
      </c>
      <c r="P232" s="11">
        <f>K230/J230</f>
        <v>2</v>
      </c>
      <c r="Q232" s="11">
        <v>50</v>
      </c>
      <c r="R232" s="11">
        <v>50</v>
      </c>
    </row>
    <row r="233" spans="2:18" x14ac:dyDescent="0.35">
      <c r="B233">
        <v>230</v>
      </c>
      <c r="C233" s="1">
        <v>45039</v>
      </c>
      <c r="D233" t="s">
        <v>243</v>
      </c>
      <c r="E233" t="s">
        <v>10</v>
      </c>
      <c r="F233">
        <v>54</v>
      </c>
      <c r="G233" t="str">
        <f>IF(Table14[[#This Row],[Age]]&lt;=25,"Young",IF(Table14[[#This Row],[Age]]&gt;55,"Old",IF(Table14[[#This Row],[Age]]&gt;25,"Middle","Na")))</f>
        <v>Middle</v>
      </c>
      <c r="H233" t="s">
        <v>11</v>
      </c>
      <c r="I233">
        <v>1</v>
      </c>
      <c r="J233">
        <v>25</v>
      </c>
      <c r="K233">
        <v>25</v>
      </c>
      <c r="N233" s="11" t="s">
        <v>876</v>
      </c>
      <c r="O233" s="11" t="s">
        <v>16</v>
      </c>
      <c r="P233" s="11">
        <f>K231/J231</f>
        <v>2</v>
      </c>
      <c r="Q233" s="11">
        <v>50</v>
      </c>
      <c r="R233" s="11">
        <v>50</v>
      </c>
    </row>
    <row r="234" spans="2:18" x14ac:dyDescent="0.35">
      <c r="B234">
        <v>231</v>
      </c>
      <c r="C234" s="1">
        <v>44930</v>
      </c>
      <c r="D234" t="s">
        <v>244</v>
      </c>
      <c r="E234" t="s">
        <v>13</v>
      </c>
      <c r="F234">
        <v>23</v>
      </c>
      <c r="G234" t="str">
        <f>IF(Table14[[#This Row],[Age]]&lt;=25,"Young",IF(Table14[[#This Row],[Age]]&gt;55,"Old",IF(Table14[[#This Row],[Age]]&gt;25,"Middle","Na")))</f>
        <v>Young</v>
      </c>
      <c r="H234" t="s">
        <v>14</v>
      </c>
      <c r="I234">
        <v>3</v>
      </c>
      <c r="J234">
        <v>50</v>
      </c>
      <c r="K234">
        <v>150</v>
      </c>
      <c r="N234" s="11" t="s">
        <v>932</v>
      </c>
      <c r="O234" s="11" t="s">
        <v>11</v>
      </c>
      <c r="P234" s="11">
        <f>K232/J232</f>
        <v>3</v>
      </c>
      <c r="Q234" s="11">
        <v>50</v>
      </c>
      <c r="R234" s="11">
        <v>50</v>
      </c>
    </row>
    <row r="235" spans="2:18" x14ac:dyDescent="0.35">
      <c r="B235">
        <v>232</v>
      </c>
      <c r="C235" s="1">
        <v>44963</v>
      </c>
      <c r="D235" t="s">
        <v>245</v>
      </c>
      <c r="E235" t="s">
        <v>13</v>
      </c>
      <c r="F235">
        <v>43</v>
      </c>
      <c r="G235" t="str">
        <f>IF(Table14[[#This Row],[Age]]&lt;=25,"Young",IF(Table14[[#This Row],[Age]]&gt;55,"Old",IF(Table14[[#This Row],[Age]]&gt;25,"Middle","Na")))</f>
        <v>Middle</v>
      </c>
      <c r="H235" t="s">
        <v>11</v>
      </c>
      <c r="I235">
        <v>1</v>
      </c>
      <c r="J235">
        <v>25</v>
      </c>
      <c r="K235">
        <v>25</v>
      </c>
      <c r="N235" s="11" t="s">
        <v>957</v>
      </c>
      <c r="O235" s="11" t="s">
        <v>14</v>
      </c>
      <c r="P235" s="11">
        <f>K233/J233</f>
        <v>1</v>
      </c>
      <c r="Q235" s="11">
        <v>50</v>
      </c>
      <c r="R235" s="11">
        <v>50</v>
      </c>
    </row>
    <row r="236" spans="2:18" x14ac:dyDescent="0.35">
      <c r="B236">
        <v>233</v>
      </c>
      <c r="C236" s="1">
        <v>45289</v>
      </c>
      <c r="D236" t="s">
        <v>246</v>
      </c>
      <c r="E236" t="s">
        <v>13</v>
      </c>
      <c r="F236">
        <v>51</v>
      </c>
      <c r="G236" t="str">
        <f>IF(Table14[[#This Row],[Age]]&lt;=25,"Young",IF(Table14[[#This Row],[Age]]&gt;55,"Old",IF(Table14[[#This Row],[Age]]&gt;25,"Middle","Na")))</f>
        <v>Middle</v>
      </c>
      <c r="H236" t="s">
        <v>11</v>
      </c>
      <c r="I236">
        <v>2</v>
      </c>
      <c r="J236">
        <v>300</v>
      </c>
      <c r="K236">
        <v>600</v>
      </c>
      <c r="N236" s="11" t="s">
        <v>72</v>
      </c>
      <c r="O236" s="11" t="s">
        <v>14</v>
      </c>
      <c r="P236" s="11">
        <f>K234/J234</f>
        <v>3</v>
      </c>
      <c r="Q236" s="11">
        <v>50</v>
      </c>
      <c r="R236" s="11">
        <v>50</v>
      </c>
    </row>
    <row r="237" spans="2:18" x14ac:dyDescent="0.35">
      <c r="B237">
        <v>234</v>
      </c>
      <c r="C237" s="1">
        <v>45250</v>
      </c>
      <c r="D237" t="s">
        <v>247</v>
      </c>
      <c r="E237" t="s">
        <v>13</v>
      </c>
      <c r="F237">
        <v>62</v>
      </c>
      <c r="G237" t="str">
        <f>IF(Table14[[#This Row],[Age]]&lt;=25,"Young",IF(Table14[[#This Row],[Age]]&gt;55,"Old",IF(Table14[[#This Row],[Age]]&gt;25,"Middle","Na")))</f>
        <v>Old</v>
      </c>
      <c r="H237" t="s">
        <v>16</v>
      </c>
      <c r="I237">
        <v>2</v>
      </c>
      <c r="J237">
        <v>25</v>
      </c>
      <c r="K237">
        <v>50</v>
      </c>
      <c r="N237" s="11" t="s">
        <v>237</v>
      </c>
      <c r="O237" s="11" t="s">
        <v>14</v>
      </c>
      <c r="P237" s="11">
        <f>K235/J235</f>
        <v>1</v>
      </c>
      <c r="Q237" s="11">
        <v>50</v>
      </c>
      <c r="R237" s="11">
        <v>50</v>
      </c>
    </row>
    <row r="238" spans="2:18" x14ac:dyDescent="0.35">
      <c r="B238">
        <v>235</v>
      </c>
      <c r="C238" s="1">
        <v>44957</v>
      </c>
      <c r="D238" t="s">
        <v>248</v>
      </c>
      <c r="E238" t="s">
        <v>13</v>
      </c>
      <c r="F238">
        <v>23</v>
      </c>
      <c r="G238" t="str">
        <f>IF(Table14[[#This Row],[Age]]&lt;=25,"Young",IF(Table14[[#This Row],[Age]]&gt;55,"Old",IF(Table14[[#This Row],[Age]]&gt;25,"Middle","Na")))</f>
        <v>Young</v>
      </c>
      <c r="H238" t="s">
        <v>16</v>
      </c>
      <c r="I238">
        <v>2</v>
      </c>
      <c r="J238">
        <v>500</v>
      </c>
      <c r="K238">
        <v>1000</v>
      </c>
      <c r="N238" s="11" t="s">
        <v>271</v>
      </c>
      <c r="O238" s="11" t="s">
        <v>14</v>
      </c>
      <c r="P238" s="11">
        <f>K236/J236</f>
        <v>2</v>
      </c>
      <c r="Q238" s="11">
        <v>50</v>
      </c>
      <c r="R238" s="11">
        <v>50</v>
      </c>
    </row>
    <row r="239" spans="2:18" x14ac:dyDescent="0.35">
      <c r="B239">
        <v>236</v>
      </c>
      <c r="C239" s="1">
        <v>45044</v>
      </c>
      <c r="D239" t="s">
        <v>249</v>
      </c>
      <c r="E239" t="s">
        <v>13</v>
      </c>
      <c r="F239">
        <v>54</v>
      </c>
      <c r="G239" t="str">
        <f>IF(Table14[[#This Row],[Age]]&lt;=25,"Young",IF(Table14[[#This Row],[Age]]&gt;55,"Old",IF(Table14[[#This Row],[Age]]&gt;25,"Middle","Na")))</f>
        <v>Middle</v>
      </c>
      <c r="H239" t="s">
        <v>14</v>
      </c>
      <c r="I239">
        <v>1</v>
      </c>
      <c r="J239">
        <v>25</v>
      </c>
      <c r="K239">
        <v>25</v>
      </c>
      <c r="N239" s="11" t="s">
        <v>319</v>
      </c>
      <c r="O239" s="11" t="s">
        <v>16</v>
      </c>
      <c r="P239" s="11">
        <f>K237/J237</f>
        <v>2</v>
      </c>
      <c r="Q239" s="11">
        <v>50</v>
      </c>
      <c r="R239" s="11">
        <v>50</v>
      </c>
    </row>
    <row r="240" spans="2:18" x14ac:dyDescent="0.35">
      <c r="B240">
        <v>237</v>
      </c>
      <c r="C240" s="1">
        <v>44961</v>
      </c>
      <c r="D240" t="s">
        <v>250</v>
      </c>
      <c r="E240" t="s">
        <v>13</v>
      </c>
      <c r="F240">
        <v>50</v>
      </c>
      <c r="G240" t="str">
        <f>IF(Table14[[#This Row],[Age]]&lt;=25,"Young",IF(Table14[[#This Row],[Age]]&gt;55,"Old",IF(Table14[[#This Row],[Age]]&gt;25,"Middle","Na")))</f>
        <v>Middle</v>
      </c>
      <c r="H240" t="s">
        <v>11</v>
      </c>
      <c r="I240">
        <v>2</v>
      </c>
      <c r="J240">
        <v>500</v>
      </c>
      <c r="K240">
        <v>1000</v>
      </c>
      <c r="N240" s="11" t="s">
        <v>518</v>
      </c>
      <c r="O240" s="11" t="s">
        <v>11</v>
      </c>
      <c r="P240" s="11">
        <f>K238/J238</f>
        <v>2</v>
      </c>
      <c r="Q240" s="11">
        <v>50</v>
      </c>
      <c r="R240" s="11">
        <v>50</v>
      </c>
    </row>
    <row r="241" spans="2:18" x14ac:dyDescent="0.35">
      <c r="B241">
        <v>238</v>
      </c>
      <c r="C241" s="1">
        <v>44943</v>
      </c>
      <c r="D241" t="s">
        <v>251</v>
      </c>
      <c r="E241" t="s">
        <v>13</v>
      </c>
      <c r="F241">
        <v>39</v>
      </c>
      <c r="G241" t="str">
        <f>IF(Table14[[#This Row],[Age]]&lt;=25,"Young",IF(Table14[[#This Row],[Age]]&gt;55,"Old",IF(Table14[[#This Row],[Age]]&gt;25,"Middle","Na")))</f>
        <v>Middle</v>
      </c>
      <c r="H241" t="s">
        <v>11</v>
      </c>
      <c r="I241">
        <v>1</v>
      </c>
      <c r="J241">
        <v>500</v>
      </c>
      <c r="K241">
        <v>500</v>
      </c>
      <c r="N241" s="11" t="s">
        <v>573</v>
      </c>
      <c r="O241" s="11" t="s">
        <v>16</v>
      </c>
      <c r="P241" s="11">
        <f>K239/J239</f>
        <v>1</v>
      </c>
      <c r="Q241" s="11">
        <v>50</v>
      </c>
      <c r="R241" s="11">
        <v>50</v>
      </c>
    </row>
    <row r="242" spans="2:18" x14ac:dyDescent="0.35">
      <c r="B242">
        <v>239</v>
      </c>
      <c r="C242" s="1">
        <v>45096</v>
      </c>
      <c r="D242" t="s">
        <v>252</v>
      </c>
      <c r="E242" t="s">
        <v>10</v>
      </c>
      <c r="F242">
        <v>38</v>
      </c>
      <c r="G242" t="str">
        <f>IF(Table14[[#This Row],[Age]]&lt;=25,"Young",IF(Table14[[#This Row],[Age]]&gt;55,"Old",IF(Table14[[#This Row],[Age]]&gt;25,"Middle","Na")))</f>
        <v>Middle</v>
      </c>
      <c r="H242" t="s">
        <v>16</v>
      </c>
      <c r="I242">
        <v>3</v>
      </c>
      <c r="J242">
        <v>500</v>
      </c>
      <c r="K242">
        <v>1500</v>
      </c>
      <c r="N242" s="11" t="s">
        <v>599</v>
      </c>
      <c r="O242" s="11" t="s">
        <v>16</v>
      </c>
      <c r="P242" s="11">
        <f>K240/J240</f>
        <v>2</v>
      </c>
      <c r="Q242" s="11">
        <v>50</v>
      </c>
      <c r="R242" s="11">
        <v>50</v>
      </c>
    </row>
    <row r="243" spans="2:18" x14ac:dyDescent="0.35">
      <c r="B243">
        <v>240</v>
      </c>
      <c r="C243" s="1">
        <v>44963</v>
      </c>
      <c r="D243" t="s">
        <v>253</v>
      </c>
      <c r="E243" t="s">
        <v>13</v>
      </c>
      <c r="F243">
        <v>23</v>
      </c>
      <c r="G243" t="str">
        <f>IF(Table14[[#This Row],[Age]]&lt;=25,"Young",IF(Table14[[#This Row],[Age]]&gt;55,"Old",IF(Table14[[#This Row],[Age]]&gt;25,"Middle","Na")))</f>
        <v>Young</v>
      </c>
      <c r="H243" t="s">
        <v>11</v>
      </c>
      <c r="I243">
        <v>1</v>
      </c>
      <c r="J243">
        <v>300</v>
      </c>
      <c r="K243">
        <v>300</v>
      </c>
      <c r="N243" s="11" t="s">
        <v>619</v>
      </c>
      <c r="O243" s="11" t="s">
        <v>16</v>
      </c>
      <c r="P243" s="11">
        <f>K241/J241</f>
        <v>1</v>
      </c>
      <c r="Q243" s="11">
        <v>50</v>
      </c>
      <c r="R243" s="11">
        <v>50</v>
      </c>
    </row>
    <row r="244" spans="2:18" x14ac:dyDescent="0.35">
      <c r="B244">
        <v>241</v>
      </c>
      <c r="C244" s="1">
        <v>45190</v>
      </c>
      <c r="D244" t="s">
        <v>254</v>
      </c>
      <c r="E244" t="s">
        <v>13</v>
      </c>
      <c r="F244">
        <v>23</v>
      </c>
      <c r="G244" t="str">
        <f>IF(Table14[[#This Row],[Age]]&lt;=25,"Young",IF(Table14[[#This Row],[Age]]&gt;55,"Old",IF(Table14[[#This Row],[Age]]&gt;25,"Middle","Na")))</f>
        <v>Young</v>
      </c>
      <c r="H244" t="s">
        <v>16</v>
      </c>
      <c r="I244">
        <v>3</v>
      </c>
      <c r="J244">
        <v>25</v>
      </c>
      <c r="K244">
        <v>75</v>
      </c>
      <c r="N244" s="11" t="s">
        <v>859</v>
      </c>
      <c r="O244" s="11" t="s">
        <v>11</v>
      </c>
      <c r="P244" s="11">
        <f>K242/J242</f>
        <v>3</v>
      </c>
      <c r="Q244" s="11">
        <v>50</v>
      </c>
      <c r="R244" s="11">
        <v>50</v>
      </c>
    </row>
    <row r="245" spans="2:18" x14ac:dyDescent="0.35">
      <c r="B245">
        <v>242</v>
      </c>
      <c r="C245" s="1">
        <v>45048</v>
      </c>
      <c r="D245" t="s">
        <v>255</v>
      </c>
      <c r="E245" t="s">
        <v>10</v>
      </c>
      <c r="F245">
        <v>21</v>
      </c>
      <c r="G245" t="str">
        <f>IF(Table14[[#This Row],[Age]]&lt;=25,"Young",IF(Table14[[#This Row],[Age]]&gt;55,"Old",IF(Table14[[#This Row],[Age]]&gt;25,"Middle","Na")))</f>
        <v>Young</v>
      </c>
      <c r="H245" t="s">
        <v>14</v>
      </c>
      <c r="I245">
        <v>1</v>
      </c>
      <c r="J245">
        <v>25</v>
      </c>
      <c r="K245">
        <v>25</v>
      </c>
      <c r="N245" s="11" t="s">
        <v>879</v>
      </c>
      <c r="O245" s="11" t="s">
        <v>16</v>
      </c>
      <c r="P245" s="11">
        <f>K243/J243</f>
        <v>1</v>
      </c>
      <c r="Q245" s="11">
        <v>50</v>
      </c>
      <c r="R245" s="11">
        <v>50</v>
      </c>
    </row>
    <row r="246" spans="2:18" x14ac:dyDescent="0.35">
      <c r="B246">
        <v>243</v>
      </c>
      <c r="C246" s="1">
        <v>45069</v>
      </c>
      <c r="D246" t="s">
        <v>256</v>
      </c>
      <c r="E246" t="s">
        <v>13</v>
      </c>
      <c r="F246">
        <v>47</v>
      </c>
      <c r="G246" t="str">
        <f>IF(Table14[[#This Row],[Age]]&lt;=25,"Young",IF(Table14[[#This Row],[Age]]&gt;55,"Old",IF(Table14[[#This Row],[Age]]&gt;25,"Middle","Na")))</f>
        <v>Middle</v>
      </c>
      <c r="H246" t="s">
        <v>16</v>
      </c>
      <c r="I246">
        <v>3</v>
      </c>
      <c r="J246">
        <v>300</v>
      </c>
      <c r="K246">
        <v>900</v>
      </c>
      <c r="N246" s="11" t="s">
        <v>902</v>
      </c>
      <c r="O246" s="11" t="s">
        <v>16</v>
      </c>
      <c r="P246" s="11">
        <f>K244/J244</f>
        <v>3</v>
      </c>
      <c r="Q246" s="11">
        <v>50</v>
      </c>
      <c r="R246" s="11">
        <v>50</v>
      </c>
    </row>
    <row r="247" spans="2:18" x14ac:dyDescent="0.35">
      <c r="B247">
        <v>244</v>
      </c>
      <c r="C247" s="1">
        <v>45269</v>
      </c>
      <c r="D247" t="s">
        <v>257</v>
      </c>
      <c r="E247" t="s">
        <v>10</v>
      </c>
      <c r="F247">
        <v>28</v>
      </c>
      <c r="G247" t="str">
        <f>IF(Table14[[#This Row],[Age]]&lt;=25,"Young",IF(Table14[[#This Row],[Age]]&gt;55,"Old",IF(Table14[[#This Row],[Age]]&gt;25,"Middle","Na")))</f>
        <v>Middle</v>
      </c>
      <c r="H247" t="s">
        <v>11</v>
      </c>
      <c r="I247">
        <v>2</v>
      </c>
      <c r="J247">
        <v>50</v>
      </c>
      <c r="K247">
        <v>100</v>
      </c>
      <c r="N247" s="11" t="s">
        <v>948</v>
      </c>
      <c r="O247" s="11" t="s">
        <v>11</v>
      </c>
      <c r="P247" s="11">
        <f>K245/J245</f>
        <v>1</v>
      </c>
      <c r="Q247" s="11">
        <v>50</v>
      </c>
      <c r="R247" s="11">
        <v>50</v>
      </c>
    </row>
    <row r="248" spans="2:18" x14ac:dyDescent="0.35">
      <c r="B248">
        <v>245</v>
      </c>
      <c r="C248" s="1">
        <v>45175</v>
      </c>
      <c r="D248" t="s">
        <v>258</v>
      </c>
      <c r="E248" t="s">
        <v>10</v>
      </c>
      <c r="F248">
        <v>47</v>
      </c>
      <c r="G248" t="str">
        <f>IF(Table14[[#This Row],[Age]]&lt;=25,"Young",IF(Table14[[#This Row],[Age]]&gt;55,"Old",IF(Table14[[#This Row],[Age]]&gt;25,"Middle","Na")))</f>
        <v>Middle</v>
      </c>
      <c r="H248" t="s">
        <v>14</v>
      </c>
      <c r="I248">
        <v>3</v>
      </c>
      <c r="J248">
        <v>30</v>
      </c>
      <c r="K248">
        <v>90</v>
      </c>
      <c r="N248" s="11" t="s">
        <v>70</v>
      </c>
      <c r="O248" s="11" t="s">
        <v>11</v>
      </c>
      <c r="P248" s="11">
        <f>K246/J246</f>
        <v>3</v>
      </c>
      <c r="Q248" s="11">
        <v>30</v>
      </c>
      <c r="R248" s="11">
        <v>30</v>
      </c>
    </row>
    <row r="249" spans="2:18" x14ac:dyDescent="0.35">
      <c r="B249">
        <v>246</v>
      </c>
      <c r="C249" s="1">
        <v>45036</v>
      </c>
      <c r="D249" t="s">
        <v>259</v>
      </c>
      <c r="E249" t="s">
        <v>13</v>
      </c>
      <c r="F249">
        <v>48</v>
      </c>
      <c r="G249" t="str">
        <f>IF(Table14[[#This Row],[Age]]&lt;=25,"Young",IF(Table14[[#This Row],[Age]]&gt;55,"Old",IF(Table14[[#This Row],[Age]]&gt;25,"Middle","Na")))</f>
        <v>Middle</v>
      </c>
      <c r="H249" t="s">
        <v>16</v>
      </c>
      <c r="I249">
        <v>2</v>
      </c>
      <c r="J249">
        <v>25</v>
      </c>
      <c r="K249">
        <v>50</v>
      </c>
      <c r="N249" s="11" t="s">
        <v>153</v>
      </c>
      <c r="O249" s="11" t="s">
        <v>16</v>
      </c>
      <c r="P249" s="11">
        <f>K247/J247</f>
        <v>2</v>
      </c>
      <c r="Q249" s="11">
        <v>30</v>
      </c>
      <c r="R249" s="11">
        <v>30</v>
      </c>
    </row>
    <row r="250" spans="2:18" x14ac:dyDescent="0.35">
      <c r="B250">
        <v>247</v>
      </c>
      <c r="C250" s="1">
        <v>45203</v>
      </c>
      <c r="D250" t="s">
        <v>260</v>
      </c>
      <c r="E250" t="s">
        <v>10</v>
      </c>
      <c r="F250">
        <v>41</v>
      </c>
      <c r="G250" t="str">
        <f>IF(Table14[[#This Row],[Age]]&lt;=25,"Young",IF(Table14[[#This Row],[Age]]&gt;55,"Old",IF(Table14[[#This Row],[Age]]&gt;25,"Middle","Na")))</f>
        <v>Middle</v>
      </c>
      <c r="H250" t="s">
        <v>16</v>
      </c>
      <c r="I250">
        <v>2</v>
      </c>
      <c r="J250">
        <v>30</v>
      </c>
      <c r="K250">
        <v>60</v>
      </c>
      <c r="N250" s="11" t="s">
        <v>409</v>
      </c>
      <c r="O250" s="11" t="s">
        <v>11</v>
      </c>
      <c r="P250" s="11">
        <f>K248/J248</f>
        <v>3</v>
      </c>
      <c r="Q250" s="11">
        <v>30</v>
      </c>
      <c r="R250" s="11">
        <v>30</v>
      </c>
    </row>
    <row r="251" spans="2:18" x14ac:dyDescent="0.35">
      <c r="B251">
        <v>248</v>
      </c>
      <c r="C251" s="1">
        <v>44994</v>
      </c>
      <c r="D251" t="s">
        <v>261</v>
      </c>
      <c r="E251" t="s">
        <v>10</v>
      </c>
      <c r="F251">
        <v>26</v>
      </c>
      <c r="G251" t="str">
        <f>IF(Table14[[#This Row],[Age]]&lt;=25,"Young",IF(Table14[[#This Row],[Age]]&gt;55,"Old",IF(Table14[[#This Row],[Age]]&gt;25,"Middle","Na")))</f>
        <v>Middle</v>
      </c>
      <c r="H251" t="s">
        <v>14</v>
      </c>
      <c r="I251">
        <v>3</v>
      </c>
      <c r="J251">
        <v>300</v>
      </c>
      <c r="K251">
        <v>900</v>
      </c>
      <c r="N251" s="11" t="s">
        <v>630</v>
      </c>
      <c r="O251" s="11" t="s">
        <v>16</v>
      </c>
      <c r="P251" s="11">
        <f>K249/J249</f>
        <v>2</v>
      </c>
      <c r="Q251" s="11">
        <v>30</v>
      </c>
      <c r="R251" s="11">
        <v>30</v>
      </c>
    </row>
    <row r="252" spans="2:18" x14ac:dyDescent="0.35">
      <c r="B252">
        <v>249</v>
      </c>
      <c r="C252" s="1">
        <v>45219</v>
      </c>
      <c r="D252" t="s">
        <v>262</v>
      </c>
      <c r="E252" t="s">
        <v>10</v>
      </c>
      <c r="F252">
        <v>20</v>
      </c>
      <c r="G252" t="str">
        <f>IF(Table14[[#This Row],[Age]]&lt;=25,"Young",IF(Table14[[#This Row],[Age]]&gt;55,"Old",IF(Table14[[#This Row],[Age]]&gt;25,"Middle","Na")))</f>
        <v>Young</v>
      </c>
      <c r="H252" t="s">
        <v>14</v>
      </c>
      <c r="I252">
        <v>1</v>
      </c>
      <c r="J252">
        <v>50</v>
      </c>
      <c r="K252">
        <v>50</v>
      </c>
      <c r="N252" s="11" t="s">
        <v>663</v>
      </c>
      <c r="O252" s="11" t="s">
        <v>16</v>
      </c>
      <c r="P252" s="11">
        <f>K250/J250</f>
        <v>2</v>
      </c>
      <c r="Q252" s="11">
        <v>30</v>
      </c>
      <c r="R252" s="11">
        <v>30</v>
      </c>
    </row>
    <row r="253" spans="2:18" x14ac:dyDescent="0.35">
      <c r="B253">
        <v>250</v>
      </c>
      <c r="C253" s="1">
        <v>45222</v>
      </c>
      <c r="D253" t="s">
        <v>263</v>
      </c>
      <c r="E253" t="s">
        <v>10</v>
      </c>
      <c r="F253">
        <v>48</v>
      </c>
      <c r="G253" t="str">
        <f>IF(Table14[[#This Row],[Age]]&lt;=25,"Young",IF(Table14[[#This Row],[Age]]&gt;55,"Old",IF(Table14[[#This Row],[Age]]&gt;25,"Middle","Na")))</f>
        <v>Middle</v>
      </c>
      <c r="H253" t="s">
        <v>16</v>
      </c>
      <c r="I253">
        <v>1</v>
      </c>
      <c r="J253">
        <v>50</v>
      </c>
      <c r="K253">
        <v>50</v>
      </c>
      <c r="N253" s="11" t="s">
        <v>683</v>
      </c>
      <c r="O253" s="11" t="s">
        <v>11</v>
      </c>
      <c r="P253" s="11">
        <f>K251/J251</f>
        <v>3</v>
      </c>
      <c r="Q253" s="11">
        <v>30</v>
      </c>
      <c r="R253" s="11">
        <v>30</v>
      </c>
    </row>
    <row r="254" spans="2:18" x14ac:dyDescent="0.35">
      <c r="B254">
        <v>251</v>
      </c>
      <c r="C254" s="1">
        <v>45169</v>
      </c>
      <c r="D254" t="s">
        <v>264</v>
      </c>
      <c r="E254" t="s">
        <v>13</v>
      </c>
      <c r="F254">
        <v>57</v>
      </c>
      <c r="G254" t="str">
        <f>IF(Table14[[#This Row],[Age]]&lt;=25,"Young",IF(Table14[[#This Row],[Age]]&gt;55,"Old",IF(Table14[[#This Row],[Age]]&gt;25,"Middle","Na")))</f>
        <v>Old</v>
      </c>
      <c r="H254" t="s">
        <v>11</v>
      </c>
      <c r="I254">
        <v>4</v>
      </c>
      <c r="J254">
        <v>50</v>
      </c>
      <c r="K254">
        <v>200</v>
      </c>
      <c r="N254" s="11" t="s">
        <v>746</v>
      </c>
      <c r="O254" s="11" t="s">
        <v>11</v>
      </c>
      <c r="P254" s="11">
        <f>K252/J252</f>
        <v>1</v>
      </c>
      <c r="Q254" s="11">
        <v>30</v>
      </c>
      <c r="R254" s="11">
        <v>30</v>
      </c>
    </row>
    <row r="255" spans="2:18" x14ac:dyDescent="0.35">
      <c r="B255">
        <v>252</v>
      </c>
      <c r="C255" s="1">
        <v>45051</v>
      </c>
      <c r="D255" t="s">
        <v>265</v>
      </c>
      <c r="E255" t="s">
        <v>10</v>
      </c>
      <c r="F255">
        <v>54</v>
      </c>
      <c r="G255" t="str">
        <f>IF(Table14[[#This Row],[Age]]&lt;=25,"Young",IF(Table14[[#This Row],[Age]]&gt;55,"Old",IF(Table14[[#This Row],[Age]]&gt;25,"Middle","Na")))</f>
        <v>Middle</v>
      </c>
      <c r="H255" t="s">
        <v>16</v>
      </c>
      <c r="I255">
        <v>1</v>
      </c>
      <c r="J255">
        <v>300</v>
      </c>
      <c r="K255">
        <v>300</v>
      </c>
      <c r="N255" s="11" t="s">
        <v>747</v>
      </c>
      <c r="O255" s="11" t="s">
        <v>14</v>
      </c>
      <c r="P255" s="11">
        <f>K253/J253</f>
        <v>1</v>
      </c>
      <c r="Q255" s="11">
        <v>30</v>
      </c>
      <c r="R255" s="11">
        <v>30</v>
      </c>
    </row>
    <row r="256" spans="2:18" x14ac:dyDescent="0.35">
      <c r="B256">
        <v>253</v>
      </c>
      <c r="C256" s="1">
        <v>45169</v>
      </c>
      <c r="D256" t="s">
        <v>266</v>
      </c>
      <c r="E256" t="s">
        <v>13</v>
      </c>
      <c r="F256">
        <v>53</v>
      </c>
      <c r="G256" t="str">
        <f>IF(Table14[[#This Row],[Age]]&lt;=25,"Young",IF(Table14[[#This Row],[Age]]&gt;55,"Old",IF(Table14[[#This Row],[Age]]&gt;25,"Middle","Na")))</f>
        <v>Middle</v>
      </c>
      <c r="H256" t="s">
        <v>14</v>
      </c>
      <c r="I256">
        <v>4</v>
      </c>
      <c r="J256">
        <v>500</v>
      </c>
      <c r="K256">
        <v>2000</v>
      </c>
      <c r="N256" s="11" t="s">
        <v>785</v>
      </c>
      <c r="O256" s="11" t="s">
        <v>16</v>
      </c>
      <c r="P256" s="11">
        <f>K254/J254</f>
        <v>4</v>
      </c>
      <c r="Q256" s="11">
        <v>30</v>
      </c>
      <c r="R256" s="11">
        <v>30</v>
      </c>
    </row>
    <row r="257" spans="2:18" x14ac:dyDescent="0.35">
      <c r="B257">
        <v>254</v>
      </c>
      <c r="C257" s="1">
        <v>45135</v>
      </c>
      <c r="D257" t="s">
        <v>267</v>
      </c>
      <c r="E257" t="s">
        <v>10</v>
      </c>
      <c r="F257">
        <v>41</v>
      </c>
      <c r="G257" t="str">
        <f>IF(Table14[[#This Row],[Age]]&lt;=25,"Young",IF(Table14[[#This Row],[Age]]&gt;55,"Old",IF(Table14[[#This Row],[Age]]&gt;25,"Middle","Na")))</f>
        <v>Middle</v>
      </c>
      <c r="H257" t="s">
        <v>16</v>
      </c>
      <c r="I257">
        <v>1</v>
      </c>
      <c r="J257">
        <v>500</v>
      </c>
      <c r="K257">
        <v>500</v>
      </c>
      <c r="N257" s="11" t="s">
        <v>815</v>
      </c>
      <c r="O257" s="11" t="s">
        <v>11</v>
      </c>
      <c r="P257" s="11">
        <f>K255/J255</f>
        <v>1</v>
      </c>
      <c r="Q257" s="11">
        <v>30</v>
      </c>
      <c r="R257" s="11">
        <v>30</v>
      </c>
    </row>
    <row r="258" spans="2:18" x14ac:dyDescent="0.35">
      <c r="B258">
        <v>255</v>
      </c>
      <c r="C258" s="1">
        <v>45024</v>
      </c>
      <c r="D258" t="s">
        <v>268</v>
      </c>
      <c r="E258" t="s">
        <v>10</v>
      </c>
      <c r="F258">
        <v>48</v>
      </c>
      <c r="G258" t="str">
        <f>IF(Table14[[#This Row],[Age]]&lt;=25,"Young",IF(Table14[[#This Row],[Age]]&gt;55,"Old",IF(Table14[[#This Row],[Age]]&gt;25,"Middle","Na")))</f>
        <v>Middle</v>
      </c>
      <c r="H258" t="s">
        <v>14</v>
      </c>
      <c r="I258">
        <v>1</v>
      </c>
      <c r="J258">
        <v>30</v>
      </c>
      <c r="K258">
        <v>30</v>
      </c>
      <c r="N258" s="11" t="s">
        <v>907</v>
      </c>
      <c r="O258" s="11" t="s">
        <v>16</v>
      </c>
      <c r="P258" s="11">
        <f>K256/J256</f>
        <v>4</v>
      </c>
      <c r="Q258" s="11">
        <v>30</v>
      </c>
      <c r="R258" s="11">
        <v>30</v>
      </c>
    </row>
    <row r="259" spans="2:18" x14ac:dyDescent="0.35">
      <c r="B259">
        <v>256</v>
      </c>
      <c r="C259" s="1">
        <v>44975</v>
      </c>
      <c r="D259" t="s">
        <v>269</v>
      </c>
      <c r="E259" t="s">
        <v>10</v>
      </c>
      <c r="F259">
        <v>23</v>
      </c>
      <c r="G259" t="str">
        <f>IF(Table14[[#This Row],[Age]]&lt;=25,"Young",IF(Table14[[#This Row],[Age]]&gt;55,"Old",IF(Table14[[#This Row],[Age]]&gt;25,"Middle","Na")))</f>
        <v>Young</v>
      </c>
      <c r="H259" t="s">
        <v>14</v>
      </c>
      <c r="I259">
        <v>2</v>
      </c>
      <c r="J259">
        <v>500</v>
      </c>
      <c r="K259">
        <v>1000</v>
      </c>
      <c r="N259" s="11" t="s">
        <v>946</v>
      </c>
      <c r="O259" s="11" t="s">
        <v>11</v>
      </c>
      <c r="P259" s="11">
        <f>K257/J257</f>
        <v>1</v>
      </c>
      <c r="Q259" s="11">
        <v>30</v>
      </c>
      <c r="R259" s="11">
        <v>30</v>
      </c>
    </row>
    <row r="260" spans="2:18" x14ac:dyDescent="0.35">
      <c r="B260">
        <v>257</v>
      </c>
      <c r="C260" s="1">
        <v>44976</v>
      </c>
      <c r="D260" t="s">
        <v>270</v>
      </c>
      <c r="E260" t="s">
        <v>10</v>
      </c>
      <c r="F260">
        <v>19</v>
      </c>
      <c r="G260" t="str">
        <f>IF(Table14[[#This Row],[Age]]&lt;=25,"Young",IF(Table14[[#This Row],[Age]]&gt;55,"Old",IF(Table14[[#This Row],[Age]]&gt;25,"Middle","Na")))</f>
        <v>Young</v>
      </c>
      <c r="H260" t="s">
        <v>11</v>
      </c>
      <c r="I260">
        <v>4</v>
      </c>
      <c r="J260">
        <v>500</v>
      </c>
      <c r="K260">
        <v>2000</v>
      </c>
      <c r="N260" s="11" t="s">
        <v>219</v>
      </c>
      <c r="O260" s="11" t="s">
        <v>14</v>
      </c>
      <c r="P260" s="11">
        <f>K258/J258</f>
        <v>1</v>
      </c>
      <c r="Q260" s="11">
        <v>25</v>
      </c>
      <c r="R260" s="11">
        <v>25</v>
      </c>
    </row>
    <row r="261" spans="2:18" x14ac:dyDescent="0.35">
      <c r="B261">
        <v>258</v>
      </c>
      <c r="C261" s="1">
        <v>45264</v>
      </c>
      <c r="D261" t="s">
        <v>271</v>
      </c>
      <c r="E261" t="s">
        <v>13</v>
      </c>
      <c r="F261">
        <v>37</v>
      </c>
      <c r="G261" t="str">
        <f>IF(Table14[[#This Row],[Age]]&lt;=25,"Young",IF(Table14[[#This Row],[Age]]&gt;55,"Old",IF(Table14[[#This Row],[Age]]&gt;25,"Middle","Na")))</f>
        <v>Middle</v>
      </c>
      <c r="H261" t="s">
        <v>14</v>
      </c>
      <c r="I261">
        <v>1</v>
      </c>
      <c r="J261">
        <v>50</v>
      </c>
      <c r="K261">
        <v>50</v>
      </c>
      <c r="N261" s="11" t="s">
        <v>249</v>
      </c>
      <c r="O261" s="11" t="s">
        <v>14</v>
      </c>
      <c r="P261" s="11">
        <f>K259/J259</f>
        <v>2</v>
      </c>
      <c r="Q261" s="11">
        <v>25</v>
      </c>
      <c r="R261" s="11">
        <v>25</v>
      </c>
    </row>
    <row r="262" spans="2:18" x14ac:dyDescent="0.35">
      <c r="B262">
        <v>259</v>
      </c>
      <c r="C262" s="1">
        <v>45147</v>
      </c>
      <c r="D262" t="s">
        <v>272</v>
      </c>
      <c r="E262" t="s">
        <v>13</v>
      </c>
      <c r="F262">
        <v>45</v>
      </c>
      <c r="G262" t="str">
        <f>IF(Table14[[#This Row],[Age]]&lt;=25,"Young",IF(Table14[[#This Row],[Age]]&gt;55,"Old",IF(Table14[[#This Row],[Age]]&gt;25,"Middle","Na")))</f>
        <v>Middle</v>
      </c>
      <c r="H262" t="s">
        <v>14</v>
      </c>
      <c r="I262">
        <v>4</v>
      </c>
      <c r="J262">
        <v>50</v>
      </c>
      <c r="K262">
        <v>200</v>
      </c>
      <c r="N262" s="11" t="s">
        <v>323</v>
      </c>
      <c r="O262" s="11" t="s">
        <v>11</v>
      </c>
      <c r="P262" s="11">
        <f>K260/J260</f>
        <v>4</v>
      </c>
      <c r="Q262" s="11">
        <v>25</v>
      </c>
      <c r="R262" s="11">
        <v>25</v>
      </c>
    </row>
    <row r="263" spans="2:18" x14ac:dyDescent="0.35">
      <c r="B263">
        <v>260</v>
      </c>
      <c r="C263" s="1">
        <v>45108</v>
      </c>
      <c r="D263" t="s">
        <v>273</v>
      </c>
      <c r="E263" t="s">
        <v>10</v>
      </c>
      <c r="F263">
        <v>28</v>
      </c>
      <c r="G263" t="str">
        <f>IF(Table14[[#This Row],[Age]]&lt;=25,"Young",IF(Table14[[#This Row],[Age]]&gt;55,"Old",IF(Table14[[#This Row],[Age]]&gt;25,"Middle","Na")))</f>
        <v>Middle</v>
      </c>
      <c r="H263" t="s">
        <v>11</v>
      </c>
      <c r="I263">
        <v>2</v>
      </c>
      <c r="J263">
        <v>30</v>
      </c>
      <c r="K263">
        <v>60</v>
      </c>
      <c r="N263" s="11" t="s">
        <v>384</v>
      </c>
      <c r="O263" s="11" t="s">
        <v>11</v>
      </c>
      <c r="P263" s="11">
        <f>K261/J261</f>
        <v>1</v>
      </c>
      <c r="Q263" s="11">
        <v>25</v>
      </c>
      <c r="R263" s="11">
        <v>25</v>
      </c>
    </row>
    <row r="264" spans="2:18" x14ac:dyDescent="0.35">
      <c r="B264">
        <v>261</v>
      </c>
      <c r="C264" s="1">
        <v>45143</v>
      </c>
      <c r="D264" t="s">
        <v>274</v>
      </c>
      <c r="E264" t="s">
        <v>10</v>
      </c>
      <c r="F264">
        <v>21</v>
      </c>
      <c r="G264" t="str">
        <f>IF(Table14[[#This Row],[Age]]&lt;=25,"Young",IF(Table14[[#This Row],[Age]]&gt;55,"Old",IF(Table14[[#This Row],[Age]]&gt;25,"Middle","Na")))</f>
        <v>Young</v>
      </c>
      <c r="H264" t="s">
        <v>14</v>
      </c>
      <c r="I264">
        <v>2</v>
      </c>
      <c r="J264">
        <v>25</v>
      </c>
      <c r="K264">
        <v>50</v>
      </c>
      <c r="N264" s="11" t="s">
        <v>392</v>
      </c>
      <c r="O264" s="11" t="s">
        <v>14</v>
      </c>
      <c r="P264" s="11">
        <f>K262/J262</f>
        <v>4</v>
      </c>
      <c r="Q264" s="11">
        <v>25</v>
      </c>
      <c r="R264" s="11">
        <v>25</v>
      </c>
    </row>
    <row r="265" spans="2:18" x14ac:dyDescent="0.35">
      <c r="B265">
        <v>262</v>
      </c>
      <c r="C265" s="1">
        <v>45137</v>
      </c>
      <c r="D265" t="s">
        <v>275</v>
      </c>
      <c r="E265" t="s">
        <v>13</v>
      </c>
      <c r="F265">
        <v>32</v>
      </c>
      <c r="G265" t="str">
        <f>IF(Table14[[#This Row],[Age]]&lt;=25,"Young",IF(Table14[[#This Row],[Age]]&gt;55,"Old",IF(Table14[[#This Row],[Age]]&gt;25,"Middle","Na")))</f>
        <v>Middle</v>
      </c>
      <c r="H265" t="s">
        <v>11</v>
      </c>
      <c r="I265">
        <v>4</v>
      </c>
      <c r="J265">
        <v>30</v>
      </c>
      <c r="K265">
        <v>120</v>
      </c>
      <c r="N265" s="11" t="s">
        <v>401</v>
      </c>
      <c r="O265" s="11" t="s">
        <v>16</v>
      </c>
      <c r="P265" s="11">
        <f>K263/J263</f>
        <v>2</v>
      </c>
      <c r="Q265" s="11">
        <v>25</v>
      </c>
      <c r="R265" s="11">
        <v>25</v>
      </c>
    </row>
    <row r="266" spans="2:18" x14ac:dyDescent="0.35">
      <c r="B266">
        <v>263</v>
      </c>
      <c r="C266" s="1">
        <v>45166</v>
      </c>
      <c r="D266" t="s">
        <v>276</v>
      </c>
      <c r="E266" t="s">
        <v>10</v>
      </c>
      <c r="F266">
        <v>23</v>
      </c>
      <c r="G266" t="str">
        <f>IF(Table14[[#This Row],[Age]]&lt;=25,"Young",IF(Table14[[#This Row],[Age]]&gt;55,"Old",IF(Table14[[#This Row],[Age]]&gt;25,"Middle","Na")))</f>
        <v>Young</v>
      </c>
      <c r="H266" t="s">
        <v>11</v>
      </c>
      <c r="I266">
        <v>2</v>
      </c>
      <c r="J266">
        <v>30</v>
      </c>
      <c r="K266">
        <v>60</v>
      </c>
      <c r="N266" s="11" t="s">
        <v>440</v>
      </c>
      <c r="O266" s="11" t="s">
        <v>16</v>
      </c>
      <c r="P266" s="11">
        <f>K264/J264</f>
        <v>2</v>
      </c>
      <c r="Q266" s="11">
        <v>25</v>
      </c>
      <c r="R266" s="11">
        <v>25</v>
      </c>
    </row>
    <row r="267" spans="2:18" x14ac:dyDescent="0.35">
      <c r="B267">
        <v>264</v>
      </c>
      <c r="C267" s="1">
        <v>44954</v>
      </c>
      <c r="D267" t="s">
        <v>277</v>
      </c>
      <c r="E267" t="s">
        <v>10</v>
      </c>
      <c r="F267">
        <v>47</v>
      </c>
      <c r="G267" t="str">
        <f>IF(Table14[[#This Row],[Age]]&lt;=25,"Young",IF(Table14[[#This Row],[Age]]&gt;55,"Old",IF(Table14[[#This Row],[Age]]&gt;25,"Middle","Na")))</f>
        <v>Middle</v>
      </c>
      <c r="H267" t="s">
        <v>14</v>
      </c>
      <c r="I267">
        <v>3</v>
      </c>
      <c r="J267">
        <v>300</v>
      </c>
      <c r="K267">
        <v>900</v>
      </c>
      <c r="N267" s="11" t="s">
        <v>980</v>
      </c>
      <c r="O267" s="11" t="s">
        <v>11</v>
      </c>
      <c r="P267" s="11">
        <f>K265/J265</f>
        <v>4</v>
      </c>
      <c r="Q267" s="11">
        <v>25</v>
      </c>
      <c r="R267" s="11">
        <v>25</v>
      </c>
    </row>
    <row r="268" spans="2:18" x14ac:dyDescent="0.35">
      <c r="B268">
        <v>265</v>
      </c>
      <c r="C268" s="1">
        <v>45271</v>
      </c>
      <c r="D268" t="s">
        <v>278</v>
      </c>
      <c r="E268" t="s">
        <v>10</v>
      </c>
      <c r="F268">
        <v>55</v>
      </c>
      <c r="G268" t="str">
        <f>IF(Table14[[#This Row],[Age]]&lt;=25,"Young",IF(Table14[[#This Row],[Age]]&gt;55,"Old",IF(Table14[[#This Row],[Age]]&gt;25,"Middle","Na")))</f>
        <v>Middle</v>
      </c>
      <c r="H268" t="s">
        <v>14</v>
      </c>
      <c r="I268">
        <v>3</v>
      </c>
      <c r="J268">
        <v>300</v>
      </c>
      <c r="K268">
        <v>900</v>
      </c>
      <c r="N268" s="11" t="s">
        <v>1002</v>
      </c>
      <c r="O268" s="11" t="s">
        <v>16</v>
      </c>
      <c r="P268" s="11">
        <f>K266/J266</f>
        <v>2</v>
      </c>
      <c r="Q268" s="11">
        <v>25</v>
      </c>
      <c r="R268" s="11">
        <v>25</v>
      </c>
    </row>
    <row r="269" spans="2:18" x14ac:dyDescent="0.35">
      <c r="B269">
        <v>266</v>
      </c>
      <c r="C269" s="1">
        <v>45261</v>
      </c>
      <c r="D269" t="s">
        <v>279</v>
      </c>
      <c r="E269" t="s">
        <v>13</v>
      </c>
      <c r="F269">
        <v>19</v>
      </c>
      <c r="G269" t="str">
        <f>IF(Table14[[#This Row],[Age]]&lt;=25,"Young",IF(Table14[[#This Row],[Age]]&gt;55,"Old",IF(Table14[[#This Row],[Age]]&gt;25,"Middle","Na")))</f>
        <v>Young</v>
      </c>
      <c r="H269" t="s">
        <v>16</v>
      </c>
      <c r="I269">
        <v>2</v>
      </c>
      <c r="J269">
        <v>30</v>
      </c>
      <c r="K269">
        <v>60</v>
      </c>
      <c r="N269" s="11" t="s">
        <v>690</v>
      </c>
      <c r="O269" s="11" t="s">
        <v>11</v>
      </c>
      <c r="P269" s="11">
        <f>K267/J267</f>
        <v>3</v>
      </c>
      <c r="Q269" s="11">
        <v>1500</v>
      </c>
      <c r="R269" s="11">
        <v>1500</v>
      </c>
    </row>
    <row r="270" spans="2:18" x14ac:dyDescent="0.35">
      <c r="B270">
        <v>267</v>
      </c>
      <c r="C270" s="1">
        <v>45257</v>
      </c>
      <c r="D270" t="s">
        <v>280</v>
      </c>
      <c r="E270" t="s">
        <v>13</v>
      </c>
      <c r="F270">
        <v>32</v>
      </c>
      <c r="G270" t="str">
        <f>IF(Table14[[#This Row],[Age]]&lt;=25,"Young",IF(Table14[[#This Row],[Age]]&gt;55,"Old",IF(Table14[[#This Row],[Age]]&gt;25,"Middle","Na")))</f>
        <v>Middle</v>
      </c>
      <c r="H270" t="s">
        <v>11</v>
      </c>
      <c r="I270">
        <v>3</v>
      </c>
      <c r="J270">
        <v>30</v>
      </c>
      <c r="K270">
        <v>90</v>
      </c>
      <c r="N270" s="11" t="s">
        <v>487</v>
      </c>
      <c r="O270" s="11" t="s">
        <v>14</v>
      </c>
      <c r="P270" s="11">
        <f>K268/J268</f>
        <v>3</v>
      </c>
      <c r="Q270" s="11">
        <v>1500</v>
      </c>
      <c r="R270" s="11">
        <v>1500</v>
      </c>
    </row>
    <row r="271" spans="2:18" x14ac:dyDescent="0.35">
      <c r="B271">
        <v>268</v>
      </c>
      <c r="C271" s="1">
        <v>44977</v>
      </c>
      <c r="D271" t="s">
        <v>281</v>
      </c>
      <c r="E271" t="s">
        <v>13</v>
      </c>
      <c r="F271">
        <v>28</v>
      </c>
      <c r="G271" t="str">
        <f>IF(Table14[[#This Row],[Age]]&lt;=25,"Young",IF(Table14[[#This Row],[Age]]&gt;55,"Old",IF(Table14[[#This Row],[Age]]&gt;25,"Middle","Na")))</f>
        <v>Middle</v>
      </c>
      <c r="H271" t="s">
        <v>16</v>
      </c>
      <c r="I271">
        <v>1</v>
      </c>
      <c r="J271">
        <v>30</v>
      </c>
      <c r="K271">
        <v>30</v>
      </c>
      <c r="N271" s="11" t="s">
        <v>500</v>
      </c>
      <c r="O271" s="11" t="s">
        <v>14</v>
      </c>
      <c r="P271" s="11">
        <f>K269/J269</f>
        <v>2</v>
      </c>
      <c r="Q271" s="11">
        <v>2000</v>
      </c>
      <c r="R271" s="11">
        <v>2000</v>
      </c>
    </row>
    <row r="272" spans="2:18" x14ac:dyDescent="0.35">
      <c r="B272">
        <v>269</v>
      </c>
      <c r="C272" s="1">
        <v>44958</v>
      </c>
      <c r="D272" t="s">
        <v>282</v>
      </c>
      <c r="E272" t="s">
        <v>10</v>
      </c>
      <c r="F272">
        <v>25</v>
      </c>
      <c r="G272" t="str">
        <f>IF(Table14[[#This Row],[Age]]&lt;=25,"Young",IF(Table14[[#This Row],[Age]]&gt;55,"Old",IF(Table14[[#This Row],[Age]]&gt;25,"Middle","Na")))</f>
        <v>Young</v>
      </c>
      <c r="H272" t="s">
        <v>14</v>
      </c>
      <c r="I272">
        <v>4</v>
      </c>
      <c r="J272">
        <v>500</v>
      </c>
      <c r="K272">
        <v>2000</v>
      </c>
      <c r="N272" s="11" t="s">
        <v>706</v>
      </c>
      <c r="O272" s="11" t="s">
        <v>11</v>
      </c>
      <c r="P272" s="11">
        <f>K270/J270</f>
        <v>3</v>
      </c>
      <c r="Q272" s="11">
        <v>1500</v>
      </c>
      <c r="R272" s="11">
        <v>1500</v>
      </c>
    </row>
    <row r="273" spans="2:18" x14ac:dyDescent="0.35">
      <c r="B273">
        <v>270</v>
      </c>
      <c r="C273" s="1">
        <v>45133</v>
      </c>
      <c r="D273" t="s">
        <v>283</v>
      </c>
      <c r="E273" t="s">
        <v>10</v>
      </c>
      <c r="F273">
        <v>43</v>
      </c>
      <c r="G273" t="str">
        <f>IF(Table14[[#This Row],[Age]]&lt;=25,"Young",IF(Table14[[#This Row],[Age]]&gt;55,"Old",IF(Table14[[#This Row],[Age]]&gt;25,"Middle","Na")))</f>
        <v>Middle</v>
      </c>
      <c r="H273" t="s">
        <v>16</v>
      </c>
      <c r="I273">
        <v>1</v>
      </c>
      <c r="J273">
        <v>300</v>
      </c>
      <c r="K273">
        <v>300</v>
      </c>
      <c r="N273" s="11" t="s">
        <v>137</v>
      </c>
      <c r="O273" s="11" t="s">
        <v>14</v>
      </c>
      <c r="P273" s="11">
        <f>K271/J271</f>
        <v>1</v>
      </c>
      <c r="Q273" s="11">
        <v>2000</v>
      </c>
      <c r="R273" s="11">
        <v>2000</v>
      </c>
    </row>
    <row r="274" spans="2:18" x14ac:dyDescent="0.35">
      <c r="B274">
        <v>271</v>
      </c>
      <c r="C274" s="1">
        <v>45100</v>
      </c>
      <c r="D274" t="s">
        <v>284</v>
      </c>
      <c r="E274" t="s">
        <v>13</v>
      </c>
      <c r="F274">
        <v>62</v>
      </c>
      <c r="G274" t="str">
        <f>IF(Table14[[#This Row],[Age]]&lt;=25,"Young",IF(Table14[[#This Row],[Age]]&gt;55,"Old",IF(Table14[[#This Row],[Age]]&gt;25,"Middle","Na")))</f>
        <v>Old</v>
      </c>
      <c r="H274" t="s">
        <v>11</v>
      </c>
      <c r="I274">
        <v>4</v>
      </c>
      <c r="J274">
        <v>30</v>
      </c>
      <c r="K274">
        <v>120</v>
      </c>
      <c r="N274" s="11" t="s">
        <v>228</v>
      </c>
      <c r="O274" s="11" t="s">
        <v>14</v>
      </c>
      <c r="P274" s="11">
        <f>K272/J272</f>
        <v>4</v>
      </c>
      <c r="Q274" s="11">
        <v>1500</v>
      </c>
      <c r="R274" s="11">
        <v>1500</v>
      </c>
    </row>
    <row r="275" spans="2:18" x14ac:dyDescent="0.35">
      <c r="B275">
        <v>272</v>
      </c>
      <c r="C275" s="1">
        <v>44982</v>
      </c>
      <c r="D275" t="s">
        <v>285</v>
      </c>
      <c r="E275" t="s">
        <v>13</v>
      </c>
      <c r="F275">
        <v>61</v>
      </c>
      <c r="G275" t="str">
        <f>IF(Table14[[#This Row],[Age]]&lt;=25,"Young",IF(Table14[[#This Row],[Age]]&gt;55,"Old",IF(Table14[[#This Row],[Age]]&gt;25,"Middle","Na")))</f>
        <v>Old</v>
      </c>
      <c r="H275" t="s">
        <v>16</v>
      </c>
      <c r="I275">
        <v>2</v>
      </c>
      <c r="J275">
        <v>50</v>
      </c>
      <c r="K275">
        <v>100</v>
      </c>
      <c r="N275" s="11" t="s">
        <v>755</v>
      </c>
      <c r="O275" s="11" t="s">
        <v>16</v>
      </c>
      <c r="P275" s="11">
        <f>K273/J273</f>
        <v>1</v>
      </c>
      <c r="Q275" s="11">
        <v>2000</v>
      </c>
      <c r="R275" s="11">
        <v>2000</v>
      </c>
    </row>
    <row r="276" spans="2:18" x14ac:dyDescent="0.35">
      <c r="B276">
        <v>273</v>
      </c>
      <c r="C276" s="1">
        <v>45054</v>
      </c>
      <c r="D276" t="s">
        <v>286</v>
      </c>
      <c r="E276" t="s">
        <v>13</v>
      </c>
      <c r="F276">
        <v>22</v>
      </c>
      <c r="G276" t="str">
        <f>IF(Table14[[#This Row],[Age]]&lt;=25,"Young",IF(Table14[[#This Row],[Age]]&gt;55,"Old",IF(Table14[[#This Row],[Age]]&gt;25,"Middle","Na")))</f>
        <v>Young</v>
      </c>
      <c r="H276" t="s">
        <v>11</v>
      </c>
      <c r="I276">
        <v>1</v>
      </c>
      <c r="J276">
        <v>50</v>
      </c>
      <c r="K276">
        <v>50</v>
      </c>
      <c r="N276" s="11" t="s">
        <v>660</v>
      </c>
      <c r="O276" s="11" t="s">
        <v>14</v>
      </c>
      <c r="P276" s="11">
        <f>K274/J274</f>
        <v>4</v>
      </c>
      <c r="Q276" s="11">
        <v>1500</v>
      </c>
      <c r="R276" s="11">
        <v>1500</v>
      </c>
    </row>
    <row r="277" spans="2:18" x14ac:dyDescent="0.35">
      <c r="B277">
        <v>274</v>
      </c>
      <c r="C277" s="1">
        <v>45025</v>
      </c>
      <c r="D277" t="s">
        <v>287</v>
      </c>
      <c r="E277" t="s">
        <v>13</v>
      </c>
      <c r="F277">
        <v>23</v>
      </c>
      <c r="G277" t="str">
        <f>IF(Table14[[#This Row],[Age]]&lt;=25,"Young",IF(Table14[[#This Row],[Age]]&gt;55,"Old",IF(Table14[[#This Row],[Age]]&gt;25,"Middle","Na")))</f>
        <v>Young</v>
      </c>
      <c r="H277" t="s">
        <v>14</v>
      </c>
      <c r="I277">
        <v>2</v>
      </c>
      <c r="J277">
        <v>500</v>
      </c>
      <c r="K277">
        <v>1000</v>
      </c>
      <c r="N277" s="11" t="s">
        <v>689</v>
      </c>
      <c r="O277" s="11" t="s">
        <v>16</v>
      </c>
      <c r="P277" s="11">
        <f>K275/J275</f>
        <v>2</v>
      </c>
      <c r="Q277" s="11">
        <v>1500</v>
      </c>
      <c r="R277" s="11">
        <v>1500</v>
      </c>
    </row>
    <row r="278" spans="2:18" x14ac:dyDescent="0.35">
      <c r="B278">
        <v>275</v>
      </c>
      <c r="C278" s="1">
        <v>45024</v>
      </c>
      <c r="D278" t="s">
        <v>288</v>
      </c>
      <c r="E278" t="s">
        <v>10</v>
      </c>
      <c r="F278">
        <v>43</v>
      </c>
      <c r="G278" t="str">
        <f>IF(Table14[[#This Row],[Age]]&lt;=25,"Young",IF(Table14[[#This Row],[Age]]&gt;55,"Old",IF(Table14[[#This Row],[Age]]&gt;25,"Middle","Na")))</f>
        <v>Middle</v>
      </c>
      <c r="H278" t="s">
        <v>14</v>
      </c>
      <c r="I278">
        <v>2</v>
      </c>
      <c r="J278">
        <v>500</v>
      </c>
      <c r="K278">
        <v>1000</v>
      </c>
      <c r="N278" s="11" t="s">
        <v>872</v>
      </c>
      <c r="O278" s="11" t="s">
        <v>16</v>
      </c>
      <c r="P278" s="11">
        <f>K276/J276</f>
        <v>1</v>
      </c>
      <c r="Q278" s="11">
        <v>1500</v>
      </c>
      <c r="R278" s="11">
        <v>1500</v>
      </c>
    </row>
    <row r="279" spans="2:18" x14ac:dyDescent="0.35">
      <c r="B279">
        <v>276</v>
      </c>
      <c r="C279" s="1">
        <v>45201</v>
      </c>
      <c r="D279" t="s">
        <v>289</v>
      </c>
      <c r="E279" t="s">
        <v>13</v>
      </c>
      <c r="F279">
        <v>21</v>
      </c>
      <c r="G279" t="str">
        <f>IF(Table14[[#This Row],[Age]]&lt;=25,"Young",IF(Table14[[#This Row],[Age]]&gt;55,"Old",IF(Table14[[#This Row],[Age]]&gt;25,"Middle","Na")))</f>
        <v>Young</v>
      </c>
      <c r="H279" t="s">
        <v>11</v>
      </c>
      <c r="I279">
        <v>4</v>
      </c>
      <c r="J279">
        <v>25</v>
      </c>
      <c r="K279">
        <v>100</v>
      </c>
      <c r="N279" s="11" t="s">
        <v>983</v>
      </c>
      <c r="O279" s="11" t="s">
        <v>16</v>
      </c>
      <c r="P279" s="11">
        <f>K277/J277</f>
        <v>2</v>
      </c>
      <c r="Q279" s="11">
        <v>2000</v>
      </c>
      <c r="R279" s="11">
        <v>2000</v>
      </c>
    </row>
    <row r="280" spans="2:18" x14ac:dyDescent="0.35">
      <c r="B280">
        <v>277</v>
      </c>
      <c r="C280" s="1">
        <v>45156</v>
      </c>
      <c r="D280" t="s">
        <v>290</v>
      </c>
      <c r="E280" t="s">
        <v>10</v>
      </c>
      <c r="F280">
        <v>36</v>
      </c>
      <c r="G280" t="str">
        <f>IF(Table14[[#This Row],[Age]]&lt;=25,"Young",IF(Table14[[#This Row],[Age]]&gt;55,"Old",IF(Table14[[#This Row],[Age]]&gt;25,"Middle","Na")))</f>
        <v>Middle</v>
      </c>
      <c r="H280" t="s">
        <v>14</v>
      </c>
      <c r="I280">
        <v>4</v>
      </c>
      <c r="J280">
        <v>25</v>
      </c>
      <c r="K280">
        <v>100</v>
      </c>
      <c r="N280" s="11" t="s">
        <v>516</v>
      </c>
      <c r="O280" s="11" t="s">
        <v>11</v>
      </c>
      <c r="P280" s="11">
        <f>K278/J278</f>
        <v>2</v>
      </c>
      <c r="Q280" s="11">
        <v>2000</v>
      </c>
      <c r="R280" s="11">
        <v>2000</v>
      </c>
    </row>
    <row r="281" spans="2:18" x14ac:dyDescent="0.35">
      <c r="B281">
        <v>278</v>
      </c>
      <c r="C281" s="1">
        <v>44998</v>
      </c>
      <c r="D281" t="s">
        <v>291</v>
      </c>
      <c r="E281" t="s">
        <v>13</v>
      </c>
      <c r="F281">
        <v>37</v>
      </c>
      <c r="G281" t="str">
        <f>IF(Table14[[#This Row],[Age]]&lt;=25,"Young",IF(Table14[[#This Row],[Age]]&gt;55,"Old",IF(Table14[[#This Row],[Age]]&gt;25,"Middle","Na")))</f>
        <v>Middle</v>
      </c>
      <c r="H281" t="s">
        <v>14</v>
      </c>
      <c r="I281">
        <v>4</v>
      </c>
      <c r="J281">
        <v>25</v>
      </c>
      <c r="K281">
        <v>100</v>
      </c>
      <c r="N281" s="11" t="s">
        <v>326</v>
      </c>
      <c r="O281" s="11" t="s">
        <v>11</v>
      </c>
      <c r="P281" s="11">
        <f>K279/J279</f>
        <v>4</v>
      </c>
      <c r="Q281" s="11">
        <v>1500</v>
      </c>
      <c r="R281" s="11">
        <v>1500</v>
      </c>
    </row>
    <row r="282" spans="2:18" x14ac:dyDescent="0.35">
      <c r="B282">
        <v>279</v>
      </c>
      <c r="C282" s="1">
        <v>45143</v>
      </c>
      <c r="D282" t="s">
        <v>292</v>
      </c>
      <c r="E282" t="s">
        <v>10</v>
      </c>
      <c r="F282">
        <v>50</v>
      </c>
      <c r="G282" t="str">
        <f>IF(Table14[[#This Row],[Age]]&lt;=25,"Young",IF(Table14[[#This Row],[Age]]&gt;55,"Old",IF(Table14[[#This Row],[Age]]&gt;25,"Middle","Na")))</f>
        <v>Middle</v>
      </c>
      <c r="H282" t="s">
        <v>14</v>
      </c>
      <c r="I282">
        <v>1</v>
      </c>
      <c r="J282">
        <v>500</v>
      </c>
      <c r="K282">
        <v>500</v>
      </c>
      <c r="N282" s="11" t="s">
        <v>585</v>
      </c>
      <c r="O282" s="11" t="s">
        <v>14</v>
      </c>
      <c r="P282" s="11">
        <f>K280/J280</f>
        <v>4</v>
      </c>
      <c r="Q282" s="11">
        <v>2000</v>
      </c>
      <c r="R282" s="11">
        <v>2000</v>
      </c>
    </row>
    <row r="283" spans="2:18" x14ac:dyDescent="0.35">
      <c r="B283">
        <v>280</v>
      </c>
      <c r="C283" s="1">
        <v>45020</v>
      </c>
      <c r="D283" t="s">
        <v>293</v>
      </c>
      <c r="E283" t="s">
        <v>13</v>
      </c>
      <c r="F283">
        <v>37</v>
      </c>
      <c r="G283" t="str">
        <f>IF(Table14[[#This Row],[Age]]&lt;=25,"Young",IF(Table14[[#This Row],[Age]]&gt;55,"Old",IF(Table14[[#This Row],[Age]]&gt;25,"Middle","Na")))</f>
        <v>Middle</v>
      </c>
      <c r="H283" t="s">
        <v>14</v>
      </c>
      <c r="I283">
        <v>3</v>
      </c>
      <c r="J283">
        <v>500</v>
      </c>
      <c r="K283">
        <v>1500</v>
      </c>
      <c r="N283" s="11" t="s">
        <v>639</v>
      </c>
      <c r="O283" s="11" t="s">
        <v>14</v>
      </c>
      <c r="P283" s="11">
        <f>K281/J281</f>
        <v>4</v>
      </c>
      <c r="Q283" s="11">
        <v>2000</v>
      </c>
      <c r="R283" s="11">
        <v>2000</v>
      </c>
    </row>
    <row r="284" spans="2:18" x14ac:dyDescent="0.35">
      <c r="B284">
        <v>281</v>
      </c>
      <c r="C284" s="1">
        <v>45069</v>
      </c>
      <c r="D284" t="s">
        <v>294</v>
      </c>
      <c r="E284" t="s">
        <v>13</v>
      </c>
      <c r="F284">
        <v>29</v>
      </c>
      <c r="G284" t="str">
        <f>IF(Table14[[#This Row],[Age]]&lt;=25,"Young",IF(Table14[[#This Row],[Age]]&gt;55,"Old",IF(Table14[[#This Row],[Age]]&gt;25,"Middle","Na")))</f>
        <v>Middle</v>
      </c>
      <c r="H284" t="s">
        <v>11</v>
      </c>
      <c r="I284">
        <v>4</v>
      </c>
      <c r="J284">
        <v>500</v>
      </c>
      <c r="K284">
        <v>2000</v>
      </c>
      <c r="N284" s="11" t="s">
        <v>756</v>
      </c>
      <c r="O284" s="11" t="s">
        <v>11</v>
      </c>
      <c r="P284" s="11">
        <f>K282/J282</f>
        <v>1</v>
      </c>
      <c r="Q284" s="11">
        <v>2000</v>
      </c>
      <c r="R284" s="11">
        <v>2000</v>
      </c>
    </row>
    <row r="285" spans="2:18" x14ac:dyDescent="0.35">
      <c r="B285">
        <v>282</v>
      </c>
      <c r="C285" s="1">
        <v>45163</v>
      </c>
      <c r="D285" t="s">
        <v>295</v>
      </c>
      <c r="E285" t="s">
        <v>13</v>
      </c>
      <c r="F285">
        <v>64</v>
      </c>
      <c r="G285" t="str">
        <f>IF(Table14[[#This Row],[Age]]&lt;=25,"Young",IF(Table14[[#This Row],[Age]]&gt;55,"Old",IF(Table14[[#This Row],[Age]]&gt;25,"Middle","Na")))</f>
        <v>Old</v>
      </c>
      <c r="H285" t="s">
        <v>16</v>
      </c>
      <c r="I285">
        <v>4</v>
      </c>
      <c r="J285">
        <v>50</v>
      </c>
      <c r="K285">
        <v>200</v>
      </c>
      <c r="N285" s="11" t="s">
        <v>157</v>
      </c>
      <c r="O285" s="11" t="s">
        <v>11</v>
      </c>
      <c r="P285" s="11">
        <f>K283/J283</f>
        <v>3</v>
      </c>
      <c r="Q285" s="11">
        <v>1500</v>
      </c>
      <c r="R285" s="11">
        <v>1500</v>
      </c>
    </row>
    <row r="286" spans="2:18" x14ac:dyDescent="0.35">
      <c r="B286">
        <v>283</v>
      </c>
      <c r="C286" s="1">
        <v>45054</v>
      </c>
      <c r="D286" t="s">
        <v>296</v>
      </c>
      <c r="E286" t="s">
        <v>13</v>
      </c>
      <c r="F286">
        <v>18</v>
      </c>
      <c r="G286" t="str">
        <f>IF(Table14[[#This Row],[Age]]&lt;=25,"Young",IF(Table14[[#This Row],[Age]]&gt;55,"Old",IF(Table14[[#This Row],[Age]]&gt;25,"Middle","Na")))</f>
        <v>Young</v>
      </c>
      <c r="H286" t="s">
        <v>16</v>
      </c>
      <c r="I286">
        <v>1</v>
      </c>
      <c r="J286">
        <v>500</v>
      </c>
      <c r="K286">
        <v>500</v>
      </c>
      <c r="N286" s="11" t="s">
        <v>493</v>
      </c>
      <c r="O286" s="11" t="s">
        <v>11</v>
      </c>
      <c r="P286" s="11">
        <f>K284/J284</f>
        <v>4</v>
      </c>
      <c r="Q286" s="11">
        <v>2000</v>
      </c>
      <c r="R286" s="11">
        <v>2000</v>
      </c>
    </row>
    <row r="287" spans="2:18" x14ac:dyDescent="0.35">
      <c r="B287">
        <v>284</v>
      </c>
      <c r="C287" s="1">
        <v>44965</v>
      </c>
      <c r="D287" t="s">
        <v>297</v>
      </c>
      <c r="E287" t="s">
        <v>10</v>
      </c>
      <c r="F287">
        <v>43</v>
      </c>
      <c r="G287" t="str">
        <f>IF(Table14[[#This Row],[Age]]&lt;=25,"Young",IF(Table14[[#This Row],[Age]]&gt;55,"Old",IF(Table14[[#This Row],[Age]]&gt;25,"Middle","Na")))</f>
        <v>Middle</v>
      </c>
      <c r="H287" t="s">
        <v>14</v>
      </c>
      <c r="I287">
        <v>4</v>
      </c>
      <c r="J287">
        <v>50</v>
      </c>
      <c r="K287">
        <v>200</v>
      </c>
      <c r="N287" s="11" t="s">
        <v>433</v>
      </c>
      <c r="O287" s="11" t="s">
        <v>14</v>
      </c>
      <c r="P287" s="11">
        <f>K285/J285</f>
        <v>4</v>
      </c>
      <c r="Q287" s="11">
        <v>2000</v>
      </c>
      <c r="R287" s="11">
        <v>2000</v>
      </c>
    </row>
    <row r="288" spans="2:18" x14ac:dyDescent="0.35">
      <c r="B288">
        <v>285</v>
      </c>
      <c r="C288" s="1">
        <v>45153</v>
      </c>
      <c r="D288" t="s">
        <v>298</v>
      </c>
      <c r="E288" t="s">
        <v>13</v>
      </c>
      <c r="F288">
        <v>31</v>
      </c>
      <c r="G288" t="str">
        <f>IF(Table14[[#This Row],[Age]]&lt;=25,"Young",IF(Table14[[#This Row],[Age]]&gt;55,"Old",IF(Table14[[#This Row],[Age]]&gt;25,"Middle","Na")))</f>
        <v>Middle</v>
      </c>
      <c r="H288" t="s">
        <v>16</v>
      </c>
      <c r="I288">
        <v>1</v>
      </c>
      <c r="J288">
        <v>25</v>
      </c>
      <c r="K288">
        <v>25</v>
      </c>
      <c r="N288" s="11" t="s">
        <v>535</v>
      </c>
      <c r="O288" s="11" t="s">
        <v>11</v>
      </c>
      <c r="P288" s="11">
        <f>K286/J286</f>
        <v>1</v>
      </c>
      <c r="Q288" s="11">
        <v>1500</v>
      </c>
      <c r="R288" s="11">
        <v>1500</v>
      </c>
    </row>
    <row r="289" spans="2:18" x14ac:dyDescent="0.35">
      <c r="B289">
        <v>286</v>
      </c>
      <c r="C289" s="1">
        <v>45208</v>
      </c>
      <c r="D289" t="s">
        <v>299</v>
      </c>
      <c r="E289" t="s">
        <v>10</v>
      </c>
      <c r="F289">
        <v>55</v>
      </c>
      <c r="G289" t="str">
        <f>IF(Table14[[#This Row],[Age]]&lt;=25,"Young",IF(Table14[[#This Row],[Age]]&gt;55,"Old",IF(Table14[[#This Row],[Age]]&gt;25,"Middle","Na")))</f>
        <v>Middle</v>
      </c>
      <c r="H289" t="s">
        <v>16</v>
      </c>
      <c r="I289">
        <v>2</v>
      </c>
      <c r="J289">
        <v>25</v>
      </c>
      <c r="K289">
        <v>50</v>
      </c>
      <c r="N289" s="11" t="s">
        <v>476</v>
      </c>
      <c r="O289" s="11" t="s">
        <v>11</v>
      </c>
      <c r="P289" s="11">
        <f>K287/J287</f>
        <v>4</v>
      </c>
      <c r="Q289" s="11">
        <v>1500</v>
      </c>
      <c r="R289" s="11">
        <v>1500</v>
      </c>
    </row>
    <row r="290" spans="2:18" x14ac:dyDescent="0.35">
      <c r="B290">
        <v>287</v>
      </c>
      <c r="C290" s="1">
        <v>44977</v>
      </c>
      <c r="D290" t="s">
        <v>300</v>
      </c>
      <c r="E290" t="s">
        <v>10</v>
      </c>
      <c r="F290">
        <v>54</v>
      </c>
      <c r="G290" t="str">
        <f>IF(Table14[[#This Row],[Age]]&lt;=25,"Young",IF(Table14[[#This Row],[Age]]&gt;55,"Old",IF(Table14[[#This Row],[Age]]&gt;25,"Middle","Na")))</f>
        <v>Middle</v>
      </c>
      <c r="H290" t="s">
        <v>14</v>
      </c>
      <c r="I290">
        <v>4</v>
      </c>
      <c r="J290">
        <v>25</v>
      </c>
      <c r="K290">
        <v>100</v>
      </c>
      <c r="N290" s="11" t="s">
        <v>624</v>
      </c>
      <c r="O290" s="11" t="s">
        <v>11</v>
      </c>
      <c r="P290" s="11">
        <f>K288/J288</f>
        <v>1</v>
      </c>
      <c r="Q290" s="11">
        <v>1500</v>
      </c>
      <c r="R290" s="11">
        <v>1500</v>
      </c>
    </row>
    <row r="291" spans="2:18" x14ac:dyDescent="0.35">
      <c r="B291">
        <v>288</v>
      </c>
      <c r="C291" s="1">
        <v>44952</v>
      </c>
      <c r="D291" t="s">
        <v>301</v>
      </c>
      <c r="E291" t="s">
        <v>10</v>
      </c>
      <c r="F291">
        <v>28</v>
      </c>
      <c r="G291" t="str">
        <f>IF(Table14[[#This Row],[Age]]&lt;=25,"Young",IF(Table14[[#This Row],[Age]]&gt;55,"Old",IF(Table14[[#This Row],[Age]]&gt;25,"Middle","Na")))</f>
        <v>Middle</v>
      </c>
      <c r="H291" t="s">
        <v>14</v>
      </c>
      <c r="I291">
        <v>4</v>
      </c>
      <c r="J291">
        <v>30</v>
      </c>
      <c r="K291">
        <v>120</v>
      </c>
      <c r="N291" s="11" t="s">
        <v>266</v>
      </c>
      <c r="O291" s="11" t="s">
        <v>14</v>
      </c>
      <c r="P291" s="11">
        <f>K289/J289</f>
        <v>2</v>
      </c>
      <c r="Q291" s="11">
        <v>2000</v>
      </c>
      <c r="R291" s="11">
        <v>2000</v>
      </c>
    </row>
    <row r="292" spans="2:18" x14ac:dyDescent="0.35">
      <c r="B292">
        <v>289</v>
      </c>
      <c r="C292" s="1">
        <v>45260</v>
      </c>
      <c r="D292" t="s">
        <v>302</v>
      </c>
      <c r="E292" t="s">
        <v>10</v>
      </c>
      <c r="F292">
        <v>53</v>
      </c>
      <c r="G292" t="str">
        <f>IF(Table14[[#This Row],[Age]]&lt;=25,"Young",IF(Table14[[#This Row],[Age]]&gt;55,"Old",IF(Table14[[#This Row],[Age]]&gt;25,"Middle","Na")))</f>
        <v>Middle</v>
      </c>
      <c r="H292" t="s">
        <v>16</v>
      </c>
      <c r="I292">
        <v>2</v>
      </c>
      <c r="J292">
        <v>30</v>
      </c>
      <c r="K292">
        <v>60</v>
      </c>
      <c r="N292" s="11" t="s">
        <v>940</v>
      </c>
      <c r="O292" s="11" t="s">
        <v>16</v>
      </c>
      <c r="P292" s="11">
        <f>K290/J290</f>
        <v>4</v>
      </c>
      <c r="Q292" s="11">
        <v>2000</v>
      </c>
      <c r="R292" s="11">
        <v>2000</v>
      </c>
    </row>
    <row r="293" spans="2:18" x14ac:dyDescent="0.35">
      <c r="B293">
        <v>290</v>
      </c>
      <c r="C293" s="1">
        <v>45203</v>
      </c>
      <c r="D293" t="s">
        <v>303</v>
      </c>
      <c r="E293" t="s">
        <v>13</v>
      </c>
      <c r="F293">
        <v>30</v>
      </c>
      <c r="G293" t="str">
        <f>IF(Table14[[#This Row],[Age]]&lt;=25,"Young",IF(Table14[[#This Row],[Age]]&gt;55,"Old",IF(Table14[[#This Row],[Age]]&gt;25,"Middle","Na")))</f>
        <v>Middle</v>
      </c>
      <c r="H293" t="s">
        <v>11</v>
      </c>
      <c r="I293">
        <v>2</v>
      </c>
      <c r="J293">
        <v>300</v>
      </c>
      <c r="K293">
        <v>600</v>
      </c>
      <c r="N293" s="11" t="s">
        <v>519</v>
      </c>
      <c r="O293" s="11" t="s">
        <v>11</v>
      </c>
      <c r="P293" s="11">
        <f>K291/J291</f>
        <v>4</v>
      </c>
      <c r="Q293" s="11">
        <v>1500</v>
      </c>
      <c r="R293" s="11">
        <v>1500</v>
      </c>
    </row>
    <row r="294" spans="2:18" x14ac:dyDescent="0.35">
      <c r="B294">
        <v>291</v>
      </c>
      <c r="C294" s="1">
        <v>44934</v>
      </c>
      <c r="D294" t="s">
        <v>304</v>
      </c>
      <c r="E294" t="s">
        <v>10</v>
      </c>
      <c r="F294">
        <v>60</v>
      </c>
      <c r="G294" t="str">
        <f>IF(Table14[[#This Row],[Age]]&lt;=25,"Young",IF(Table14[[#This Row],[Age]]&gt;55,"Old",IF(Table14[[#This Row],[Age]]&gt;25,"Middle","Na")))</f>
        <v>Old</v>
      </c>
      <c r="H294" t="s">
        <v>14</v>
      </c>
      <c r="I294">
        <v>2</v>
      </c>
      <c r="J294">
        <v>300</v>
      </c>
      <c r="K294">
        <v>600</v>
      </c>
      <c r="N294" s="11" t="s">
        <v>194</v>
      </c>
      <c r="O294" s="11" t="s">
        <v>16</v>
      </c>
      <c r="P294" s="11">
        <f>K292/J292</f>
        <v>2</v>
      </c>
      <c r="Q294" s="11">
        <v>1200</v>
      </c>
      <c r="R294" s="11">
        <v>1200</v>
      </c>
    </row>
    <row r="295" spans="2:18" x14ac:dyDescent="0.35">
      <c r="B295">
        <v>292</v>
      </c>
      <c r="C295" s="1">
        <v>44974</v>
      </c>
      <c r="D295" t="s">
        <v>305</v>
      </c>
      <c r="E295" t="s">
        <v>10</v>
      </c>
      <c r="F295">
        <v>20</v>
      </c>
      <c r="G295" t="str">
        <f>IF(Table14[[#This Row],[Age]]&lt;=25,"Young",IF(Table14[[#This Row],[Age]]&gt;55,"Old",IF(Table14[[#This Row],[Age]]&gt;25,"Middle","Na")))</f>
        <v>Young</v>
      </c>
      <c r="H295" t="s">
        <v>11</v>
      </c>
      <c r="I295">
        <v>4</v>
      </c>
      <c r="J295">
        <v>300</v>
      </c>
      <c r="K295">
        <v>1200</v>
      </c>
      <c r="N295" s="11" t="s">
        <v>305</v>
      </c>
      <c r="O295" s="11" t="s">
        <v>11</v>
      </c>
      <c r="P295" s="11">
        <f>K293/J293</f>
        <v>2</v>
      </c>
      <c r="Q295" s="11">
        <v>1200</v>
      </c>
      <c r="R295" s="11">
        <v>1200</v>
      </c>
    </row>
    <row r="296" spans="2:18" x14ac:dyDescent="0.35">
      <c r="B296">
        <v>293</v>
      </c>
      <c r="C296" s="1">
        <v>45048</v>
      </c>
      <c r="D296" t="s">
        <v>306</v>
      </c>
      <c r="E296" t="s">
        <v>10</v>
      </c>
      <c r="F296">
        <v>50</v>
      </c>
      <c r="G296" t="str">
        <f>IF(Table14[[#This Row],[Age]]&lt;=25,"Young",IF(Table14[[#This Row],[Age]]&gt;55,"Old",IF(Table14[[#This Row],[Age]]&gt;25,"Middle","Na")))</f>
        <v>Middle</v>
      </c>
      <c r="H296" t="s">
        <v>16</v>
      </c>
      <c r="I296">
        <v>3</v>
      </c>
      <c r="J296">
        <v>30</v>
      </c>
      <c r="K296">
        <v>90</v>
      </c>
      <c r="N296" s="11" t="s">
        <v>309</v>
      </c>
      <c r="O296" s="11" t="s">
        <v>14</v>
      </c>
      <c r="P296" s="11">
        <f>K294/J294</f>
        <v>2</v>
      </c>
      <c r="Q296" s="11">
        <v>1200</v>
      </c>
      <c r="R296" s="11">
        <v>1200</v>
      </c>
    </row>
    <row r="297" spans="2:18" x14ac:dyDescent="0.35">
      <c r="B297">
        <v>294</v>
      </c>
      <c r="C297" s="1">
        <v>45012</v>
      </c>
      <c r="D297" t="s">
        <v>307</v>
      </c>
      <c r="E297" t="s">
        <v>13</v>
      </c>
      <c r="F297">
        <v>23</v>
      </c>
      <c r="G297" t="str">
        <f>IF(Table14[[#This Row],[Age]]&lt;=25,"Young",IF(Table14[[#This Row],[Age]]&gt;55,"Old",IF(Table14[[#This Row],[Age]]&gt;25,"Middle","Na")))</f>
        <v>Young</v>
      </c>
      <c r="H297" t="s">
        <v>14</v>
      </c>
      <c r="I297">
        <v>3</v>
      </c>
      <c r="J297">
        <v>30</v>
      </c>
      <c r="K297">
        <v>90</v>
      </c>
      <c r="N297" s="11" t="s">
        <v>311</v>
      </c>
      <c r="O297" s="11" t="s">
        <v>11</v>
      </c>
      <c r="P297" s="11">
        <f>K295/J295</f>
        <v>4</v>
      </c>
      <c r="Q297" s="11">
        <v>1200</v>
      </c>
      <c r="R297" s="11">
        <v>1200</v>
      </c>
    </row>
    <row r="298" spans="2:18" x14ac:dyDescent="0.35">
      <c r="B298">
        <v>295</v>
      </c>
      <c r="C298" s="1">
        <v>45135</v>
      </c>
      <c r="D298" t="s">
        <v>308</v>
      </c>
      <c r="E298" t="s">
        <v>13</v>
      </c>
      <c r="F298">
        <v>27</v>
      </c>
      <c r="G298" t="str">
        <f>IF(Table14[[#This Row],[Age]]&lt;=25,"Young",IF(Table14[[#This Row],[Age]]&gt;55,"Old",IF(Table14[[#This Row],[Age]]&gt;25,"Middle","Na")))</f>
        <v>Middle</v>
      </c>
      <c r="H298" t="s">
        <v>11</v>
      </c>
      <c r="I298">
        <v>3</v>
      </c>
      <c r="J298">
        <v>300</v>
      </c>
      <c r="K298">
        <v>900</v>
      </c>
      <c r="N298" s="11" t="s">
        <v>345</v>
      </c>
      <c r="O298" s="11" t="s">
        <v>16</v>
      </c>
      <c r="P298" s="11">
        <f>K296/J296</f>
        <v>3</v>
      </c>
      <c r="Q298" s="11">
        <v>1200</v>
      </c>
      <c r="R298" s="11">
        <v>1200</v>
      </c>
    </row>
    <row r="299" spans="2:18" x14ac:dyDescent="0.35">
      <c r="B299">
        <v>296</v>
      </c>
      <c r="C299" s="1">
        <v>45175</v>
      </c>
      <c r="D299" t="s">
        <v>309</v>
      </c>
      <c r="E299" t="s">
        <v>13</v>
      </c>
      <c r="F299">
        <v>22</v>
      </c>
      <c r="G299" t="str">
        <f>IF(Table14[[#This Row],[Age]]&lt;=25,"Young",IF(Table14[[#This Row],[Age]]&gt;55,"Old",IF(Table14[[#This Row],[Age]]&gt;25,"Middle","Na")))</f>
        <v>Young</v>
      </c>
      <c r="H299" t="s">
        <v>14</v>
      </c>
      <c r="I299">
        <v>4</v>
      </c>
      <c r="J299">
        <v>300</v>
      </c>
      <c r="K299">
        <v>1200</v>
      </c>
      <c r="N299" s="11" t="s">
        <v>381</v>
      </c>
      <c r="O299" s="11" t="s">
        <v>14</v>
      </c>
      <c r="P299" s="11">
        <f>K297/J297</f>
        <v>3</v>
      </c>
      <c r="Q299" s="11">
        <v>1200</v>
      </c>
      <c r="R299" s="11">
        <v>1200</v>
      </c>
    </row>
    <row r="300" spans="2:18" x14ac:dyDescent="0.35">
      <c r="B300">
        <v>297</v>
      </c>
      <c r="C300" s="1">
        <v>45173</v>
      </c>
      <c r="D300" t="s">
        <v>310</v>
      </c>
      <c r="E300" t="s">
        <v>13</v>
      </c>
      <c r="F300">
        <v>40</v>
      </c>
      <c r="G300" t="str">
        <f>IF(Table14[[#This Row],[Age]]&lt;=25,"Young",IF(Table14[[#This Row],[Age]]&gt;55,"Old",IF(Table14[[#This Row],[Age]]&gt;25,"Middle","Na")))</f>
        <v>Middle</v>
      </c>
      <c r="H300" t="s">
        <v>16</v>
      </c>
      <c r="I300">
        <v>2</v>
      </c>
      <c r="J300">
        <v>500</v>
      </c>
      <c r="K300">
        <v>1000</v>
      </c>
      <c r="N300" s="11" t="s">
        <v>475</v>
      </c>
      <c r="O300" s="11" t="s">
        <v>16</v>
      </c>
      <c r="P300" s="11">
        <f>K298/J298</f>
        <v>3</v>
      </c>
      <c r="Q300" s="11">
        <v>1200</v>
      </c>
      <c r="R300" s="11">
        <v>1200</v>
      </c>
    </row>
    <row r="301" spans="2:18" x14ac:dyDescent="0.35">
      <c r="B301">
        <v>298</v>
      </c>
      <c r="C301" s="1">
        <v>45036</v>
      </c>
      <c r="D301" t="s">
        <v>311</v>
      </c>
      <c r="E301" t="s">
        <v>10</v>
      </c>
      <c r="F301">
        <v>27</v>
      </c>
      <c r="G301" t="str">
        <f>IF(Table14[[#This Row],[Age]]&lt;=25,"Young",IF(Table14[[#This Row],[Age]]&gt;55,"Old",IF(Table14[[#This Row],[Age]]&gt;25,"Middle","Na")))</f>
        <v>Middle</v>
      </c>
      <c r="H301" t="s">
        <v>11</v>
      </c>
      <c r="I301">
        <v>4</v>
      </c>
      <c r="J301">
        <v>300</v>
      </c>
      <c r="K301">
        <v>1200</v>
      </c>
      <c r="N301" s="11" t="s">
        <v>572</v>
      </c>
      <c r="O301" s="11" t="s">
        <v>14</v>
      </c>
      <c r="P301" s="11">
        <f>K299/J299</f>
        <v>4</v>
      </c>
      <c r="Q301" s="11">
        <v>1200</v>
      </c>
      <c r="R301" s="11">
        <v>1200</v>
      </c>
    </row>
    <row r="302" spans="2:18" x14ac:dyDescent="0.35">
      <c r="B302">
        <v>299</v>
      </c>
      <c r="C302" s="1">
        <v>45132</v>
      </c>
      <c r="D302" t="s">
        <v>312</v>
      </c>
      <c r="E302" t="s">
        <v>10</v>
      </c>
      <c r="F302">
        <v>61</v>
      </c>
      <c r="G302" t="str">
        <f>IF(Table14[[#This Row],[Age]]&lt;=25,"Young",IF(Table14[[#This Row],[Age]]&gt;55,"Old",IF(Table14[[#This Row],[Age]]&gt;25,"Middle","Na")))</f>
        <v>Old</v>
      </c>
      <c r="H302" t="s">
        <v>16</v>
      </c>
      <c r="I302">
        <v>2</v>
      </c>
      <c r="J302">
        <v>500</v>
      </c>
      <c r="K302">
        <v>1000</v>
      </c>
      <c r="N302" s="11" t="s">
        <v>769</v>
      </c>
      <c r="O302" s="11" t="s">
        <v>16</v>
      </c>
      <c r="P302" s="11">
        <f>K300/J300</f>
        <v>2</v>
      </c>
      <c r="Q302" s="11">
        <v>1200</v>
      </c>
      <c r="R302" s="11">
        <v>1200</v>
      </c>
    </row>
    <row r="303" spans="2:18" x14ac:dyDescent="0.35">
      <c r="B303">
        <v>300</v>
      </c>
      <c r="C303" s="1">
        <v>44957</v>
      </c>
      <c r="D303" t="s">
        <v>313</v>
      </c>
      <c r="E303" t="s">
        <v>13</v>
      </c>
      <c r="F303">
        <v>19</v>
      </c>
      <c r="G303" t="str">
        <f>IF(Table14[[#This Row],[Age]]&lt;=25,"Young",IF(Table14[[#This Row],[Age]]&gt;55,"Old",IF(Table14[[#This Row],[Age]]&gt;25,"Middle","Na")))</f>
        <v>Young</v>
      </c>
      <c r="H303" t="s">
        <v>16</v>
      </c>
      <c r="I303">
        <v>4</v>
      </c>
      <c r="J303">
        <v>50</v>
      </c>
      <c r="K303">
        <v>200</v>
      </c>
      <c r="N303" s="11" t="s">
        <v>770</v>
      </c>
      <c r="O303" s="11" t="s">
        <v>16</v>
      </c>
      <c r="P303" s="11">
        <f>K301/J301</f>
        <v>4</v>
      </c>
      <c r="Q303" s="11">
        <v>1200</v>
      </c>
      <c r="R303" s="11">
        <v>1200</v>
      </c>
    </row>
    <row r="304" spans="2:18" x14ac:dyDescent="0.35">
      <c r="B304">
        <v>301</v>
      </c>
      <c r="C304" s="1">
        <v>45011</v>
      </c>
      <c r="D304" t="s">
        <v>314</v>
      </c>
      <c r="E304" t="s">
        <v>10</v>
      </c>
      <c r="F304">
        <v>30</v>
      </c>
      <c r="G304" t="str">
        <f>IF(Table14[[#This Row],[Age]]&lt;=25,"Young",IF(Table14[[#This Row],[Age]]&gt;55,"Old",IF(Table14[[#This Row],[Age]]&gt;25,"Middle","Na")))</f>
        <v>Middle</v>
      </c>
      <c r="H304" t="s">
        <v>14</v>
      </c>
      <c r="I304">
        <v>4</v>
      </c>
      <c r="J304">
        <v>30</v>
      </c>
      <c r="K304">
        <v>120</v>
      </c>
      <c r="N304" s="11" t="s">
        <v>860</v>
      </c>
      <c r="O304" s="11" t="s">
        <v>16</v>
      </c>
      <c r="P304" s="11">
        <f>K302/J302</f>
        <v>2</v>
      </c>
      <c r="Q304" s="11">
        <v>1200</v>
      </c>
      <c r="R304" s="11">
        <v>1200</v>
      </c>
    </row>
    <row r="305" spans="2:18" x14ac:dyDescent="0.35">
      <c r="B305">
        <v>302</v>
      </c>
      <c r="C305" s="1">
        <v>45121</v>
      </c>
      <c r="D305" t="s">
        <v>315</v>
      </c>
      <c r="E305" t="s">
        <v>10</v>
      </c>
      <c r="F305">
        <v>57</v>
      </c>
      <c r="G305" t="str">
        <f>IF(Table14[[#This Row],[Age]]&lt;=25,"Young",IF(Table14[[#This Row],[Age]]&gt;55,"Old",IF(Table14[[#This Row],[Age]]&gt;25,"Middle","Na")))</f>
        <v>Old</v>
      </c>
      <c r="H305" t="s">
        <v>11</v>
      </c>
      <c r="I305">
        <v>2</v>
      </c>
      <c r="J305">
        <v>300</v>
      </c>
      <c r="K305">
        <v>600</v>
      </c>
      <c r="N305" s="11" t="s">
        <v>12</v>
      </c>
      <c r="O305" s="11" t="s">
        <v>14</v>
      </c>
      <c r="P305" s="11">
        <f>K303/J303</f>
        <v>4</v>
      </c>
      <c r="Q305" s="11">
        <v>1000</v>
      </c>
      <c r="R305" s="11">
        <v>1000</v>
      </c>
    </row>
    <row r="306" spans="2:18" x14ac:dyDescent="0.35">
      <c r="B306">
        <v>303</v>
      </c>
      <c r="C306" s="1">
        <v>44928</v>
      </c>
      <c r="D306" t="s">
        <v>316</v>
      </c>
      <c r="E306" t="s">
        <v>10</v>
      </c>
      <c r="F306">
        <v>19</v>
      </c>
      <c r="G306" t="str">
        <f>IF(Table14[[#This Row],[Age]]&lt;=25,"Young",IF(Table14[[#This Row],[Age]]&gt;55,"Old",IF(Table14[[#This Row],[Age]]&gt;25,"Middle","Na")))</f>
        <v>Young</v>
      </c>
      <c r="H306" t="s">
        <v>16</v>
      </c>
      <c r="I306">
        <v>3</v>
      </c>
      <c r="J306">
        <v>30</v>
      </c>
      <c r="K306">
        <v>90</v>
      </c>
      <c r="N306" s="11" t="s">
        <v>174</v>
      </c>
      <c r="O306" s="11" t="s">
        <v>11</v>
      </c>
      <c r="P306" s="11">
        <f>K304/J304</f>
        <v>4</v>
      </c>
      <c r="Q306" s="11">
        <v>1000</v>
      </c>
      <c r="R306" s="11">
        <v>1000</v>
      </c>
    </row>
    <row r="307" spans="2:18" x14ac:dyDescent="0.35">
      <c r="B307">
        <v>304</v>
      </c>
      <c r="C307" s="1">
        <v>45126</v>
      </c>
      <c r="D307" t="s">
        <v>317</v>
      </c>
      <c r="E307" t="s">
        <v>13</v>
      </c>
      <c r="F307">
        <v>37</v>
      </c>
      <c r="G307" t="str">
        <f>IF(Table14[[#This Row],[Age]]&lt;=25,"Young",IF(Table14[[#This Row],[Age]]&gt;55,"Old",IF(Table14[[#This Row],[Age]]&gt;25,"Middle","Na")))</f>
        <v>Middle</v>
      </c>
      <c r="H307" t="s">
        <v>16</v>
      </c>
      <c r="I307">
        <v>2</v>
      </c>
      <c r="J307">
        <v>30</v>
      </c>
      <c r="K307">
        <v>60</v>
      </c>
      <c r="N307" s="11" t="s">
        <v>216</v>
      </c>
      <c r="O307" s="11" t="s">
        <v>14</v>
      </c>
      <c r="P307" s="11">
        <f>K305/J305</f>
        <v>2</v>
      </c>
      <c r="Q307" s="11">
        <v>1000</v>
      </c>
      <c r="R307" s="11">
        <v>1000</v>
      </c>
    </row>
    <row r="308" spans="2:18" x14ac:dyDescent="0.35">
      <c r="B308">
        <v>305</v>
      </c>
      <c r="C308" s="1">
        <v>45062</v>
      </c>
      <c r="D308" t="s">
        <v>318</v>
      </c>
      <c r="E308" t="s">
        <v>13</v>
      </c>
      <c r="F308">
        <v>18</v>
      </c>
      <c r="G308" t="str">
        <f>IF(Table14[[#This Row],[Age]]&lt;=25,"Young",IF(Table14[[#This Row],[Age]]&gt;55,"Old",IF(Table14[[#This Row],[Age]]&gt;25,"Middle","Na")))</f>
        <v>Young</v>
      </c>
      <c r="H308" t="s">
        <v>11</v>
      </c>
      <c r="I308">
        <v>1</v>
      </c>
      <c r="J308">
        <v>30</v>
      </c>
      <c r="K308">
        <v>30</v>
      </c>
      <c r="N308" s="11" t="s">
        <v>269</v>
      </c>
      <c r="O308" s="11" t="s">
        <v>14</v>
      </c>
      <c r="P308" s="11">
        <f>K306/J306</f>
        <v>3</v>
      </c>
      <c r="Q308" s="11">
        <v>1000</v>
      </c>
      <c r="R308" s="11">
        <v>1000</v>
      </c>
    </row>
    <row r="309" spans="2:18" x14ac:dyDescent="0.35">
      <c r="B309">
        <v>306</v>
      </c>
      <c r="C309" s="1">
        <v>45159</v>
      </c>
      <c r="D309" t="s">
        <v>319</v>
      </c>
      <c r="E309" t="s">
        <v>10</v>
      </c>
      <c r="F309">
        <v>54</v>
      </c>
      <c r="G309" t="str">
        <f>IF(Table14[[#This Row],[Age]]&lt;=25,"Young",IF(Table14[[#This Row],[Age]]&gt;55,"Old",IF(Table14[[#This Row],[Age]]&gt;25,"Middle","Na")))</f>
        <v>Middle</v>
      </c>
      <c r="H309" t="s">
        <v>16</v>
      </c>
      <c r="I309">
        <v>1</v>
      </c>
      <c r="J309">
        <v>50</v>
      </c>
      <c r="K309">
        <v>50</v>
      </c>
      <c r="N309" s="11" t="s">
        <v>288</v>
      </c>
      <c r="O309" s="11" t="s">
        <v>14</v>
      </c>
      <c r="P309" s="11">
        <f>K307/J307</f>
        <v>2</v>
      </c>
      <c r="Q309" s="11">
        <v>1000</v>
      </c>
      <c r="R309" s="11">
        <v>1000</v>
      </c>
    </row>
    <row r="310" spans="2:18" x14ac:dyDescent="0.35">
      <c r="B310">
        <v>307</v>
      </c>
      <c r="C310" s="1">
        <v>45073</v>
      </c>
      <c r="D310" t="s">
        <v>320</v>
      </c>
      <c r="E310" t="s">
        <v>13</v>
      </c>
      <c r="F310">
        <v>26</v>
      </c>
      <c r="G310" t="str">
        <f>IF(Table14[[#This Row],[Age]]&lt;=25,"Young",IF(Table14[[#This Row],[Age]]&gt;55,"Old",IF(Table14[[#This Row],[Age]]&gt;25,"Middle","Na")))</f>
        <v>Middle</v>
      </c>
      <c r="H310" t="s">
        <v>16</v>
      </c>
      <c r="I310">
        <v>2</v>
      </c>
      <c r="J310">
        <v>25</v>
      </c>
      <c r="K310">
        <v>50</v>
      </c>
      <c r="N310" s="11" t="s">
        <v>312</v>
      </c>
      <c r="O310" s="11" t="s">
        <v>16</v>
      </c>
      <c r="P310" s="11">
        <f>K308/J308</f>
        <v>1</v>
      </c>
      <c r="Q310" s="11">
        <v>1000</v>
      </c>
      <c r="R310" s="11">
        <v>1000</v>
      </c>
    </row>
    <row r="311" spans="2:18" x14ac:dyDescent="0.35">
      <c r="B311">
        <v>308</v>
      </c>
      <c r="C311" s="1">
        <v>45143</v>
      </c>
      <c r="D311" t="s">
        <v>321</v>
      </c>
      <c r="E311" t="s">
        <v>13</v>
      </c>
      <c r="F311">
        <v>34</v>
      </c>
      <c r="G311" t="str">
        <f>IF(Table14[[#This Row],[Age]]&lt;=25,"Young",IF(Table14[[#This Row],[Age]]&gt;55,"Old",IF(Table14[[#This Row],[Age]]&gt;25,"Middle","Na")))</f>
        <v>Middle</v>
      </c>
      <c r="H311" t="s">
        <v>11</v>
      </c>
      <c r="I311">
        <v>4</v>
      </c>
      <c r="J311">
        <v>300</v>
      </c>
      <c r="K311">
        <v>1200</v>
      </c>
      <c r="N311" s="11" t="s">
        <v>466</v>
      </c>
      <c r="O311" s="11" t="s">
        <v>14</v>
      </c>
      <c r="P311" s="11">
        <f>K309/J309</f>
        <v>1</v>
      </c>
      <c r="Q311" s="11">
        <v>1000</v>
      </c>
      <c r="R311" s="11">
        <v>1000</v>
      </c>
    </row>
    <row r="312" spans="2:18" x14ac:dyDescent="0.35">
      <c r="B312">
        <v>309</v>
      </c>
      <c r="C312" s="1">
        <v>45283</v>
      </c>
      <c r="D312" t="s">
        <v>322</v>
      </c>
      <c r="E312" t="s">
        <v>13</v>
      </c>
      <c r="F312">
        <v>26</v>
      </c>
      <c r="G312" t="str">
        <f>IF(Table14[[#This Row],[Age]]&lt;=25,"Young",IF(Table14[[#This Row],[Age]]&gt;55,"Old",IF(Table14[[#This Row],[Age]]&gt;25,"Middle","Na")))</f>
        <v>Middle</v>
      </c>
      <c r="H312" t="s">
        <v>11</v>
      </c>
      <c r="I312">
        <v>1</v>
      </c>
      <c r="J312">
        <v>25</v>
      </c>
      <c r="K312">
        <v>25</v>
      </c>
      <c r="N312" s="11" t="s">
        <v>547</v>
      </c>
      <c r="O312" s="11" t="s">
        <v>14</v>
      </c>
      <c r="P312" s="11">
        <f>K310/J310</f>
        <v>2</v>
      </c>
      <c r="Q312" s="11">
        <v>1000</v>
      </c>
      <c r="R312" s="11">
        <v>1000</v>
      </c>
    </row>
    <row r="313" spans="2:18" x14ac:dyDescent="0.35">
      <c r="B313">
        <v>310</v>
      </c>
      <c r="C313" s="1">
        <v>45211</v>
      </c>
      <c r="D313" t="s">
        <v>323</v>
      </c>
      <c r="E313" t="s">
        <v>13</v>
      </c>
      <c r="F313">
        <v>28</v>
      </c>
      <c r="G313" t="str">
        <f>IF(Table14[[#This Row],[Age]]&lt;=25,"Young",IF(Table14[[#This Row],[Age]]&gt;55,"Old",IF(Table14[[#This Row],[Age]]&gt;25,"Middle","Na")))</f>
        <v>Middle</v>
      </c>
      <c r="H313" t="s">
        <v>11</v>
      </c>
      <c r="I313">
        <v>1</v>
      </c>
      <c r="J313">
        <v>25</v>
      </c>
      <c r="K313">
        <v>25</v>
      </c>
      <c r="N313" s="11" t="s">
        <v>673</v>
      </c>
      <c r="O313" s="11" t="s">
        <v>11</v>
      </c>
      <c r="P313" s="11">
        <f>K311/J311</f>
        <v>4</v>
      </c>
      <c r="Q313" s="11">
        <v>1000</v>
      </c>
      <c r="R313" s="11">
        <v>1000</v>
      </c>
    </row>
    <row r="314" spans="2:18" x14ac:dyDescent="0.35">
      <c r="B314">
        <v>311</v>
      </c>
      <c r="C314" s="1">
        <v>45265</v>
      </c>
      <c r="D314" t="s">
        <v>324</v>
      </c>
      <c r="E314" t="s">
        <v>13</v>
      </c>
      <c r="F314">
        <v>32</v>
      </c>
      <c r="G314" t="str">
        <f>IF(Table14[[#This Row],[Age]]&lt;=25,"Young",IF(Table14[[#This Row],[Age]]&gt;55,"Old",IF(Table14[[#This Row],[Age]]&gt;25,"Middle","Na")))</f>
        <v>Middle</v>
      </c>
      <c r="H314" t="s">
        <v>11</v>
      </c>
      <c r="I314">
        <v>4</v>
      </c>
      <c r="J314">
        <v>25</v>
      </c>
      <c r="K314">
        <v>100</v>
      </c>
      <c r="N314" s="11" t="s">
        <v>696</v>
      </c>
      <c r="O314" s="11" t="s">
        <v>11</v>
      </c>
      <c r="P314" s="11">
        <f>K312/J312</f>
        <v>1</v>
      </c>
      <c r="Q314" s="11">
        <v>1000</v>
      </c>
      <c r="R314" s="11">
        <v>1000</v>
      </c>
    </row>
    <row r="315" spans="2:18" x14ac:dyDescent="0.35">
      <c r="B315">
        <v>312</v>
      </c>
      <c r="C315" s="1">
        <v>45176</v>
      </c>
      <c r="D315" t="s">
        <v>325</v>
      </c>
      <c r="E315" t="s">
        <v>10</v>
      </c>
      <c r="F315">
        <v>41</v>
      </c>
      <c r="G315" t="str">
        <f>IF(Table14[[#This Row],[Age]]&lt;=25,"Young",IF(Table14[[#This Row],[Age]]&gt;55,"Old",IF(Table14[[#This Row],[Age]]&gt;25,"Middle","Na")))</f>
        <v>Middle</v>
      </c>
      <c r="H315" t="s">
        <v>14</v>
      </c>
      <c r="I315">
        <v>4</v>
      </c>
      <c r="J315">
        <v>30</v>
      </c>
      <c r="K315">
        <v>120</v>
      </c>
      <c r="N315" s="11" t="s">
        <v>745</v>
      </c>
      <c r="O315" s="11" t="s">
        <v>16</v>
      </c>
      <c r="P315" s="11">
        <f>K313/J313</f>
        <v>1</v>
      </c>
      <c r="Q315" s="11">
        <v>1000</v>
      </c>
      <c r="R315" s="11">
        <v>1000</v>
      </c>
    </row>
    <row r="316" spans="2:18" x14ac:dyDescent="0.35">
      <c r="B316">
        <v>313</v>
      </c>
      <c r="C316" s="1">
        <v>45006</v>
      </c>
      <c r="D316" t="s">
        <v>326</v>
      </c>
      <c r="E316" t="s">
        <v>13</v>
      </c>
      <c r="F316">
        <v>55</v>
      </c>
      <c r="G316" t="str">
        <f>IF(Table14[[#This Row],[Age]]&lt;=25,"Young",IF(Table14[[#This Row],[Age]]&gt;55,"Old",IF(Table14[[#This Row],[Age]]&gt;25,"Middle","Na")))</f>
        <v>Middle</v>
      </c>
      <c r="H316" t="s">
        <v>11</v>
      </c>
      <c r="I316">
        <v>3</v>
      </c>
      <c r="J316">
        <v>500</v>
      </c>
      <c r="K316">
        <v>1500</v>
      </c>
      <c r="N316" s="11" t="s">
        <v>863</v>
      </c>
      <c r="O316" s="11" t="s">
        <v>11</v>
      </c>
      <c r="P316" s="11">
        <f>K314/J314</f>
        <v>4</v>
      </c>
      <c r="Q316" s="11">
        <v>1000</v>
      </c>
      <c r="R316" s="11">
        <v>1000</v>
      </c>
    </row>
    <row r="317" spans="2:18" x14ac:dyDescent="0.35">
      <c r="B317">
        <v>314</v>
      </c>
      <c r="C317" s="1">
        <v>45024</v>
      </c>
      <c r="D317" t="s">
        <v>327</v>
      </c>
      <c r="E317" t="s">
        <v>10</v>
      </c>
      <c r="F317">
        <v>52</v>
      </c>
      <c r="G317" t="str">
        <f>IF(Table14[[#This Row],[Age]]&lt;=25,"Young",IF(Table14[[#This Row],[Age]]&gt;55,"Old",IF(Table14[[#This Row],[Age]]&gt;25,"Middle","Na")))</f>
        <v>Middle</v>
      </c>
      <c r="H317" t="s">
        <v>14</v>
      </c>
      <c r="I317">
        <v>4</v>
      </c>
      <c r="J317">
        <v>30</v>
      </c>
      <c r="K317">
        <v>120</v>
      </c>
      <c r="N317" s="11" t="s">
        <v>893</v>
      </c>
      <c r="O317" s="11" t="s">
        <v>11</v>
      </c>
      <c r="P317" s="11">
        <f>K315/J315</f>
        <v>4</v>
      </c>
      <c r="Q317" s="11">
        <v>1000</v>
      </c>
      <c r="R317" s="11">
        <v>1000</v>
      </c>
    </row>
    <row r="318" spans="2:18" x14ac:dyDescent="0.35">
      <c r="B318">
        <v>315</v>
      </c>
      <c r="C318" s="1">
        <v>45078</v>
      </c>
      <c r="D318" t="s">
        <v>328</v>
      </c>
      <c r="E318" t="s">
        <v>10</v>
      </c>
      <c r="F318">
        <v>47</v>
      </c>
      <c r="G318" t="str">
        <f>IF(Table14[[#This Row],[Age]]&lt;=25,"Young",IF(Table14[[#This Row],[Age]]&gt;55,"Old",IF(Table14[[#This Row],[Age]]&gt;25,"Middle","Na")))</f>
        <v>Middle</v>
      </c>
      <c r="H318" t="s">
        <v>14</v>
      </c>
      <c r="I318">
        <v>2</v>
      </c>
      <c r="J318">
        <v>30</v>
      </c>
      <c r="K318">
        <v>60</v>
      </c>
      <c r="N318" s="11" t="s">
        <v>979</v>
      </c>
      <c r="O318" s="11" t="s">
        <v>16</v>
      </c>
      <c r="P318" s="11">
        <f>K316/J316</f>
        <v>3</v>
      </c>
      <c r="Q318" s="11">
        <v>1000</v>
      </c>
      <c r="R318" s="11">
        <v>1000</v>
      </c>
    </row>
    <row r="319" spans="2:18" x14ac:dyDescent="0.35">
      <c r="B319">
        <v>316</v>
      </c>
      <c r="C319" s="1">
        <v>45038</v>
      </c>
      <c r="D319" t="s">
        <v>329</v>
      </c>
      <c r="E319" t="s">
        <v>13</v>
      </c>
      <c r="F319">
        <v>48</v>
      </c>
      <c r="G319" t="str">
        <f>IF(Table14[[#This Row],[Age]]&lt;=25,"Young",IF(Table14[[#This Row],[Age]]&gt;55,"Old",IF(Table14[[#This Row],[Age]]&gt;25,"Middle","Na")))</f>
        <v>Middle</v>
      </c>
      <c r="H319" t="s">
        <v>14</v>
      </c>
      <c r="I319">
        <v>2</v>
      </c>
      <c r="J319">
        <v>25</v>
      </c>
      <c r="K319">
        <v>50</v>
      </c>
      <c r="N319" s="11" t="s">
        <v>999</v>
      </c>
      <c r="O319" s="11" t="s">
        <v>14</v>
      </c>
      <c r="P319" s="11">
        <f>K317/J317</f>
        <v>4</v>
      </c>
      <c r="Q319" s="11">
        <v>1000</v>
      </c>
      <c r="R319" s="11">
        <v>1000</v>
      </c>
    </row>
    <row r="320" spans="2:18" x14ac:dyDescent="0.35">
      <c r="B320">
        <v>317</v>
      </c>
      <c r="C320" s="1">
        <v>44956</v>
      </c>
      <c r="D320" t="s">
        <v>330</v>
      </c>
      <c r="E320" t="s">
        <v>10</v>
      </c>
      <c r="F320">
        <v>22</v>
      </c>
      <c r="G320" t="str">
        <f>IF(Table14[[#This Row],[Age]]&lt;=25,"Young",IF(Table14[[#This Row],[Age]]&gt;55,"Old",IF(Table14[[#This Row],[Age]]&gt;25,"Middle","Na")))</f>
        <v>Young</v>
      </c>
      <c r="H320" t="s">
        <v>16</v>
      </c>
      <c r="I320">
        <v>3</v>
      </c>
      <c r="J320">
        <v>30</v>
      </c>
      <c r="K320">
        <v>90</v>
      </c>
      <c r="N320" s="11" t="s">
        <v>146</v>
      </c>
      <c r="O320" s="11" t="s">
        <v>16</v>
      </c>
      <c r="P320" s="11">
        <f>K318/J318</f>
        <v>2</v>
      </c>
      <c r="Q320" s="11">
        <v>900</v>
      </c>
      <c r="R320" s="11">
        <v>900</v>
      </c>
    </row>
    <row r="321" spans="2:18" x14ac:dyDescent="0.35">
      <c r="B321">
        <v>318</v>
      </c>
      <c r="C321" s="1">
        <v>45223</v>
      </c>
      <c r="D321" t="s">
        <v>331</v>
      </c>
      <c r="E321" t="s">
        <v>10</v>
      </c>
      <c r="F321">
        <v>61</v>
      </c>
      <c r="G321" t="str">
        <f>IF(Table14[[#This Row],[Age]]&lt;=25,"Young",IF(Table14[[#This Row],[Age]]&gt;55,"Old",IF(Table14[[#This Row],[Age]]&gt;25,"Middle","Na")))</f>
        <v>Old</v>
      </c>
      <c r="H321" t="s">
        <v>14</v>
      </c>
      <c r="I321">
        <v>1</v>
      </c>
      <c r="J321">
        <v>25</v>
      </c>
      <c r="K321">
        <v>25</v>
      </c>
      <c r="N321" s="11" t="s">
        <v>167</v>
      </c>
      <c r="O321" s="11" t="s">
        <v>16</v>
      </c>
      <c r="P321" s="11">
        <f>K319/J319</f>
        <v>2</v>
      </c>
      <c r="Q321" s="11">
        <v>900</v>
      </c>
      <c r="R321" s="11">
        <v>900</v>
      </c>
    </row>
    <row r="322" spans="2:18" x14ac:dyDescent="0.35">
      <c r="B322">
        <v>319</v>
      </c>
      <c r="C322" s="1">
        <v>45204</v>
      </c>
      <c r="D322" t="s">
        <v>332</v>
      </c>
      <c r="E322" t="s">
        <v>10</v>
      </c>
      <c r="F322">
        <v>31</v>
      </c>
      <c r="G322" t="str">
        <f>IF(Table14[[#This Row],[Age]]&lt;=25,"Young",IF(Table14[[#This Row],[Age]]&gt;55,"Old",IF(Table14[[#This Row],[Age]]&gt;25,"Middle","Na")))</f>
        <v>Middle</v>
      </c>
      <c r="H322" t="s">
        <v>14</v>
      </c>
      <c r="I322">
        <v>1</v>
      </c>
      <c r="J322">
        <v>500</v>
      </c>
      <c r="K322">
        <v>500</v>
      </c>
      <c r="N322" s="11" t="s">
        <v>184</v>
      </c>
      <c r="O322" s="11" t="s">
        <v>14</v>
      </c>
      <c r="P322" s="11">
        <f>K320/J320</f>
        <v>3</v>
      </c>
      <c r="Q322" s="11">
        <v>900</v>
      </c>
      <c r="R322" s="11">
        <v>900</v>
      </c>
    </row>
    <row r="323" spans="2:18" x14ac:dyDescent="0.35">
      <c r="B323">
        <v>320</v>
      </c>
      <c r="C323" s="1">
        <v>44958</v>
      </c>
      <c r="D323" t="s">
        <v>333</v>
      </c>
      <c r="E323" t="s">
        <v>13</v>
      </c>
      <c r="F323">
        <v>28</v>
      </c>
      <c r="G323" t="str">
        <f>IF(Table14[[#This Row],[Age]]&lt;=25,"Young",IF(Table14[[#This Row],[Age]]&gt;55,"Old",IF(Table14[[#This Row],[Age]]&gt;25,"Middle","Na")))</f>
        <v>Middle</v>
      </c>
      <c r="H323" t="s">
        <v>16</v>
      </c>
      <c r="I323">
        <v>4</v>
      </c>
      <c r="J323">
        <v>300</v>
      </c>
      <c r="K323">
        <v>1200</v>
      </c>
      <c r="N323" s="11" t="s">
        <v>196</v>
      </c>
      <c r="O323" s="11" t="s">
        <v>11</v>
      </c>
      <c r="P323" s="11">
        <f>K321/J321</f>
        <v>1</v>
      </c>
      <c r="Q323" s="11">
        <v>900</v>
      </c>
      <c r="R323" s="11">
        <v>900</v>
      </c>
    </row>
    <row r="324" spans="2:18" x14ac:dyDescent="0.35">
      <c r="B324">
        <v>321</v>
      </c>
      <c r="C324" s="1">
        <v>45087</v>
      </c>
      <c r="D324" t="s">
        <v>334</v>
      </c>
      <c r="E324" t="s">
        <v>13</v>
      </c>
      <c r="F324">
        <v>26</v>
      </c>
      <c r="G324" t="str">
        <f>IF(Table14[[#This Row],[Age]]&lt;=25,"Young",IF(Table14[[#This Row],[Age]]&gt;55,"Old",IF(Table14[[#This Row],[Age]]&gt;25,"Middle","Na")))</f>
        <v>Middle</v>
      </c>
      <c r="H324" t="s">
        <v>16</v>
      </c>
      <c r="I324">
        <v>2</v>
      </c>
      <c r="J324">
        <v>25</v>
      </c>
      <c r="K324">
        <v>50</v>
      </c>
      <c r="N324" s="11" t="s">
        <v>256</v>
      </c>
      <c r="O324" s="11" t="s">
        <v>16</v>
      </c>
      <c r="P324" s="11">
        <f>K322/J322</f>
        <v>1</v>
      </c>
      <c r="Q324" s="11">
        <v>900</v>
      </c>
      <c r="R324" s="11">
        <v>900</v>
      </c>
    </row>
    <row r="325" spans="2:18" x14ac:dyDescent="0.35">
      <c r="B325">
        <v>322</v>
      </c>
      <c r="C325" s="1">
        <v>44956</v>
      </c>
      <c r="D325" t="s">
        <v>335</v>
      </c>
      <c r="E325" t="s">
        <v>10</v>
      </c>
      <c r="F325">
        <v>51</v>
      </c>
      <c r="G325" t="str">
        <f>IF(Table14[[#This Row],[Age]]&lt;=25,"Young",IF(Table14[[#This Row],[Age]]&gt;55,"Old",IF(Table14[[#This Row],[Age]]&gt;25,"Middle","Na")))</f>
        <v>Middle</v>
      </c>
      <c r="H325" t="s">
        <v>16</v>
      </c>
      <c r="I325">
        <v>1</v>
      </c>
      <c r="J325">
        <v>500</v>
      </c>
      <c r="K325">
        <v>500</v>
      </c>
      <c r="N325" s="11" t="s">
        <v>261</v>
      </c>
      <c r="O325" s="11" t="s">
        <v>14</v>
      </c>
      <c r="P325" s="11">
        <f>K323/J323</f>
        <v>4</v>
      </c>
      <c r="Q325" s="11">
        <v>900</v>
      </c>
      <c r="R325" s="11">
        <v>900</v>
      </c>
    </row>
    <row r="326" spans="2:18" x14ac:dyDescent="0.35">
      <c r="B326">
        <v>323</v>
      </c>
      <c r="C326" s="1">
        <v>44952</v>
      </c>
      <c r="D326" t="s">
        <v>336</v>
      </c>
      <c r="E326" t="s">
        <v>13</v>
      </c>
      <c r="F326">
        <v>29</v>
      </c>
      <c r="G326" t="str">
        <f>IF(Table14[[#This Row],[Age]]&lt;=25,"Young",IF(Table14[[#This Row],[Age]]&gt;55,"Old",IF(Table14[[#This Row],[Age]]&gt;25,"Middle","Na")))</f>
        <v>Middle</v>
      </c>
      <c r="H326" t="s">
        <v>11</v>
      </c>
      <c r="I326">
        <v>3</v>
      </c>
      <c r="J326">
        <v>300</v>
      </c>
      <c r="K326">
        <v>900</v>
      </c>
      <c r="N326" s="11" t="s">
        <v>448</v>
      </c>
      <c r="O326" s="11" t="s">
        <v>11</v>
      </c>
      <c r="P326" s="11">
        <f>K324/J324</f>
        <v>2</v>
      </c>
      <c r="Q326" s="11">
        <v>900</v>
      </c>
      <c r="R326" s="11">
        <v>900</v>
      </c>
    </row>
    <row r="327" spans="2:18" x14ac:dyDescent="0.35">
      <c r="B327">
        <v>324</v>
      </c>
      <c r="C327" s="1">
        <v>45226</v>
      </c>
      <c r="D327" t="s">
        <v>337</v>
      </c>
      <c r="E327" t="s">
        <v>13</v>
      </c>
      <c r="F327">
        <v>52</v>
      </c>
      <c r="G327" t="str">
        <f>IF(Table14[[#This Row],[Age]]&lt;=25,"Young",IF(Table14[[#This Row],[Age]]&gt;55,"Old",IF(Table14[[#This Row],[Age]]&gt;25,"Middle","Na")))</f>
        <v>Middle</v>
      </c>
      <c r="H327" t="s">
        <v>16</v>
      </c>
      <c r="I327">
        <v>3</v>
      </c>
      <c r="J327">
        <v>50</v>
      </c>
      <c r="K327">
        <v>150</v>
      </c>
      <c r="N327" s="11" t="s">
        <v>485</v>
      </c>
      <c r="O327" s="11" t="s">
        <v>11</v>
      </c>
      <c r="P327" s="11">
        <f>K325/J325</f>
        <v>1</v>
      </c>
      <c r="Q327" s="11">
        <v>900</v>
      </c>
      <c r="R327" s="11">
        <v>900</v>
      </c>
    </row>
    <row r="328" spans="2:18" x14ac:dyDescent="0.35">
      <c r="B328">
        <v>325</v>
      </c>
      <c r="C328" s="1">
        <v>45171</v>
      </c>
      <c r="D328" t="s">
        <v>338</v>
      </c>
      <c r="E328" t="s">
        <v>13</v>
      </c>
      <c r="F328">
        <v>52</v>
      </c>
      <c r="G328" t="str">
        <f>IF(Table14[[#This Row],[Age]]&lt;=25,"Young",IF(Table14[[#This Row],[Age]]&gt;55,"Old",IF(Table14[[#This Row],[Age]]&gt;25,"Middle","Na")))</f>
        <v>Middle</v>
      </c>
      <c r="H328" t="s">
        <v>16</v>
      </c>
      <c r="I328">
        <v>2</v>
      </c>
      <c r="J328">
        <v>25</v>
      </c>
      <c r="K328">
        <v>50</v>
      </c>
      <c r="N328" s="11" t="s">
        <v>580</v>
      </c>
      <c r="O328" s="11" t="s">
        <v>14</v>
      </c>
      <c r="P328" s="11">
        <f>K326/J326</f>
        <v>3</v>
      </c>
      <c r="Q328" s="11">
        <v>900</v>
      </c>
      <c r="R328" s="11">
        <v>900</v>
      </c>
    </row>
    <row r="329" spans="2:18" x14ac:dyDescent="0.35">
      <c r="B329">
        <v>326</v>
      </c>
      <c r="C329" s="1">
        <v>45184</v>
      </c>
      <c r="D329" t="s">
        <v>339</v>
      </c>
      <c r="E329" t="s">
        <v>13</v>
      </c>
      <c r="F329">
        <v>18</v>
      </c>
      <c r="G329" t="str">
        <f>IF(Table14[[#This Row],[Age]]&lt;=25,"Young",IF(Table14[[#This Row],[Age]]&gt;55,"Old",IF(Table14[[#This Row],[Age]]&gt;25,"Middle","Na")))</f>
        <v>Young</v>
      </c>
      <c r="H329" t="s">
        <v>14</v>
      </c>
      <c r="I329">
        <v>3</v>
      </c>
      <c r="J329">
        <v>25</v>
      </c>
      <c r="K329">
        <v>75</v>
      </c>
      <c r="N329" s="11" t="s">
        <v>603</v>
      </c>
      <c r="O329" s="11" t="s">
        <v>14</v>
      </c>
      <c r="P329" s="11">
        <f>K327/J327</f>
        <v>3</v>
      </c>
      <c r="Q329" s="11">
        <v>900</v>
      </c>
      <c r="R329" s="11">
        <v>900</v>
      </c>
    </row>
    <row r="330" spans="2:18" x14ac:dyDescent="0.35">
      <c r="B330">
        <v>327</v>
      </c>
      <c r="C330" s="1">
        <v>45198</v>
      </c>
      <c r="D330" t="s">
        <v>340</v>
      </c>
      <c r="E330" t="s">
        <v>10</v>
      </c>
      <c r="F330">
        <v>57</v>
      </c>
      <c r="G330" t="str">
        <f>IF(Table14[[#This Row],[Age]]&lt;=25,"Young",IF(Table14[[#This Row],[Age]]&gt;55,"Old",IF(Table14[[#This Row],[Age]]&gt;25,"Middle","Na")))</f>
        <v>Old</v>
      </c>
      <c r="H330" t="s">
        <v>16</v>
      </c>
      <c r="I330">
        <v>3</v>
      </c>
      <c r="J330">
        <v>50</v>
      </c>
      <c r="K330">
        <v>150</v>
      </c>
      <c r="N330" s="11" t="s">
        <v>648</v>
      </c>
      <c r="O330" s="11" t="s">
        <v>16</v>
      </c>
      <c r="P330" s="11">
        <f>K328/J328</f>
        <v>2</v>
      </c>
      <c r="Q330" s="11">
        <v>900</v>
      </c>
      <c r="R330" s="11">
        <v>900</v>
      </c>
    </row>
    <row r="331" spans="2:18" x14ac:dyDescent="0.35">
      <c r="B331">
        <v>328</v>
      </c>
      <c r="C331" s="1">
        <v>45007</v>
      </c>
      <c r="D331" t="s">
        <v>341</v>
      </c>
      <c r="E331" t="s">
        <v>10</v>
      </c>
      <c r="F331">
        <v>39</v>
      </c>
      <c r="G331" t="str">
        <f>IF(Table14[[#This Row],[Age]]&lt;=25,"Young",IF(Table14[[#This Row],[Age]]&gt;55,"Old",IF(Table14[[#This Row],[Age]]&gt;25,"Middle","Na")))</f>
        <v>Middle</v>
      </c>
      <c r="H331" t="s">
        <v>11</v>
      </c>
      <c r="I331">
        <v>2</v>
      </c>
      <c r="J331">
        <v>50</v>
      </c>
      <c r="K331">
        <v>100</v>
      </c>
      <c r="N331" s="11" t="s">
        <v>693</v>
      </c>
      <c r="O331" s="11" t="s">
        <v>14</v>
      </c>
      <c r="P331" s="11">
        <f>K329/J329</f>
        <v>3</v>
      </c>
      <c r="Q331" s="11">
        <v>900</v>
      </c>
      <c r="R331" s="11">
        <v>900</v>
      </c>
    </row>
    <row r="332" spans="2:18" x14ac:dyDescent="0.35">
      <c r="B332">
        <v>329</v>
      </c>
      <c r="C332" s="1">
        <v>44956</v>
      </c>
      <c r="D332" t="s">
        <v>342</v>
      </c>
      <c r="E332" t="s">
        <v>13</v>
      </c>
      <c r="F332">
        <v>46</v>
      </c>
      <c r="G332" t="str">
        <f>IF(Table14[[#This Row],[Age]]&lt;=25,"Young",IF(Table14[[#This Row],[Age]]&gt;55,"Old",IF(Table14[[#This Row],[Age]]&gt;25,"Middle","Na")))</f>
        <v>Middle</v>
      </c>
      <c r="H332" t="s">
        <v>16</v>
      </c>
      <c r="I332">
        <v>4</v>
      </c>
      <c r="J332">
        <v>25</v>
      </c>
      <c r="K332">
        <v>100</v>
      </c>
      <c r="N332" s="11" t="s">
        <v>735</v>
      </c>
      <c r="O332" s="11" t="s">
        <v>11</v>
      </c>
      <c r="P332" s="11">
        <f>K330/J330</f>
        <v>3</v>
      </c>
      <c r="Q332" s="11">
        <v>900</v>
      </c>
      <c r="R332" s="11">
        <v>900</v>
      </c>
    </row>
    <row r="333" spans="2:18" x14ac:dyDescent="0.35">
      <c r="B333">
        <v>330</v>
      </c>
      <c r="C333" s="1">
        <v>45187</v>
      </c>
      <c r="D333" t="s">
        <v>343</v>
      </c>
      <c r="E333" t="s">
        <v>13</v>
      </c>
      <c r="F333">
        <v>25</v>
      </c>
      <c r="G333" t="str">
        <f>IF(Table14[[#This Row],[Age]]&lt;=25,"Young",IF(Table14[[#This Row],[Age]]&gt;55,"Old",IF(Table14[[#This Row],[Age]]&gt;25,"Middle","Na")))</f>
        <v>Young</v>
      </c>
      <c r="H333" t="s">
        <v>11</v>
      </c>
      <c r="I333">
        <v>4</v>
      </c>
      <c r="J333">
        <v>50</v>
      </c>
      <c r="K333">
        <v>200</v>
      </c>
      <c r="N333" s="11" t="s">
        <v>1000</v>
      </c>
      <c r="O333" s="11" t="s">
        <v>14</v>
      </c>
      <c r="P333" s="11">
        <f>K331/J331</f>
        <v>2</v>
      </c>
      <c r="Q333" s="11">
        <v>900</v>
      </c>
      <c r="R333" s="11">
        <v>900</v>
      </c>
    </row>
    <row r="334" spans="2:18" x14ac:dyDescent="0.35">
      <c r="B334">
        <v>331</v>
      </c>
      <c r="C334" s="1">
        <v>44968</v>
      </c>
      <c r="D334" t="s">
        <v>344</v>
      </c>
      <c r="E334" t="s">
        <v>10</v>
      </c>
      <c r="F334">
        <v>28</v>
      </c>
      <c r="G334" t="str">
        <f>IF(Table14[[#This Row],[Age]]&lt;=25,"Young",IF(Table14[[#This Row],[Age]]&gt;55,"Old",IF(Table14[[#This Row],[Age]]&gt;25,"Middle","Na")))</f>
        <v>Middle</v>
      </c>
      <c r="H334" t="s">
        <v>16</v>
      </c>
      <c r="I334">
        <v>3</v>
      </c>
      <c r="J334">
        <v>30</v>
      </c>
      <c r="K334">
        <v>90</v>
      </c>
      <c r="N334" s="11" t="s">
        <v>22</v>
      </c>
      <c r="O334" s="11" t="s">
        <v>16</v>
      </c>
      <c r="P334" s="11">
        <f>K332/J332</f>
        <v>4</v>
      </c>
      <c r="Q334" s="11">
        <v>600</v>
      </c>
      <c r="R334" s="11">
        <v>600</v>
      </c>
    </row>
    <row r="335" spans="2:18" x14ac:dyDescent="0.35">
      <c r="B335">
        <v>332</v>
      </c>
      <c r="C335" s="1">
        <v>45022</v>
      </c>
      <c r="D335" t="s">
        <v>345</v>
      </c>
      <c r="E335" t="s">
        <v>10</v>
      </c>
      <c r="F335">
        <v>58</v>
      </c>
      <c r="G335" t="str">
        <f>IF(Table14[[#This Row],[Age]]&lt;=25,"Young",IF(Table14[[#This Row],[Age]]&gt;55,"Old",IF(Table14[[#This Row],[Age]]&gt;25,"Middle","Na")))</f>
        <v>Old</v>
      </c>
      <c r="H335" t="s">
        <v>16</v>
      </c>
      <c r="I335">
        <v>4</v>
      </c>
      <c r="J335">
        <v>300</v>
      </c>
      <c r="K335">
        <v>1200</v>
      </c>
      <c r="N335" s="11" t="s">
        <v>114</v>
      </c>
      <c r="O335" s="11" t="s">
        <v>14</v>
      </c>
      <c r="P335" s="11">
        <f>K333/J333</f>
        <v>4</v>
      </c>
      <c r="Q335" s="11">
        <v>600</v>
      </c>
      <c r="R335" s="11">
        <v>600</v>
      </c>
    </row>
    <row r="336" spans="2:18" x14ac:dyDescent="0.35">
      <c r="B336">
        <v>333</v>
      </c>
      <c r="C336" s="1">
        <v>44962</v>
      </c>
      <c r="D336" t="s">
        <v>346</v>
      </c>
      <c r="E336" t="s">
        <v>13</v>
      </c>
      <c r="F336">
        <v>54</v>
      </c>
      <c r="G336" t="str">
        <f>IF(Table14[[#This Row],[Age]]&lt;=25,"Young",IF(Table14[[#This Row],[Age]]&gt;55,"Old",IF(Table14[[#This Row],[Age]]&gt;25,"Middle","Na")))</f>
        <v>Middle</v>
      </c>
      <c r="H336" t="s">
        <v>16</v>
      </c>
      <c r="I336">
        <v>4</v>
      </c>
      <c r="J336">
        <v>300</v>
      </c>
      <c r="K336">
        <v>1200</v>
      </c>
      <c r="N336" s="11" t="s">
        <v>399</v>
      </c>
      <c r="O336" s="11" t="s">
        <v>16</v>
      </c>
      <c r="P336" s="11">
        <f>K334/J334</f>
        <v>3</v>
      </c>
      <c r="Q336" s="11">
        <v>600</v>
      </c>
      <c r="R336" s="11">
        <v>600</v>
      </c>
    </row>
    <row r="337" spans="2:18" x14ac:dyDescent="0.35">
      <c r="B337">
        <v>334</v>
      </c>
      <c r="C337" s="1">
        <v>45231</v>
      </c>
      <c r="D337" t="s">
        <v>347</v>
      </c>
      <c r="E337" t="s">
        <v>10</v>
      </c>
      <c r="F337">
        <v>31</v>
      </c>
      <c r="G337" t="str">
        <f>IF(Table14[[#This Row],[Age]]&lt;=25,"Young",IF(Table14[[#This Row],[Age]]&gt;55,"Old",IF(Table14[[#This Row],[Age]]&gt;25,"Middle","Na")))</f>
        <v>Middle</v>
      </c>
      <c r="H337" t="s">
        <v>16</v>
      </c>
      <c r="I337">
        <v>3</v>
      </c>
      <c r="J337">
        <v>300</v>
      </c>
      <c r="K337">
        <v>900</v>
      </c>
      <c r="N337" s="11" t="s">
        <v>650</v>
      </c>
      <c r="O337" s="11" t="s">
        <v>14</v>
      </c>
      <c r="P337" s="11">
        <f>K335/J335</f>
        <v>4</v>
      </c>
      <c r="Q337" s="11">
        <v>600</v>
      </c>
      <c r="R337" s="11">
        <v>600</v>
      </c>
    </row>
    <row r="338" spans="2:18" x14ac:dyDescent="0.35">
      <c r="B338">
        <v>335</v>
      </c>
      <c r="C338" s="1">
        <v>44961</v>
      </c>
      <c r="D338" t="s">
        <v>348</v>
      </c>
      <c r="E338" t="s">
        <v>13</v>
      </c>
      <c r="F338">
        <v>47</v>
      </c>
      <c r="G338" t="str">
        <f>IF(Table14[[#This Row],[Age]]&lt;=25,"Young",IF(Table14[[#This Row],[Age]]&gt;55,"Old",IF(Table14[[#This Row],[Age]]&gt;25,"Middle","Na")))</f>
        <v>Middle</v>
      </c>
      <c r="H338" t="s">
        <v>11</v>
      </c>
      <c r="I338">
        <v>4</v>
      </c>
      <c r="J338">
        <v>30</v>
      </c>
      <c r="K338">
        <v>120</v>
      </c>
      <c r="N338" s="11" t="s">
        <v>662</v>
      </c>
      <c r="O338" s="11" t="s">
        <v>14</v>
      </c>
      <c r="P338" s="11">
        <f>K336/J336</f>
        <v>4</v>
      </c>
      <c r="Q338" s="11">
        <v>600</v>
      </c>
      <c r="R338" s="11">
        <v>600</v>
      </c>
    </row>
    <row r="339" spans="2:18" x14ac:dyDescent="0.35">
      <c r="B339">
        <v>336</v>
      </c>
      <c r="C339" s="1">
        <v>45272</v>
      </c>
      <c r="D339" t="s">
        <v>349</v>
      </c>
      <c r="E339" t="s">
        <v>13</v>
      </c>
      <c r="F339">
        <v>52</v>
      </c>
      <c r="G339" t="str">
        <f>IF(Table14[[#This Row],[Age]]&lt;=25,"Young",IF(Table14[[#This Row],[Age]]&gt;55,"Old",IF(Table14[[#This Row],[Age]]&gt;25,"Middle","Na")))</f>
        <v>Middle</v>
      </c>
      <c r="H339" t="s">
        <v>11</v>
      </c>
      <c r="I339">
        <v>3</v>
      </c>
      <c r="J339">
        <v>50</v>
      </c>
      <c r="K339">
        <v>150</v>
      </c>
      <c r="N339" s="11" t="s">
        <v>715</v>
      </c>
      <c r="O339" s="11" t="s">
        <v>14</v>
      </c>
      <c r="P339" s="11">
        <f>K337/J337</f>
        <v>3</v>
      </c>
      <c r="Q339" s="11">
        <v>600</v>
      </c>
      <c r="R339" s="11">
        <v>600</v>
      </c>
    </row>
    <row r="340" spans="2:18" x14ac:dyDescent="0.35">
      <c r="B340">
        <v>337</v>
      </c>
      <c r="C340" s="1">
        <v>45047</v>
      </c>
      <c r="D340" t="s">
        <v>350</v>
      </c>
      <c r="E340" t="s">
        <v>10</v>
      </c>
      <c r="F340">
        <v>38</v>
      </c>
      <c r="G340" t="str">
        <f>IF(Table14[[#This Row],[Age]]&lt;=25,"Young",IF(Table14[[#This Row],[Age]]&gt;55,"Old",IF(Table14[[#This Row],[Age]]&gt;25,"Middle","Na")))</f>
        <v>Middle</v>
      </c>
      <c r="H340" t="s">
        <v>14</v>
      </c>
      <c r="I340">
        <v>1</v>
      </c>
      <c r="J340">
        <v>500</v>
      </c>
      <c r="K340">
        <v>500</v>
      </c>
      <c r="N340" s="11" t="s">
        <v>101</v>
      </c>
      <c r="O340" s="11" t="s">
        <v>14</v>
      </c>
      <c r="P340" s="11">
        <f>K338/J338</f>
        <v>4</v>
      </c>
      <c r="Q340" s="11">
        <v>500</v>
      </c>
      <c r="R340" s="11">
        <v>500</v>
      </c>
    </row>
    <row r="341" spans="2:18" x14ac:dyDescent="0.35">
      <c r="B341">
        <v>338</v>
      </c>
      <c r="C341" s="1">
        <v>45133</v>
      </c>
      <c r="D341" t="s">
        <v>351</v>
      </c>
      <c r="E341" t="s">
        <v>10</v>
      </c>
      <c r="F341">
        <v>54</v>
      </c>
      <c r="G341" t="str">
        <f>IF(Table14[[#This Row],[Age]]&lt;=25,"Young",IF(Table14[[#This Row],[Age]]&gt;55,"Old",IF(Table14[[#This Row],[Age]]&gt;25,"Middle","Na")))</f>
        <v>Middle</v>
      </c>
      <c r="H341" t="s">
        <v>11</v>
      </c>
      <c r="I341">
        <v>2</v>
      </c>
      <c r="J341">
        <v>50</v>
      </c>
      <c r="K341">
        <v>100</v>
      </c>
      <c r="N341" s="11" t="s">
        <v>332</v>
      </c>
      <c r="O341" s="11" t="s">
        <v>14</v>
      </c>
      <c r="P341" s="11">
        <f>K339/J339</f>
        <v>3</v>
      </c>
      <c r="Q341" s="11">
        <v>500</v>
      </c>
      <c r="R341" s="11">
        <v>500</v>
      </c>
    </row>
    <row r="342" spans="2:18" x14ac:dyDescent="0.35">
      <c r="B342">
        <v>339</v>
      </c>
      <c r="C342" s="1">
        <v>44988</v>
      </c>
      <c r="D342" t="s">
        <v>352</v>
      </c>
      <c r="E342" t="s">
        <v>13</v>
      </c>
      <c r="F342">
        <v>22</v>
      </c>
      <c r="G342" t="str">
        <f>IF(Table14[[#This Row],[Age]]&lt;=25,"Young",IF(Table14[[#This Row],[Age]]&gt;55,"Old",IF(Table14[[#This Row],[Age]]&gt;25,"Middle","Na")))</f>
        <v>Young</v>
      </c>
      <c r="H342" t="s">
        <v>16</v>
      </c>
      <c r="I342">
        <v>2</v>
      </c>
      <c r="J342">
        <v>25</v>
      </c>
      <c r="K342">
        <v>50</v>
      </c>
      <c r="N342" s="11" t="s">
        <v>368</v>
      </c>
      <c r="O342" s="11" t="s">
        <v>16</v>
      </c>
      <c r="P342" s="11">
        <f>K340/J340</f>
        <v>1</v>
      </c>
      <c r="Q342" s="11">
        <v>500</v>
      </c>
      <c r="R342" s="11">
        <v>500</v>
      </c>
    </row>
    <row r="343" spans="2:18" x14ac:dyDescent="0.35">
      <c r="B343">
        <v>340</v>
      </c>
      <c r="C343" s="1">
        <v>45218</v>
      </c>
      <c r="D343" t="s">
        <v>353</v>
      </c>
      <c r="E343" t="s">
        <v>13</v>
      </c>
      <c r="F343">
        <v>36</v>
      </c>
      <c r="G343" t="str">
        <f>IF(Table14[[#This Row],[Age]]&lt;=25,"Young",IF(Table14[[#This Row],[Age]]&gt;55,"Old",IF(Table14[[#This Row],[Age]]&gt;25,"Middle","Na")))</f>
        <v>Middle</v>
      </c>
      <c r="H343" t="s">
        <v>14</v>
      </c>
      <c r="I343">
        <v>4</v>
      </c>
      <c r="J343">
        <v>300</v>
      </c>
      <c r="K343">
        <v>1200</v>
      </c>
      <c r="N343" s="11" t="s">
        <v>550</v>
      </c>
      <c r="O343" s="11" t="s">
        <v>11</v>
      </c>
      <c r="P343" s="11">
        <f>K341/J341</f>
        <v>2</v>
      </c>
      <c r="Q343" s="11">
        <v>500</v>
      </c>
      <c r="R343" s="11">
        <v>500</v>
      </c>
    </row>
    <row r="344" spans="2:18" x14ac:dyDescent="0.35">
      <c r="B344">
        <v>341</v>
      </c>
      <c r="C344" s="1">
        <v>45053</v>
      </c>
      <c r="D344" t="s">
        <v>354</v>
      </c>
      <c r="E344" t="s">
        <v>10</v>
      </c>
      <c r="F344">
        <v>31</v>
      </c>
      <c r="G344" t="str">
        <f>IF(Table14[[#This Row],[Age]]&lt;=25,"Young",IF(Table14[[#This Row],[Age]]&gt;55,"Old",IF(Table14[[#This Row],[Age]]&gt;25,"Middle","Na")))</f>
        <v>Middle</v>
      </c>
      <c r="H344" t="s">
        <v>14</v>
      </c>
      <c r="I344">
        <v>4</v>
      </c>
      <c r="J344">
        <v>50</v>
      </c>
      <c r="K344">
        <v>200</v>
      </c>
      <c r="N344" s="11" t="s">
        <v>552</v>
      </c>
      <c r="O344" s="11" t="s">
        <v>11</v>
      </c>
      <c r="P344" s="11">
        <f>K342/J342</f>
        <v>2</v>
      </c>
      <c r="Q344" s="11">
        <v>500</v>
      </c>
      <c r="R344" s="11">
        <v>500</v>
      </c>
    </row>
    <row r="345" spans="2:18" x14ac:dyDescent="0.35">
      <c r="B345">
        <v>342</v>
      </c>
      <c r="C345" s="1">
        <v>45223</v>
      </c>
      <c r="D345" t="s">
        <v>355</v>
      </c>
      <c r="E345" t="s">
        <v>13</v>
      </c>
      <c r="F345">
        <v>43</v>
      </c>
      <c r="G345" t="str">
        <f>IF(Table14[[#This Row],[Age]]&lt;=25,"Young",IF(Table14[[#This Row],[Age]]&gt;55,"Old",IF(Table14[[#This Row],[Age]]&gt;25,"Middle","Na")))</f>
        <v>Middle</v>
      </c>
      <c r="H345" t="s">
        <v>14</v>
      </c>
      <c r="I345">
        <v>4</v>
      </c>
      <c r="J345">
        <v>500</v>
      </c>
      <c r="K345">
        <v>2000</v>
      </c>
      <c r="N345" s="11" t="s">
        <v>583</v>
      </c>
      <c r="O345" s="11" t="s">
        <v>14</v>
      </c>
      <c r="P345" s="11">
        <f>K343/J343</f>
        <v>4</v>
      </c>
      <c r="Q345" s="11">
        <v>500</v>
      </c>
      <c r="R345" s="11">
        <v>500</v>
      </c>
    </row>
    <row r="346" spans="2:18" x14ac:dyDescent="0.35">
      <c r="B346">
        <v>343</v>
      </c>
      <c r="C346" s="1">
        <v>45231</v>
      </c>
      <c r="D346" t="s">
        <v>356</v>
      </c>
      <c r="E346" t="s">
        <v>10</v>
      </c>
      <c r="F346">
        <v>21</v>
      </c>
      <c r="G346" t="str">
        <f>IF(Table14[[#This Row],[Age]]&lt;=25,"Young",IF(Table14[[#This Row],[Age]]&gt;55,"Old",IF(Table14[[#This Row],[Age]]&gt;25,"Middle","Na")))</f>
        <v>Young</v>
      </c>
      <c r="H346" t="s">
        <v>16</v>
      </c>
      <c r="I346">
        <v>2</v>
      </c>
      <c r="J346">
        <v>25</v>
      </c>
      <c r="K346">
        <v>50</v>
      </c>
      <c r="N346" s="11" t="s">
        <v>625</v>
      </c>
      <c r="O346" s="11" t="s">
        <v>16</v>
      </c>
      <c r="P346" s="11">
        <f>K344/J344</f>
        <v>4</v>
      </c>
      <c r="Q346" s="11">
        <v>500</v>
      </c>
      <c r="R346" s="11">
        <v>500</v>
      </c>
    </row>
    <row r="347" spans="2:18" x14ac:dyDescent="0.35">
      <c r="B347">
        <v>344</v>
      </c>
      <c r="C347" s="1">
        <v>44947</v>
      </c>
      <c r="D347" t="s">
        <v>357</v>
      </c>
      <c r="E347" t="s">
        <v>13</v>
      </c>
      <c r="F347">
        <v>42</v>
      </c>
      <c r="G347" t="str">
        <f>IF(Table14[[#This Row],[Age]]&lt;=25,"Young",IF(Table14[[#This Row],[Age]]&gt;55,"Old",IF(Table14[[#This Row],[Age]]&gt;25,"Middle","Na")))</f>
        <v>Middle</v>
      </c>
      <c r="H347" t="s">
        <v>11</v>
      </c>
      <c r="I347">
        <v>1</v>
      </c>
      <c r="J347">
        <v>30</v>
      </c>
      <c r="K347">
        <v>30</v>
      </c>
      <c r="N347" s="11" t="s">
        <v>710</v>
      </c>
      <c r="O347" s="11" t="s">
        <v>14</v>
      </c>
      <c r="P347" s="11">
        <f>K345/J345</f>
        <v>4</v>
      </c>
      <c r="Q347" s="11">
        <v>500</v>
      </c>
      <c r="R347" s="11">
        <v>500</v>
      </c>
    </row>
    <row r="348" spans="2:18" x14ac:dyDescent="0.35">
      <c r="B348">
        <v>345</v>
      </c>
      <c r="C348" s="1">
        <v>45244</v>
      </c>
      <c r="D348" t="s">
        <v>358</v>
      </c>
      <c r="E348" t="s">
        <v>10</v>
      </c>
      <c r="F348">
        <v>62</v>
      </c>
      <c r="G348" t="str">
        <f>IF(Table14[[#This Row],[Age]]&lt;=25,"Young",IF(Table14[[#This Row],[Age]]&gt;55,"Old",IF(Table14[[#This Row],[Age]]&gt;25,"Middle","Na")))</f>
        <v>Old</v>
      </c>
      <c r="H348" t="s">
        <v>16</v>
      </c>
      <c r="I348">
        <v>1</v>
      </c>
      <c r="J348">
        <v>30</v>
      </c>
      <c r="K348">
        <v>30</v>
      </c>
      <c r="N348" s="11" t="s">
        <v>730</v>
      </c>
      <c r="O348" s="11" t="s">
        <v>14</v>
      </c>
      <c r="P348" s="11">
        <f>K346/J346</f>
        <v>2</v>
      </c>
      <c r="Q348" s="11">
        <v>500</v>
      </c>
      <c r="R348" s="11">
        <v>500</v>
      </c>
    </row>
    <row r="349" spans="2:18" x14ac:dyDescent="0.35">
      <c r="B349">
        <v>346</v>
      </c>
      <c r="C349" s="1">
        <v>44968</v>
      </c>
      <c r="D349" t="s">
        <v>359</v>
      </c>
      <c r="E349" t="s">
        <v>10</v>
      </c>
      <c r="F349">
        <v>59</v>
      </c>
      <c r="G349" t="str">
        <f>IF(Table14[[#This Row],[Age]]&lt;=25,"Young",IF(Table14[[#This Row],[Age]]&gt;55,"Old",IF(Table14[[#This Row],[Age]]&gt;25,"Middle","Na")))</f>
        <v>Old</v>
      </c>
      <c r="H349" t="s">
        <v>14</v>
      </c>
      <c r="I349">
        <v>2</v>
      </c>
      <c r="J349">
        <v>500</v>
      </c>
      <c r="K349">
        <v>1000</v>
      </c>
      <c r="N349" s="11" t="s">
        <v>773</v>
      </c>
      <c r="O349" s="11" t="s">
        <v>11</v>
      </c>
      <c r="P349" s="11">
        <f>K347/J347</f>
        <v>1</v>
      </c>
      <c r="Q349" s="11">
        <v>500</v>
      </c>
      <c r="R349" s="11">
        <v>500</v>
      </c>
    </row>
    <row r="350" spans="2:18" x14ac:dyDescent="0.35">
      <c r="B350">
        <v>347</v>
      </c>
      <c r="C350" s="1">
        <v>45141</v>
      </c>
      <c r="D350" t="s">
        <v>360</v>
      </c>
      <c r="E350" t="s">
        <v>10</v>
      </c>
      <c r="F350">
        <v>42</v>
      </c>
      <c r="G350" t="str">
        <f>IF(Table14[[#This Row],[Age]]&lt;=25,"Young",IF(Table14[[#This Row],[Age]]&gt;55,"Old",IF(Table14[[#This Row],[Age]]&gt;25,"Middle","Na")))</f>
        <v>Middle</v>
      </c>
      <c r="H350" t="s">
        <v>16</v>
      </c>
      <c r="I350">
        <v>1</v>
      </c>
      <c r="J350">
        <v>25</v>
      </c>
      <c r="K350">
        <v>25</v>
      </c>
      <c r="N350" s="11" t="s">
        <v>997</v>
      </c>
      <c r="O350" s="11" t="s">
        <v>14</v>
      </c>
      <c r="P350" s="11">
        <f>K348/J348</f>
        <v>1</v>
      </c>
      <c r="Q350" s="11">
        <v>500</v>
      </c>
      <c r="R350" s="11">
        <v>500</v>
      </c>
    </row>
    <row r="351" spans="2:18" x14ac:dyDescent="0.35">
      <c r="B351">
        <v>348</v>
      </c>
      <c r="C351" s="1">
        <v>45263</v>
      </c>
      <c r="D351" t="s">
        <v>361</v>
      </c>
      <c r="E351" t="s">
        <v>13</v>
      </c>
      <c r="F351">
        <v>35</v>
      </c>
      <c r="G351" t="str">
        <f>IF(Table14[[#This Row],[Age]]&lt;=25,"Young",IF(Table14[[#This Row],[Age]]&gt;55,"Old",IF(Table14[[#This Row],[Age]]&gt;25,"Middle","Na")))</f>
        <v>Middle</v>
      </c>
      <c r="H351" t="s">
        <v>16</v>
      </c>
      <c r="I351">
        <v>2</v>
      </c>
      <c r="J351">
        <v>300</v>
      </c>
      <c r="K351">
        <v>600</v>
      </c>
      <c r="N351" s="11" t="s">
        <v>37</v>
      </c>
      <c r="O351" s="11" t="s">
        <v>14</v>
      </c>
      <c r="P351" s="11">
        <f>K349/J349</f>
        <v>2</v>
      </c>
      <c r="Q351" s="11">
        <v>300</v>
      </c>
      <c r="R351" s="11">
        <v>300</v>
      </c>
    </row>
    <row r="352" spans="2:18" x14ac:dyDescent="0.35">
      <c r="B352">
        <v>349</v>
      </c>
      <c r="C352" s="1">
        <v>45225</v>
      </c>
      <c r="D352" t="s">
        <v>362</v>
      </c>
      <c r="E352" t="s">
        <v>13</v>
      </c>
      <c r="F352">
        <v>57</v>
      </c>
      <c r="G352" t="str">
        <f>IF(Table14[[#This Row],[Age]]&lt;=25,"Young",IF(Table14[[#This Row],[Age]]&gt;55,"Old",IF(Table14[[#This Row],[Age]]&gt;25,"Middle","Na")))</f>
        <v>Old</v>
      </c>
      <c r="H352" t="s">
        <v>11</v>
      </c>
      <c r="I352">
        <v>1</v>
      </c>
      <c r="J352">
        <v>50</v>
      </c>
      <c r="K352">
        <v>50</v>
      </c>
      <c r="N352" s="11" t="s">
        <v>92</v>
      </c>
      <c r="O352" s="11" t="s">
        <v>11</v>
      </c>
      <c r="P352" s="11">
        <f>K350/J350</f>
        <v>1</v>
      </c>
      <c r="Q352" s="11">
        <v>300</v>
      </c>
      <c r="R352" s="11">
        <v>300</v>
      </c>
    </row>
    <row r="353" spans="2:18" x14ac:dyDescent="0.35">
      <c r="B353">
        <v>350</v>
      </c>
      <c r="C353" s="1">
        <v>45216</v>
      </c>
      <c r="D353" t="s">
        <v>363</v>
      </c>
      <c r="E353" t="s">
        <v>10</v>
      </c>
      <c r="F353">
        <v>25</v>
      </c>
      <c r="G353" t="str">
        <f>IF(Table14[[#This Row],[Age]]&lt;=25,"Young",IF(Table14[[#This Row],[Age]]&gt;55,"Old",IF(Table14[[#This Row],[Age]]&gt;25,"Middle","Na")))</f>
        <v>Young</v>
      </c>
      <c r="H353" t="s">
        <v>11</v>
      </c>
      <c r="I353">
        <v>3</v>
      </c>
      <c r="J353">
        <v>25</v>
      </c>
      <c r="K353">
        <v>75</v>
      </c>
      <c r="N353" s="11" t="s">
        <v>160</v>
      </c>
      <c r="O353" s="11" t="s">
        <v>16</v>
      </c>
      <c r="P353" s="11">
        <f>K351/J351</f>
        <v>2</v>
      </c>
      <c r="Q353" s="11">
        <v>300</v>
      </c>
      <c r="R353" s="11">
        <v>300</v>
      </c>
    </row>
    <row r="354" spans="2:18" x14ac:dyDescent="0.35">
      <c r="B354">
        <v>351</v>
      </c>
      <c r="C354" s="1">
        <v>45194</v>
      </c>
      <c r="D354" t="s">
        <v>364</v>
      </c>
      <c r="E354" t="s">
        <v>13</v>
      </c>
      <c r="F354">
        <v>56</v>
      </c>
      <c r="G354" t="str">
        <f>IF(Table14[[#This Row],[Age]]&lt;=25,"Young",IF(Table14[[#This Row],[Age]]&gt;55,"Old",IF(Table14[[#This Row],[Age]]&gt;25,"Middle","Na")))</f>
        <v>Old</v>
      </c>
      <c r="H354" t="s">
        <v>14</v>
      </c>
      <c r="I354">
        <v>3</v>
      </c>
      <c r="J354">
        <v>30</v>
      </c>
      <c r="K354">
        <v>90</v>
      </c>
      <c r="N354" s="11" t="s">
        <v>527</v>
      </c>
      <c r="O354" s="11" t="s">
        <v>16</v>
      </c>
      <c r="P354" s="11">
        <f>K352/J352</f>
        <v>1</v>
      </c>
      <c r="Q354" s="11">
        <v>300</v>
      </c>
      <c r="R354" s="11">
        <v>300</v>
      </c>
    </row>
    <row r="355" spans="2:18" x14ac:dyDescent="0.35">
      <c r="B355">
        <v>352</v>
      </c>
      <c r="C355" s="1">
        <v>45088</v>
      </c>
      <c r="D355" t="s">
        <v>365</v>
      </c>
      <c r="E355" t="s">
        <v>10</v>
      </c>
      <c r="F355">
        <v>57</v>
      </c>
      <c r="G355" t="str">
        <f>IF(Table14[[#This Row],[Age]]&lt;=25,"Young",IF(Table14[[#This Row],[Age]]&gt;55,"Old",IF(Table14[[#This Row],[Age]]&gt;25,"Middle","Na")))</f>
        <v>Old</v>
      </c>
      <c r="H355" t="s">
        <v>16</v>
      </c>
      <c r="I355">
        <v>2</v>
      </c>
      <c r="J355">
        <v>500</v>
      </c>
      <c r="K355">
        <v>1000</v>
      </c>
      <c r="N355" s="11" t="s">
        <v>581</v>
      </c>
      <c r="O355" s="11" t="s">
        <v>16</v>
      </c>
      <c r="P355" s="11">
        <f>K353/J353</f>
        <v>3</v>
      </c>
      <c r="Q355" s="11">
        <v>300</v>
      </c>
      <c r="R355" s="11">
        <v>300</v>
      </c>
    </row>
    <row r="356" spans="2:18" x14ac:dyDescent="0.35">
      <c r="B356">
        <v>353</v>
      </c>
      <c r="C356" s="1">
        <v>45060</v>
      </c>
      <c r="D356" t="s">
        <v>366</v>
      </c>
      <c r="E356" t="s">
        <v>10</v>
      </c>
      <c r="F356">
        <v>31</v>
      </c>
      <c r="G356" t="str">
        <f>IF(Table14[[#This Row],[Age]]&lt;=25,"Young",IF(Table14[[#This Row],[Age]]&gt;55,"Old",IF(Table14[[#This Row],[Age]]&gt;25,"Middle","Na")))</f>
        <v>Middle</v>
      </c>
      <c r="H356" t="s">
        <v>16</v>
      </c>
      <c r="I356">
        <v>1</v>
      </c>
      <c r="J356">
        <v>500</v>
      </c>
      <c r="K356">
        <v>500</v>
      </c>
      <c r="N356" s="11" t="s">
        <v>615</v>
      </c>
      <c r="O356" s="11" t="s">
        <v>16</v>
      </c>
      <c r="P356" s="11">
        <f>K354/J354</f>
        <v>3</v>
      </c>
      <c r="Q356" s="11">
        <v>300</v>
      </c>
      <c r="R356" s="11">
        <v>300</v>
      </c>
    </row>
    <row r="357" spans="2:18" x14ac:dyDescent="0.35">
      <c r="B357">
        <v>354</v>
      </c>
      <c r="C357" s="1">
        <v>45031</v>
      </c>
      <c r="D357" t="s">
        <v>367</v>
      </c>
      <c r="E357" t="s">
        <v>13</v>
      </c>
      <c r="F357">
        <v>49</v>
      </c>
      <c r="G357" t="str">
        <f>IF(Table14[[#This Row],[Age]]&lt;=25,"Young",IF(Table14[[#This Row],[Age]]&gt;55,"Old",IF(Table14[[#This Row],[Age]]&gt;25,"Middle","Na")))</f>
        <v>Middle</v>
      </c>
      <c r="H357" t="s">
        <v>11</v>
      </c>
      <c r="I357">
        <v>4</v>
      </c>
      <c r="J357">
        <v>50</v>
      </c>
      <c r="K357">
        <v>200</v>
      </c>
      <c r="N357" s="11" t="s">
        <v>807</v>
      </c>
      <c r="O357" s="11" t="s">
        <v>11</v>
      </c>
      <c r="P357" s="11">
        <f>K355/J355</f>
        <v>2</v>
      </c>
      <c r="Q357" s="11">
        <v>300</v>
      </c>
      <c r="R357" s="11">
        <v>300</v>
      </c>
    </row>
    <row r="358" spans="2:18" x14ac:dyDescent="0.35">
      <c r="B358">
        <v>355</v>
      </c>
      <c r="C358" s="1">
        <v>45269</v>
      </c>
      <c r="D358" t="s">
        <v>368</v>
      </c>
      <c r="E358" t="s">
        <v>13</v>
      </c>
      <c r="F358">
        <v>55</v>
      </c>
      <c r="G358" t="str">
        <f>IF(Table14[[#This Row],[Age]]&lt;=25,"Young",IF(Table14[[#This Row],[Age]]&gt;55,"Old",IF(Table14[[#This Row],[Age]]&gt;25,"Middle","Na")))</f>
        <v>Middle</v>
      </c>
      <c r="H358" t="s">
        <v>16</v>
      </c>
      <c r="I358">
        <v>1</v>
      </c>
      <c r="J358">
        <v>500</v>
      </c>
      <c r="K358">
        <v>500</v>
      </c>
      <c r="N358" s="11" t="s">
        <v>834</v>
      </c>
      <c r="O358" s="11" t="s">
        <v>16</v>
      </c>
      <c r="P358" s="11">
        <f>K356/J356</f>
        <v>1</v>
      </c>
      <c r="Q358" s="11">
        <v>300</v>
      </c>
      <c r="R358" s="11">
        <v>300</v>
      </c>
    </row>
    <row r="359" spans="2:18" x14ac:dyDescent="0.35">
      <c r="B359">
        <v>356</v>
      </c>
      <c r="C359" s="1">
        <v>45087</v>
      </c>
      <c r="D359" t="s">
        <v>369</v>
      </c>
      <c r="E359" t="s">
        <v>10</v>
      </c>
      <c r="F359">
        <v>50</v>
      </c>
      <c r="G359" t="str">
        <f>IF(Table14[[#This Row],[Age]]&lt;=25,"Young",IF(Table14[[#This Row],[Age]]&gt;55,"Old",IF(Table14[[#This Row],[Age]]&gt;25,"Middle","Na")))</f>
        <v>Middle</v>
      </c>
      <c r="H359" t="s">
        <v>16</v>
      </c>
      <c r="I359">
        <v>3</v>
      </c>
      <c r="J359">
        <v>500</v>
      </c>
      <c r="K359">
        <v>1500</v>
      </c>
      <c r="N359" s="11" t="s">
        <v>197</v>
      </c>
      <c r="O359" s="11" t="s">
        <v>16</v>
      </c>
      <c r="P359" s="11">
        <f>K357/J357</f>
        <v>4</v>
      </c>
      <c r="Q359" s="11">
        <v>200</v>
      </c>
      <c r="R359" s="11">
        <v>200</v>
      </c>
    </row>
    <row r="360" spans="2:18" x14ac:dyDescent="0.35">
      <c r="B360">
        <v>357</v>
      </c>
      <c r="C360" s="1">
        <v>45049</v>
      </c>
      <c r="D360" t="s">
        <v>370</v>
      </c>
      <c r="E360" t="s">
        <v>13</v>
      </c>
      <c r="F360">
        <v>40</v>
      </c>
      <c r="G360" t="str">
        <f>IF(Table14[[#This Row],[Age]]&lt;=25,"Young",IF(Table14[[#This Row],[Age]]&gt;55,"Old",IF(Table14[[#This Row],[Age]]&gt;25,"Middle","Na")))</f>
        <v>Middle</v>
      </c>
      <c r="H360" t="s">
        <v>16</v>
      </c>
      <c r="I360">
        <v>3</v>
      </c>
      <c r="J360">
        <v>25</v>
      </c>
      <c r="K360">
        <v>75</v>
      </c>
      <c r="N360" s="11" t="s">
        <v>207</v>
      </c>
      <c r="O360" s="11" t="s">
        <v>14</v>
      </c>
      <c r="P360" s="11">
        <f>K358/J358</f>
        <v>1</v>
      </c>
      <c r="Q360" s="11">
        <v>200</v>
      </c>
      <c r="R360" s="11">
        <v>200</v>
      </c>
    </row>
    <row r="361" spans="2:18" x14ac:dyDescent="0.35">
      <c r="B361">
        <v>358</v>
      </c>
      <c r="C361" s="1">
        <v>45062</v>
      </c>
      <c r="D361" t="s">
        <v>371</v>
      </c>
      <c r="E361" t="s">
        <v>13</v>
      </c>
      <c r="F361">
        <v>32</v>
      </c>
      <c r="G361" t="str">
        <f>IF(Table14[[#This Row],[Age]]&lt;=25,"Young",IF(Table14[[#This Row],[Age]]&gt;55,"Old",IF(Table14[[#This Row],[Age]]&gt;25,"Middle","Na")))</f>
        <v>Middle</v>
      </c>
      <c r="H361" t="s">
        <v>11</v>
      </c>
      <c r="I361">
        <v>1</v>
      </c>
      <c r="J361">
        <v>300</v>
      </c>
      <c r="K361">
        <v>300</v>
      </c>
      <c r="N361" s="11" t="s">
        <v>223</v>
      </c>
      <c r="O361" s="11" t="s">
        <v>16</v>
      </c>
      <c r="P361" s="11">
        <f>K359/J359</f>
        <v>3</v>
      </c>
      <c r="Q361" s="11">
        <v>200</v>
      </c>
      <c r="R361" s="11">
        <v>200</v>
      </c>
    </row>
    <row r="362" spans="2:18" x14ac:dyDescent="0.35">
      <c r="B362">
        <v>359</v>
      </c>
      <c r="C362" s="1">
        <v>45129</v>
      </c>
      <c r="D362" t="s">
        <v>372</v>
      </c>
      <c r="E362" t="s">
        <v>10</v>
      </c>
      <c r="F362">
        <v>50</v>
      </c>
      <c r="G362" t="str">
        <f>IF(Table14[[#This Row],[Age]]&lt;=25,"Young",IF(Table14[[#This Row],[Age]]&gt;55,"Old",IF(Table14[[#This Row],[Age]]&gt;25,"Middle","Na")))</f>
        <v>Middle</v>
      </c>
      <c r="H362" t="s">
        <v>14</v>
      </c>
      <c r="I362">
        <v>1</v>
      </c>
      <c r="J362">
        <v>50</v>
      </c>
      <c r="K362">
        <v>50</v>
      </c>
      <c r="N362" s="11" t="s">
        <v>295</v>
      </c>
      <c r="O362" s="11" t="s">
        <v>16</v>
      </c>
      <c r="P362" s="11">
        <f>K360/J360</f>
        <v>3</v>
      </c>
      <c r="Q362" s="11">
        <v>200</v>
      </c>
      <c r="R362" s="11">
        <v>200</v>
      </c>
    </row>
    <row r="363" spans="2:18" x14ac:dyDescent="0.35">
      <c r="B363">
        <v>360</v>
      </c>
      <c r="C363" s="1">
        <v>44994</v>
      </c>
      <c r="D363" t="s">
        <v>373</v>
      </c>
      <c r="E363" t="s">
        <v>10</v>
      </c>
      <c r="F363">
        <v>42</v>
      </c>
      <c r="G363" t="str">
        <f>IF(Table14[[#This Row],[Age]]&lt;=25,"Young",IF(Table14[[#This Row],[Age]]&gt;55,"Old",IF(Table14[[#This Row],[Age]]&gt;25,"Middle","Na")))</f>
        <v>Middle</v>
      </c>
      <c r="H363" t="s">
        <v>14</v>
      </c>
      <c r="I363">
        <v>4</v>
      </c>
      <c r="J363">
        <v>25</v>
      </c>
      <c r="K363">
        <v>100</v>
      </c>
      <c r="N363" s="11" t="s">
        <v>313</v>
      </c>
      <c r="O363" s="11" t="s">
        <v>16</v>
      </c>
      <c r="P363" s="11">
        <f>K361/J361</f>
        <v>1</v>
      </c>
      <c r="Q363" s="11">
        <v>200</v>
      </c>
      <c r="R363" s="11">
        <v>200</v>
      </c>
    </row>
    <row r="364" spans="2:18" x14ac:dyDescent="0.35">
      <c r="B364">
        <v>361</v>
      </c>
      <c r="C364" s="1">
        <v>45270</v>
      </c>
      <c r="D364" t="s">
        <v>374</v>
      </c>
      <c r="E364" t="s">
        <v>13</v>
      </c>
      <c r="F364">
        <v>34</v>
      </c>
      <c r="G364" t="str">
        <f>IF(Table14[[#This Row],[Age]]&lt;=25,"Young",IF(Table14[[#This Row],[Age]]&gt;55,"Old",IF(Table14[[#This Row],[Age]]&gt;25,"Middle","Na")))</f>
        <v>Middle</v>
      </c>
      <c r="H364" t="s">
        <v>16</v>
      </c>
      <c r="I364">
        <v>4</v>
      </c>
      <c r="J364">
        <v>300</v>
      </c>
      <c r="K364">
        <v>1200</v>
      </c>
      <c r="N364" s="11" t="s">
        <v>354</v>
      </c>
      <c r="O364" s="11" t="s">
        <v>14</v>
      </c>
      <c r="P364" s="11">
        <f>K362/J362</f>
        <v>1</v>
      </c>
      <c r="Q364" s="11">
        <v>200</v>
      </c>
      <c r="R364" s="11">
        <v>200</v>
      </c>
    </row>
    <row r="365" spans="2:18" x14ac:dyDescent="0.35">
      <c r="B365">
        <v>362</v>
      </c>
      <c r="C365" s="1">
        <v>45257</v>
      </c>
      <c r="D365" t="s">
        <v>375</v>
      </c>
      <c r="E365" t="s">
        <v>10</v>
      </c>
      <c r="F365">
        <v>50</v>
      </c>
      <c r="G365" t="str">
        <f>IF(Table14[[#This Row],[Age]]&lt;=25,"Young",IF(Table14[[#This Row],[Age]]&gt;55,"Old",IF(Table14[[#This Row],[Age]]&gt;25,"Middle","Na")))</f>
        <v>Middle</v>
      </c>
      <c r="H365" t="s">
        <v>14</v>
      </c>
      <c r="I365">
        <v>1</v>
      </c>
      <c r="J365">
        <v>25</v>
      </c>
      <c r="K365">
        <v>25</v>
      </c>
      <c r="N365" s="11" t="s">
        <v>367</v>
      </c>
      <c r="O365" s="11" t="s">
        <v>11</v>
      </c>
      <c r="P365" s="11">
        <f>K363/J363</f>
        <v>4</v>
      </c>
      <c r="Q365" s="11">
        <v>200</v>
      </c>
      <c r="R365" s="11">
        <v>200</v>
      </c>
    </row>
    <row r="366" spans="2:18" x14ac:dyDescent="0.35">
      <c r="B366">
        <v>363</v>
      </c>
      <c r="C366" s="1">
        <v>45080</v>
      </c>
      <c r="D366" t="s">
        <v>376</v>
      </c>
      <c r="E366" t="s">
        <v>10</v>
      </c>
      <c r="F366">
        <v>64</v>
      </c>
      <c r="G366" t="str">
        <f>IF(Table14[[#This Row],[Age]]&lt;=25,"Young",IF(Table14[[#This Row],[Age]]&gt;55,"Old",IF(Table14[[#This Row],[Age]]&gt;25,"Middle","Na")))</f>
        <v>Old</v>
      </c>
      <c r="H366" t="s">
        <v>11</v>
      </c>
      <c r="I366">
        <v>1</v>
      </c>
      <c r="J366">
        <v>25</v>
      </c>
      <c r="K366">
        <v>25</v>
      </c>
      <c r="N366" s="11" t="s">
        <v>441</v>
      </c>
      <c r="O366" s="11" t="s">
        <v>16</v>
      </c>
      <c r="P366" s="11">
        <f>K364/J364</f>
        <v>4</v>
      </c>
      <c r="Q366" s="11">
        <v>200</v>
      </c>
      <c r="R366" s="11">
        <v>200</v>
      </c>
    </row>
    <row r="367" spans="2:18" x14ac:dyDescent="0.35">
      <c r="B367">
        <v>364</v>
      </c>
      <c r="C367" s="1">
        <v>45161</v>
      </c>
      <c r="D367" t="s">
        <v>377</v>
      </c>
      <c r="E367" t="s">
        <v>13</v>
      </c>
      <c r="F367">
        <v>19</v>
      </c>
      <c r="G367" t="str">
        <f>IF(Table14[[#This Row],[Age]]&lt;=25,"Young",IF(Table14[[#This Row],[Age]]&gt;55,"Old",IF(Table14[[#This Row],[Age]]&gt;25,"Middle","Na")))</f>
        <v>Young</v>
      </c>
      <c r="H367" t="s">
        <v>11</v>
      </c>
      <c r="I367">
        <v>1</v>
      </c>
      <c r="J367">
        <v>500</v>
      </c>
      <c r="K367">
        <v>500</v>
      </c>
      <c r="N367" s="11" t="s">
        <v>523</v>
      </c>
      <c r="O367" s="11" t="s">
        <v>11</v>
      </c>
      <c r="P367" s="11">
        <f>K365/J365</f>
        <v>1</v>
      </c>
      <c r="Q367" s="11">
        <v>200</v>
      </c>
      <c r="R367" s="11">
        <v>200</v>
      </c>
    </row>
    <row r="368" spans="2:18" x14ac:dyDescent="0.35">
      <c r="B368">
        <v>365</v>
      </c>
      <c r="C368" s="1">
        <v>45088</v>
      </c>
      <c r="D368" t="s">
        <v>378</v>
      </c>
      <c r="E368" t="s">
        <v>10</v>
      </c>
      <c r="F368">
        <v>31</v>
      </c>
      <c r="G368" t="str">
        <f>IF(Table14[[#This Row],[Age]]&lt;=25,"Young",IF(Table14[[#This Row],[Age]]&gt;55,"Old",IF(Table14[[#This Row],[Age]]&gt;25,"Middle","Na")))</f>
        <v>Middle</v>
      </c>
      <c r="H368" t="s">
        <v>14</v>
      </c>
      <c r="I368">
        <v>1</v>
      </c>
      <c r="J368">
        <v>300</v>
      </c>
      <c r="K368">
        <v>300</v>
      </c>
      <c r="N368" s="11" t="s">
        <v>641</v>
      </c>
      <c r="O368" s="11" t="s">
        <v>11</v>
      </c>
      <c r="P368" s="11">
        <f>K366/J366</f>
        <v>1</v>
      </c>
      <c r="Q368" s="11">
        <v>200</v>
      </c>
      <c r="R368" s="11">
        <v>200</v>
      </c>
    </row>
    <row r="369" spans="2:18" x14ac:dyDescent="0.35">
      <c r="B369">
        <v>366</v>
      </c>
      <c r="C369" s="1">
        <v>44964</v>
      </c>
      <c r="D369" t="s">
        <v>379</v>
      </c>
      <c r="E369" t="s">
        <v>10</v>
      </c>
      <c r="F369">
        <v>57</v>
      </c>
      <c r="G369" t="str">
        <f>IF(Table14[[#This Row],[Age]]&lt;=25,"Young",IF(Table14[[#This Row],[Age]]&gt;55,"Old",IF(Table14[[#This Row],[Age]]&gt;25,"Middle","Na")))</f>
        <v>Old</v>
      </c>
      <c r="H369" t="s">
        <v>14</v>
      </c>
      <c r="I369">
        <v>2</v>
      </c>
      <c r="J369">
        <v>50</v>
      </c>
      <c r="K369">
        <v>100</v>
      </c>
      <c r="N369" s="11" t="s">
        <v>736</v>
      </c>
      <c r="O369" s="11" t="s">
        <v>11</v>
      </c>
      <c r="P369" s="11">
        <f>K367/J367</f>
        <v>1</v>
      </c>
      <c r="Q369" s="11">
        <v>200</v>
      </c>
      <c r="R369" s="11">
        <v>200</v>
      </c>
    </row>
    <row r="370" spans="2:18" x14ac:dyDescent="0.35">
      <c r="B370">
        <v>367</v>
      </c>
      <c r="C370" s="1">
        <v>44931</v>
      </c>
      <c r="D370" t="s">
        <v>380</v>
      </c>
      <c r="E370" t="s">
        <v>13</v>
      </c>
      <c r="F370">
        <v>57</v>
      </c>
      <c r="G370" t="str">
        <f>IF(Table14[[#This Row],[Age]]&lt;=25,"Young",IF(Table14[[#This Row],[Age]]&gt;55,"Old",IF(Table14[[#This Row],[Age]]&gt;25,"Middle","Na")))</f>
        <v>Old</v>
      </c>
      <c r="H370" t="s">
        <v>16</v>
      </c>
      <c r="I370">
        <v>1</v>
      </c>
      <c r="J370">
        <v>50</v>
      </c>
      <c r="K370">
        <v>50</v>
      </c>
      <c r="N370" s="11" t="s">
        <v>820</v>
      </c>
      <c r="O370" s="11" t="s">
        <v>16</v>
      </c>
      <c r="P370" s="11">
        <f>K368/J368</f>
        <v>1</v>
      </c>
      <c r="Q370" s="11">
        <v>200</v>
      </c>
      <c r="R370" s="11">
        <v>200</v>
      </c>
    </row>
    <row r="371" spans="2:18" x14ac:dyDescent="0.35">
      <c r="B371">
        <v>368</v>
      </c>
      <c r="C371" s="1">
        <v>45161</v>
      </c>
      <c r="D371" t="s">
        <v>381</v>
      </c>
      <c r="E371" t="s">
        <v>13</v>
      </c>
      <c r="F371">
        <v>56</v>
      </c>
      <c r="G371" t="str">
        <f>IF(Table14[[#This Row],[Age]]&lt;=25,"Young",IF(Table14[[#This Row],[Age]]&gt;55,"Old",IF(Table14[[#This Row],[Age]]&gt;25,"Middle","Na")))</f>
        <v>Old</v>
      </c>
      <c r="H371" t="s">
        <v>14</v>
      </c>
      <c r="I371">
        <v>4</v>
      </c>
      <c r="J371">
        <v>300</v>
      </c>
      <c r="K371">
        <v>1200</v>
      </c>
      <c r="N371" s="11" t="s">
        <v>943</v>
      </c>
      <c r="O371" s="11" t="s">
        <v>14</v>
      </c>
      <c r="P371" s="11">
        <f>K369/J369</f>
        <v>2</v>
      </c>
      <c r="Q371" s="11">
        <v>200</v>
      </c>
      <c r="R371" s="11">
        <v>200</v>
      </c>
    </row>
    <row r="372" spans="2:18" x14ac:dyDescent="0.35">
      <c r="B372">
        <v>369</v>
      </c>
      <c r="C372" s="1">
        <v>45245</v>
      </c>
      <c r="D372" t="s">
        <v>382</v>
      </c>
      <c r="E372" t="s">
        <v>10</v>
      </c>
      <c r="F372">
        <v>23</v>
      </c>
      <c r="G372" t="str">
        <f>IF(Table14[[#This Row],[Age]]&lt;=25,"Young",IF(Table14[[#This Row],[Age]]&gt;55,"Old",IF(Table14[[#This Row],[Age]]&gt;25,"Middle","Na")))</f>
        <v>Young</v>
      </c>
      <c r="H372" t="s">
        <v>16</v>
      </c>
      <c r="I372">
        <v>3</v>
      </c>
      <c r="J372">
        <v>500</v>
      </c>
      <c r="K372">
        <v>1500</v>
      </c>
      <c r="N372" s="11" t="s">
        <v>984</v>
      </c>
      <c r="O372" s="11" t="s">
        <v>16</v>
      </c>
      <c r="P372" s="11">
        <f>K370/J370</f>
        <v>1</v>
      </c>
      <c r="Q372" s="11">
        <v>200</v>
      </c>
      <c r="R372" s="11">
        <v>200</v>
      </c>
    </row>
    <row r="373" spans="2:18" x14ac:dyDescent="0.35">
      <c r="B373">
        <v>370</v>
      </c>
      <c r="C373" s="1">
        <v>45215</v>
      </c>
      <c r="D373" t="s">
        <v>383</v>
      </c>
      <c r="E373" t="s">
        <v>10</v>
      </c>
      <c r="F373">
        <v>23</v>
      </c>
      <c r="G373" t="str">
        <f>IF(Table14[[#This Row],[Age]]&lt;=25,"Young",IF(Table14[[#This Row],[Age]]&gt;55,"Old",IF(Table14[[#This Row],[Age]]&gt;25,"Middle","Na")))</f>
        <v>Young</v>
      </c>
      <c r="H373" t="s">
        <v>16</v>
      </c>
      <c r="I373">
        <v>2</v>
      </c>
      <c r="J373">
        <v>30</v>
      </c>
      <c r="K373">
        <v>60</v>
      </c>
      <c r="N373" s="11" t="s">
        <v>132</v>
      </c>
      <c r="O373" s="11" t="s">
        <v>14</v>
      </c>
      <c r="P373" s="11">
        <f>K371/J371</f>
        <v>4</v>
      </c>
      <c r="Q373" s="11">
        <v>150</v>
      </c>
      <c r="R373" s="11">
        <v>150</v>
      </c>
    </row>
    <row r="374" spans="2:18" x14ac:dyDescent="0.35">
      <c r="B374">
        <v>371</v>
      </c>
      <c r="C374" s="1">
        <v>44978</v>
      </c>
      <c r="D374" t="s">
        <v>384</v>
      </c>
      <c r="E374" t="s">
        <v>13</v>
      </c>
      <c r="F374">
        <v>20</v>
      </c>
      <c r="G374" t="str">
        <f>IF(Table14[[#This Row],[Age]]&lt;=25,"Young",IF(Table14[[#This Row],[Age]]&gt;55,"Old",IF(Table14[[#This Row],[Age]]&gt;25,"Middle","Na")))</f>
        <v>Young</v>
      </c>
      <c r="H374" t="s">
        <v>11</v>
      </c>
      <c r="I374">
        <v>1</v>
      </c>
      <c r="J374">
        <v>25</v>
      </c>
      <c r="K374">
        <v>25</v>
      </c>
      <c r="N374" s="11" t="s">
        <v>180</v>
      </c>
      <c r="O374" s="11" t="s">
        <v>14</v>
      </c>
      <c r="P374" s="11">
        <f>K372/J372</f>
        <v>3</v>
      </c>
      <c r="Q374" s="11">
        <v>150</v>
      </c>
      <c r="R374" s="11">
        <v>150</v>
      </c>
    </row>
    <row r="375" spans="2:18" x14ac:dyDescent="0.35">
      <c r="B375">
        <v>372</v>
      </c>
      <c r="C375" s="1">
        <v>44964</v>
      </c>
      <c r="D375" t="s">
        <v>385</v>
      </c>
      <c r="E375" t="s">
        <v>13</v>
      </c>
      <c r="F375">
        <v>24</v>
      </c>
      <c r="G375" t="str">
        <f>IF(Table14[[#This Row],[Age]]&lt;=25,"Young",IF(Table14[[#This Row],[Age]]&gt;55,"Old",IF(Table14[[#This Row],[Age]]&gt;25,"Middle","Na")))</f>
        <v>Young</v>
      </c>
      <c r="H375" t="s">
        <v>11</v>
      </c>
      <c r="I375">
        <v>3</v>
      </c>
      <c r="J375">
        <v>500</v>
      </c>
      <c r="K375">
        <v>1500</v>
      </c>
      <c r="N375" s="11" t="s">
        <v>244</v>
      </c>
      <c r="O375" s="11" t="s">
        <v>14</v>
      </c>
      <c r="P375" s="11">
        <f>K373/J373</f>
        <v>2</v>
      </c>
      <c r="Q375" s="11">
        <v>150</v>
      </c>
      <c r="R375" s="11">
        <v>150</v>
      </c>
    </row>
    <row r="376" spans="2:18" x14ac:dyDescent="0.35">
      <c r="B376">
        <v>373</v>
      </c>
      <c r="C376" s="1">
        <v>45202</v>
      </c>
      <c r="D376" t="s">
        <v>386</v>
      </c>
      <c r="E376" t="s">
        <v>13</v>
      </c>
      <c r="F376">
        <v>25</v>
      </c>
      <c r="G376" t="str">
        <f>IF(Table14[[#This Row],[Age]]&lt;=25,"Young",IF(Table14[[#This Row],[Age]]&gt;55,"Old",IF(Table14[[#This Row],[Age]]&gt;25,"Middle","Na")))</f>
        <v>Young</v>
      </c>
      <c r="H376" t="s">
        <v>11</v>
      </c>
      <c r="I376">
        <v>2</v>
      </c>
      <c r="J376">
        <v>300</v>
      </c>
      <c r="K376">
        <v>600</v>
      </c>
      <c r="N376" s="11" t="s">
        <v>340</v>
      </c>
      <c r="O376" s="11" t="s">
        <v>16</v>
      </c>
      <c r="P376" s="11">
        <f>K374/J374</f>
        <v>1</v>
      </c>
      <c r="Q376" s="11">
        <v>150</v>
      </c>
      <c r="R376" s="11">
        <v>150</v>
      </c>
    </row>
    <row r="377" spans="2:18" x14ac:dyDescent="0.35">
      <c r="B377">
        <v>374</v>
      </c>
      <c r="C377" s="1">
        <v>45036</v>
      </c>
      <c r="D377" t="s">
        <v>387</v>
      </c>
      <c r="E377" t="s">
        <v>13</v>
      </c>
      <c r="F377">
        <v>59</v>
      </c>
      <c r="G377" t="str">
        <f>IF(Table14[[#This Row],[Age]]&lt;=25,"Young",IF(Table14[[#This Row],[Age]]&gt;55,"Old",IF(Table14[[#This Row],[Age]]&gt;25,"Middle","Na")))</f>
        <v>Old</v>
      </c>
      <c r="H377" t="s">
        <v>11</v>
      </c>
      <c r="I377">
        <v>3</v>
      </c>
      <c r="J377">
        <v>25</v>
      </c>
      <c r="K377">
        <v>75</v>
      </c>
      <c r="N377" s="11" t="s">
        <v>439</v>
      </c>
      <c r="O377" s="11" t="s">
        <v>16</v>
      </c>
      <c r="P377" s="11">
        <f>K375/J375</f>
        <v>3</v>
      </c>
      <c r="Q377" s="11">
        <v>150</v>
      </c>
      <c r="R377" s="11">
        <v>150</v>
      </c>
    </row>
    <row r="378" spans="2:18" x14ac:dyDescent="0.35">
      <c r="B378">
        <v>375</v>
      </c>
      <c r="C378" s="1">
        <v>45186</v>
      </c>
      <c r="D378" t="s">
        <v>388</v>
      </c>
      <c r="E378" t="s">
        <v>10</v>
      </c>
      <c r="F378">
        <v>32</v>
      </c>
      <c r="G378" t="str">
        <f>IF(Table14[[#This Row],[Age]]&lt;=25,"Young",IF(Table14[[#This Row],[Age]]&gt;55,"Old",IF(Table14[[#This Row],[Age]]&gt;25,"Middle","Na")))</f>
        <v>Middle</v>
      </c>
      <c r="H378" t="s">
        <v>14</v>
      </c>
      <c r="I378">
        <v>1</v>
      </c>
      <c r="J378">
        <v>50</v>
      </c>
      <c r="K378">
        <v>50</v>
      </c>
      <c r="N378" s="11" t="s">
        <v>478</v>
      </c>
      <c r="O378" s="11" t="s">
        <v>16</v>
      </c>
      <c r="P378" s="11">
        <f>K376/J376</f>
        <v>2</v>
      </c>
      <c r="Q378" s="11">
        <v>150</v>
      </c>
      <c r="R378" s="11">
        <v>150</v>
      </c>
    </row>
    <row r="379" spans="2:18" x14ac:dyDescent="0.35">
      <c r="B379">
        <v>376</v>
      </c>
      <c r="C379" s="1">
        <v>45062</v>
      </c>
      <c r="D379" t="s">
        <v>389</v>
      </c>
      <c r="E379" t="s">
        <v>13</v>
      </c>
      <c r="F379">
        <v>64</v>
      </c>
      <c r="G379" t="str">
        <f>IF(Table14[[#This Row],[Age]]&lt;=25,"Young",IF(Table14[[#This Row],[Age]]&gt;55,"Old",IF(Table14[[#This Row],[Age]]&gt;25,"Middle","Na")))</f>
        <v>Old</v>
      </c>
      <c r="H379" t="s">
        <v>11</v>
      </c>
      <c r="I379">
        <v>1</v>
      </c>
      <c r="J379">
        <v>30</v>
      </c>
      <c r="K379">
        <v>30</v>
      </c>
      <c r="N379" s="11" t="s">
        <v>484</v>
      </c>
      <c r="O379" s="11" t="s">
        <v>14</v>
      </c>
      <c r="P379" s="11">
        <f>K377/J377</f>
        <v>3</v>
      </c>
      <c r="Q379" s="11">
        <v>150</v>
      </c>
      <c r="R379" s="11">
        <v>150</v>
      </c>
    </row>
    <row r="380" spans="2:18" x14ac:dyDescent="0.35">
      <c r="B380">
        <v>377</v>
      </c>
      <c r="C380" s="1">
        <v>44994</v>
      </c>
      <c r="D380" t="s">
        <v>390</v>
      </c>
      <c r="E380" t="s">
        <v>13</v>
      </c>
      <c r="F380">
        <v>46</v>
      </c>
      <c r="G380" t="str">
        <f>IF(Table14[[#This Row],[Age]]&lt;=25,"Young",IF(Table14[[#This Row],[Age]]&gt;55,"Old",IF(Table14[[#This Row],[Age]]&gt;25,"Middle","Na")))</f>
        <v>Middle</v>
      </c>
      <c r="H380" t="s">
        <v>14</v>
      </c>
      <c r="I380">
        <v>4</v>
      </c>
      <c r="J380">
        <v>50</v>
      </c>
      <c r="K380">
        <v>200</v>
      </c>
      <c r="N380" s="11" t="s">
        <v>503</v>
      </c>
      <c r="O380" s="11" t="s">
        <v>14</v>
      </c>
      <c r="P380" s="11">
        <f>K378/J378</f>
        <v>1</v>
      </c>
      <c r="Q380" s="11">
        <v>150</v>
      </c>
      <c r="R380" s="11">
        <v>150</v>
      </c>
    </row>
    <row r="381" spans="2:18" x14ac:dyDescent="0.35">
      <c r="B381">
        <v>378</v>
      </c>
      <c r="C381" s="1">
        <v>45105</v>
      </c>
      <c r="D381" t="s">
        <v>391</v>
      </c>
      <c r="E381" t="s">
        <v>10</v>
      </c>
      <c r="F381">
        <v>50</v>
      </c>
      <c r="G381" t="str">
        <f>IF(Table14[[#This Row],[Age]]&lt;=25,"Young",IF(Table14[[#This Row],[Age]]&gt;55,"Old",IF(Table14[[#This Row],[Age]]&gt;25,"Middle","Na")))</f>
        <v>Middle</v>
      </c>
      <c r="H381" t="s">
        <v>11</v>
      </c>
      <c r="I381">
        <v>1</v>
      </c>
      <c r="J381">
        <v>300</v>
      </c>
      <c r="K381">
        <v>300</v>
      </c>
      <c r="N381" s="11" t="s">
        <v>737</v>
      </c>
      <c r="O381" s="11" t="s">
        <v>14</v>
      </c>
      <c r="P381" s="11">
        <f>K379/J379</f>
        <v>1</v>
      </c>
      <c r="Q381" s="11">
        <v>150</v>
      </c>
      <c r="R381" s="11">
        <v>150</v>
      </c>
    </row>
    <row r="382" spans="2:18" x14ac:dyDescent="0.35">
      <c r="B382">
        <v>379</v>
      </c>
      <c r="C382" s="1">
        <v>44962</v>
      </c>
      <c r="D382" t="s">
        <v>392</v>
      </c>
      <c r="E382" t="s">
        <v>13</v>
      </c>
      <c r="F382">
        <v>47</v>
      </c>
      <c r="G382" t="str">
        <f>IF(Table14[[#This Row],[Age]]&lt;=25,"Young",IF(Table14[[#This Row],[Age]]&gt;55,"Old",IF(Table14[[#This Row],[Age]]&gt;25,"Middle","Na")))</f>
        <v>Middle</v>
      </c>
      <c r="H382" t="s">
        <v>14</v>
      </c>
      <c r="I382">
        <v>1</v>
      </c>
      <c r="J382">
        <v>25</v>
      </c>
      <c r="K382">
        <v>25</v>
      </c>
      <c r="N382" s="11" t="s">
        <v>761</v>
      </c>
      <c r="O382" s="11" t="s">
        <v>14</v>
      </c>
      <c r="P382" s="11">
        <f>K380/J380</f>
        <v>4</v>
      </c>
      <c r="Q382" s="11">
        <v>150</v>
      </c>
      <c r="R382" s="11">
        <v>150</v>
      </c>
    </row>
    <row r="383" spans="2:18" x14ac:dyDescent="0.35">
      <c r="B383">
        <v>380</v>
      </c>
      <c r="C383" s="1">
        <v>45052</v>
      </c>
      <c r="D383" t="s">
        <v>393</v>
      </c>
      <c r="E383" t="s">
        <v>10</v>
      </c>
      <c r="F383">
        <v>56</v>
      </c>
      <c r="G383" t="str">
        <f>IF(Table14[[#This Row],[Age]]&lt;=25,"Young",IF(Table14[[#This Row],[Age]]&gt;55,"Old",IF(Table14[[#This Row],[Age]]&gt;25,"Middle","Na")))</f>
        <v>Old</v>
      </c>
      <c r="H383" t="s">
        <v>16</v>
      </c>
      <c r="I383">
        <v>2</v>
      </c>
      <c r="J383">
        <v>300</v>
      </c>
      <c r="K383">
        <v>600</v>
      </c>
      <c r="N383" s="11" t="s">
        <v>790</v>
      </c>
      <c r="O383" s="11" t="s">
        <v>16</v>
      </c>
      <c r="P383" s="11">
        <f>K381/J381</f>
        <v>1</v>
      </c>
      <c r="Q383" s="11">
        <v>150</v>
      </c>
      <c r="R383" s="11">
        <v>150</v>
      </c>
    </row>
    <row r="384" spans="2:18" x14ac:dyDescent="0.35">
      <c r="B384">
        <v>381</v>
      </c>
      <c r="C384" s="1">
        <v>45116</v>
      </c>
      <c r="D384" t="s">
        <v>394</v>
      </c>
      <c r="E384" t="s">
        <v>13</v>
      </c>
      <c r="F384">
        <v>44</v>
      </c>
      <c r="G384" t="str">
        <f>IF(Table14[[#This Row],[Age]]&lt;=25,"Young",IF(Table14[[#This Row],[Age]]&gt;55,"Old",IF(Table14[[#This Row],[Age]]&gt;25,"Middle","Na")))</f>
        <v>Middle</v>
      </c>
      <c r="H384" t="s">
        <v>14</v>
      </c>
      <c r="I384">
        <v>4</v>
      </c>
      <c r="J384">
        <v>25</v>
      </c>
      <c r="K384">
        <v>100</v>
      </c>
      <c r="N384" s="11" t="s">
        <v>36</v>
      </c>
      <c r="O384" s="11" t="s">
        <v>14</v>
      </c>
      <c r="P384" s="11">
        <f>K382/J382</f>
        <v>1</v>
      </c>
      <c r="Q384" s="11">
        <v>120</v>
      </c>
      <c r="R384" s="11">
        <v>120</v>
      </c>
    </row>
    <row r="385" spans="2:18" x14ac:dyDescent="0.35">
      <c r="B385">
        <v>382</v>
      </c>
      <c r="C385" s="1">
        <v>45072</v>
      </c>
      <c r="D385" t="s">
        <v>395</v>
      </c>
      <c r="E385" t="s">
        <v>13</v>
      </c>
      <c r="F385">
        <v>53</v>
      </c>
      <c r="G385" t="str">
        <f>IF(Table14[[#This Row],[Age]]&lt;=25,"Young",IF(Table14[[#This Row],[Age]]&gt;55,"Old",IF(Table14[[#This Row],[Age]]&gt;25,"Middle","Na")))</f>
        <v>Middle</v>
      </c>
      <c r="H385" t="s">
        <v>14</v>
      </c>
      <c r="I385">
        <v>2</v>
      </c>
      <c r="J385">
        <v>500</v>
      </c>
      <c r="K385">
        <v>1000</v>
      </c>
      <c r="N385" s="11" t="s">
        <v>68</v>
      </c>
      <c r="O385" s="11" t="s">
        <v>11</v>
      </c>
      <c r="P385" s="11">
        <f>K383/J383</f>
        <v>2</v>
      </c>
      <c r="Q385" s="11">
        <v>120</v>
      </c>
      <c r="R385" s="11">
        <v>120</v>
      </c>
    </row>
    <row r="386" spans="2:18" x14ac:dyDescent="0.35">
      <c r="B386">
        <v>383</v>
      </c>
      <c r="C386" s="1">
        <v>45007</v>
      </c>
      <c r="D386" t="s">
        <v>396</v>
      </c>
      <c r="E386" t="s">
        <v>13</v>
      </c>
      <c r="F386">
        <v>46</v>
      </c>
      <c r="G386" t="str">
        <f>IF(Table14[[#This Row],[Age]]&lt;=25,"Young",IF(Table14[[#This Row],[Age]]&gt;55,"Old",IF(Table14[[#This Row],[Age]]&gt;25,"Middle","Na")))</f>
        <v>Middle</v>
      </c>
      <c r="H386" t="s">
        <v>11</v>
      </c>
      <c r="I386">
        <v>3</v>
      </c>
      <c r="J386">
        <v>30</v>
      </c>
      <c r="K386">
        <v>90</v>
      </c>
      <c r="N386" s="11" t="s">
        <v>135</v>
      </c>
      <c r="O386" s="11" t="s">
        <v>16</v>
      </c>
      <c r="P386" s="11">
        <f>K384/J384</f>
        <v>4</v>
      </c>
      <c r="Q386" s="11">
        <v>120</v>
      </c>
      <c r="R386" s="11">
        <v>120</v>
      </c>
    </row>
    <row r="387" spans="2:18" x14ac:dyDescent="0.35">
      <c r="B387">
        <v>384</v>
      </c>
      <c r="C387" s="1">
        <v>45151</v>
      </c>
      <c r="D387" t="s">
        <v>397</v>
      </c>
      <c r="E387" t="s">
        <v>10</v>
      </c>
      <c r="F387">
        <v>55</v>
      </c>
      <c r="G387" t="str">
        <f>IF(Table14[[#This Row],[Age]]&lt;=25,"Young",IF(Table14[[#This Row],[Age]]&gt;55,"Old",IF(Table14[[#This Row],[Age]]&gt;25,"Middle","Na")))</f>
        <v>Middle</v>
      </c>
      <c r="H387" t="s">
        <v>14</v>
      </c>
      <c r="I387">
        <v>1</v>
      </c>
      <c r="J387">
        <v>500</v>
      </c>
      <c r="K387">
        <v>500</v>
      </c>
      <c r="N387" s="11" t="s">
        <v>163</v>
      </c>
      <c r="O387" s="11" t="s">
        <v>16</v>
      </c>
      <c r="P387" s="11">
        <f>K385/J385</f>
        <v>2</v>
      </c>
      <c r="Q387" s="11">
        <v>120</v>
      </c>
      <c r="R387" s="11">
        <v>120</v>
      </c>
    </row>
    <row r="388" spans="2:18" x14ac:dyDescent="0.35">
      <c r="B388">
        <v>385</v>
      </c>
      <c r="C388" s="1">
        <v>45205</v>
      </c>
      <c r="D388" t="s">
        <v>398</v>
      </c>
      <c r="E388" t="s">
        <v>10</v>
      </c>
      <c r="F388">
        <v>50</v>
      </c>
      <c r="G388" t="str">
        <f>IF(Table14[[#This Row],[Age]]&lt;=25,"Young",IF(Table14[[#This Row],[Age]]&gt;55,"Old",IF(Table14[[#This Row],[Age]]&gt;25,"Middle","Na")))</f>
        <v>Middle</v>
      </c>
      <c r="H388" t="s">
        <v>16</v>
      </c>
      <c r="I388">
        <v>3</v>
      </c>
      <c r="J388">
        <v>500</v>
      </c>
      <c r="K388">
        <v>1500</v>
      </c>
      <c r="N388" s="11" t="s">
        <v>195</v>
      </c>
      <c r="O388" s="11" t="s">
        <v>11</v>
      </c>
      <c r="P388" s="11">
        <f>K386/J386</f>
        <v>3</v>
      </c>
      <c r="Q388" s="11">
        <v>120</v>
      </c>
      <c r="R388" s="11">
        <v>120</v>
      </c>
    </row>
    <row r="389" spans="2:18" x14ac:dyDescent="0.35">
      <c r="B389">
        <v>386</v>
      </c>
      <c r="C389" s="1">
        <v>45287</v>
      </c>
      <c r="D389" t="s">
        <v>399</v>
      </c>
      <c r="E389" t="s">
        <v>13</v>
      </c>
      <c r="F389">
        <v>54</v>
      </c>
      <c r="G389" t="str">
        <f>IF(Table14[[#This Row],[Age]]&lt;=25,"Young",IF(Table14[[#This Row],[Age]]&gt;55,"Old",IF(Table14[[#This Row],[Age]]&gt;25,"Middle","Na")))</f>
        <v>Middle</v>
      </c>
      <c r="H389" t="s">
        <v>16</v>
      </c>
      <c r="I389">
        <v>2</v>
      </c>
      <c r="J389">
        <v>300</v>
      </c>
      <c r="K389">
        <v>600</v>
      </c>
      <c r="N389" s="11" t="s">
        <v>325</v>
      </c>
      <c r="O389" s="11" t="s">
        <v>14</v>
      </c>
      <c r="P389" s="11">
        <f>K387/J387</f>
        <v>1</v>
      </c>
      <c r="Q389" s="11">
        <v>120</v>
      </c>
      <c r="R389" s="11">
        <v>120</v>
      </c>
    </row>
    <row r="390" spans="2:18" x14ac:dyDescent="0.35">
      <c r="B390">
        <v>387</v>
      </c>
      <c r="C390" s="1">
        <v>45081</v>
      </c>
      <c r="D390" t="s">
        <v>400</v>
      </c>
      <c r="E390" t="s">
        <v>10</v>
      </c>
      <c r="F390">
        <v>44</v>
      </c>
      <c r="G390" t="str">
        <f>IF(Table14[[#This Row],[Age]]&lt;=25,"Young",IF(Table14[[#This Row],[Age]]&gt;55,"Old",IF(Table14[[#This Row],[Age]]&gt;25,"Middle","Na")))</f>
        <v>Middle</v>
      </c>
      <c r="H390" t="s">
        <v>11</v>
      </c>
      <c r="I390">
        <v>1</v>
      </c>
      <c r="J390">
        <v>30</v>
      </c>
      <c r="K390">
        <v>30</v>
      </c>
      <c r="N390" s="11" t="s">
        <v>532</v>
      </c>
      <c r="O390" s="11" t="s">
        <v>16</v>
      </c>
      <c r="P390" s="11">
        <f>K388/J388</f>
        <v>3</v>
      </c>
      <c r="Q390" s="11">
        <v>120</v>
      </c>
      <c r="R390" s="11">
        <v>120</v>
      </c>
    </row>
    <row r="391" spans="2:18" x14ac:dyDescent="0.35">
      <c r="B391">
        <v>388</v>
      </c>
      <c r="C391" s="1">
        <v>45240</v>
      </c>
      <c r="D391" t="s">
        <v>401</v>
      </c>
      <c r="E391" t="s">
        <v>10</v>
      </c>
      <c r="F391">
        <v>50</v>
      </c>
      <c r="G391" t="str">
        <f>IF(Table14[[#This Row],[Age]]&lt;=25,"Young",IF(Table14[[#This Row],[Age]]&gt;55,"Old",IF(Table14[[#This Row],[Age]]&gt;25,"Middle","Na")))</f>
        <v>Middle</v>
      </c>
      <c r="H391" t="s">
        <v>16</v>
      </c>
      <c r="I391">
        <v>1</v>
      </c>
      <c r="J391">
        <v>25</v>
      </c>
      <c r="K391">
        <v>25</v>
      </c>
      <c r="N391" s="11" t="s">
        <v>646</v>
      </c>
      <c r="O391" s="11" t="s">
        <v>11</v>
      </c>
      <c r="P391" s="11">
        <f>K389/J389</f>
        <v>2</v>
      </c>
      <c r="Q391" s="11">
        <v>120</v>
      </c>
      <c r="R391" s="11">
        <v>120</v>
      </c>
    </row>
    <row r="392" spans="2:18" x14ac:dyDescent="0.35">
      <c r="B392">
        <v>389</v>
      </c>
      <c r="C392" s="1">
        <v>45261</v>
      </c>
      <c r="D392" t="s">
        <v>402</v>
      </c>
      <c r="E392" t="s">
        <v>10</v>
      </c>
      <c r="F392">
        <v>21</v>
      </c>
      <c r="G392" t="str">
        <f>IF(Table14[[#This Row],[Age]]&lt;=25,"Young",IF(Table14[[#This Row],[Age]]&gt;55,"Old",IF(Table14[[#This Row],[Age]]&gt;25,"Middle","Na")))</f>
        <v>Young</v>
      </c>
      <c r="H392" t="s">
        <v>14</v>
      </c>
      <c r="I392">
        <v>2</v>
      </c>
      <c r="J392">
        <v>25</v>
      </c>
      <c r="K392">
        <v>50</v>
      </c>
      <c r="N392" s="11" t="s">
        <v>782</v>
      </c>
      <c r="O392" s="11" t="s">
        <v>16</v>
      </c>
      <c r="P392" s="11">
        <f>K390/J390</f>
        <v>1</v>
      </c>
      <c r="Q392" s="11">
        <v>120</v>
      </c>
      <c r="R392" s="11">
        <v>120</v>
      </c>
    </row>
    <row r="393" spans="2:18" x14ac:dyDescent="0.35">
      <c r="B393">
        <v>390</v>
      </c>
      <c r="C393" s="1">
        <v>45197</v>
      </c>
      <c r="D393" t="s">
        <v>403</v>
      </c>
      <c r="E393" t="s">
        <v>10</v>
      </c>
      <c r="F393">
        <v>39</v>
      </c>
      <c r="G393" t="str">
        <f>IF(Table14[[#This Row],[Age]]&lt;=25,"Young",IF(Table14[[#This Row],[Age]]&gt;55,"Old",IF(Table14[[#This Row],[Age]]&gt;25,"Middle","Na")))</f>
        <v>Middle</v>
      </c>
      <c r="H393" t="s">
        <v>16</v>
      </c>
      <c r="I393">
        <v>2</v>
      </c>
      <c r="J393">
        <v>50</v>
      </c>
      <c r="K393">
        <v>100</v>
      </c>
      <c r="N393" s="11" t="s">
        <v>837</v>
      </c>
      <c r="O393" s="11" t="s">
        <v>14</v>
      </c>
      <c r="P393" s="11">
        <f>K391/J391</f>
        <v>1</v>
      </c>
      <c r="Q393" s="11">
        <v>120</v>
      </c>
      <c r="R393" s="11">
        <v>120</v>
      </c>
    </row>
    <row r="394" spans="2:18" x14ac:dyDescent="0.35">
      <c r="B394">
        <v>391</v>
      </c>
      <c r="C394" s="1">
        <v>44931</v>
      </c>
      <c r="D394" t="s">
        <v>404</v>
      </c>
      <c r="E394" t="s">
        <v>10</v>
      </c>
      <c r="F394">
        <v>19</v>
      </c>
      <c r="G394" t="str">
        <f>IF(Table14[[#This Row],[Age]]&lt;=25,"Young",IF(Table14[[#This Row],[Age]]&gt;55,"Old",IF(Table14[[#This Row],[Age]]&gt;25,"Middle","Na")))</f>
        <v>Young</v>
      </c>
      <c r="H394" t="s">
        <v>11</v>
      </c>
      <c r="I394">
        <v>2</v>
      </c>
      <c r="J394">
        <v>25</v>
      </c>
      <c r="K394">
        <v>50</v>
      </c>
      <c r="N394" s="11" t="s">
        <v>889</v>
      </c>
      <c r="O394" s="11" t="s">
        <v>14</v>
      </c>
      <c r="P394" s="11">
        <f>K392/J392</f>
        <v>2</v>
      </c>
      <c r="Q394" s="11">
        <v>120</v>
      </c>
      <c r="R394" s="11">
        <v>120</v>
      </c>
    </row>
    <row r="395" spans="2:18" x14ac:dyDescent="0.35">
      <c r="B395">
        <v>392</v>
      </c>
      <c r="C395" s="1">
        <v>45268</v>
      </c>
      <c r="D395" t="s">
        <v>405</v>
      </c>
      <c r="E395" t="s">
        <v>10</v>
      </c>
      <c r="F395">
        <v>27</v>
      </c>
      <c r="G395" t="str">
        <f>IF(Table14[[#This Row],[Age]]&lt;=25,"Young",IF(Table14[[#This Row],[Age]]&gt;55,"Old",IF(Table14[[#This Row],[Age]]&gt;25,"Middle","Na")))</f>
        <v>Middle</v>
      </c>
      <c r="H395" t="s">
        <v>14</v>
      </c>
      <c r="I395">
        <v>2</v>
      </c>
      <c r="J395">
        <v>300</v>
      </c>
      <c r="K395">
        <v>600</v>
      </c>
      <c r="N395" s="11" t="s">
        <v>908</v>
      </c>
      <c r="O395" s="11" t="s">
        <v>14</v>
      </c>
      <c r="P395" s="11">
        <f>K393/J393</f>
        <v>2</v>
      </c>
      <c r="Q395" s="11">
        <v>120</v>
      </c>
      <c r="R395" s="11">
        <v>120</v>
      </c>
    </row>
    <row r="396" spans="2:18" x14ac:dyDescent="0.35">
      <c r="B396">
        <v>393</v>
      </c>
      <c r="C396" s="1">
        <v>45210</v>
      </c>
      <c r="D396" t="s">
        <v>406</v>
      </c>
      <c r="E396" t="s">
        <v>13</v>
      </c>
      <c r="F396">
        <v>22</v>
      </c>
      <c r="G396" t="str">
        <f>IF(Table14[[#This Row],[Age]]&lt;=25,"Young",IF(Table14[[#This Row],[Age]]&gt;55,"Old",IF(Table14[[#This Row],[Age]]&gt;25,"Middle","Na")))</f>
        <v>Young</v>
      </c>
      <c r="H396" t="s">
        <v>11</v>
      </c>
      <c r="I396">
        <v>2</v>
      </c>
      <c r="J396">
        <v>500</v>
      </c>
      <c r="K396">
        <v>1000</v>
      </c>
      <c r="N396" s="11" t="s">
        <v>188</v>
      </c>
      <c r="O396" s="11" t="s">
        <v>16</v>
      </c>
      <c r="P396" s="11">
        <f>K394/J394</f>
        <v>2</v>
      </c>
      <c r="Q396" s="11">
        <v>100</v>
      </c>
      <c r="R396" s="11">
        <v>100</v>
      </c>
    </row>
    <row r="397" spans="2:18" x14ac:dyDescent="0.35">
      <c r="B397">
        <v>394</v>
      </c>
      <c r="C397" s="1">
        <v>45080</v>
      </c>
      <c r="D397" t="s">
        <v>407</v>
      </c>
      <c r="E397" t="s">
        <v>13</v>
      </c>
      <c r="F397">
        <v>27</v>
      </c>
      <c r="G397" t="str">
        <f>IF(Table14[[#This Row],[Age]]&lt;=25,"Young",IF(Table14[[#This Row],[Age]]&gt;55,"Old",IF(Table14[[#This Row],[Age]]&gt;25,"Middle","Na")))</f>
        <v>Middle</v>
      </c>
      <c r="H397" t="s">
        <v>14</v>
      </c>
      <c r="I397">
        <v>1</v>
      </c>
      <c r="J397">
        <v>500</v>
      </c>
      <c r="K397">
        <v>500</v>
      </c>
      <c r="N397" s="11" t="s">
        <v>238</v>
      </c>
      <c r="O397" s="11" t="s">
        <v>11</v>
      </c>
      <c r="P397" s="11">
        <f>K395/J395</f>
        <v>2</v>
      </c>
      <c r="Q397" s="11">
        <v>100</v>
      </c>
      <c r="R397" s="11">
        <v>100</v>
      </c>
    </row>
    <row r="398" spans="2:18" x14ac:dyDescent="0.35">
      <c r="B398">
        <v>395</v>
      </c>
      <c r="C398" s="1">
        <v>45266</v>
      </c>
      <c r="D398" t="s">
        <v>408</v>
      </c>
      <c r="E398" t="s">
        <v>10</v>
      </c>
      <c r="F398">
        <v>50</v>
      </c>
      <c r="G398" t="str">
        <f>IF(Table14[[#This Row],[Age]]&lt;=25,"Young",IF(Table14[[#This Row],[Age]]&gt;55,"Old",IF(Table14[[#This Row],[Age]]&gt;25,"Middle","Na")))</f>
        <v>Middle</v>
      </c>
      <c r="H398" t="s">
        <v>16</v>
      </c>
      <c r="I398">
        <v>2</v>
      </c>
      <c r="J398">
        <v>500</v>
      </c>
      <c r="K398">
        <v>1000</v>
      </c>
      <c r="N398" s="11" t="s">
        <v>289</v>
      </c>
      <c r="O398" s="11" t="s">
        <v>11</v>
      </c>
      <c r="P398" s="11">
        <f>K396/J396</f>
        <v>2</v>
      </c>
      <c r="Q398" s="11">
        <v>100</v>
      </c>
      <c r="R398" s="11">
        <v>100</v>
      </c>
    </row>
    <row r="399" spans="2:18" x14ac:dyDescent="0.35">
      <c r="B399">
        <v>396</v>
      </c>
      <c r="C399" s="1">
        <v>44980</v>
      </c>
      <c r="D399" t="s">
        <v>409</v>
      </c>
      <c r="E399" t="s">
        <v>13</v>
      </c>
      <c r="F399">
        <v>55</v>
      </c>
      <c r="G399" t="str">
        <f>IF(Table14[[#This Row],[Age]]&lt;=25,"Young",IF(Table14[[#This Row],[Age]]&gt;55,"Old",IF(Table14[[#This Row],[Age]]&gt;25,"Middle","Na")))</f>
        <v>Middle</v>
      </c>
      <c r="H399" t="s">
        <v>11</v>
      </c>
      <c r="I399">
        <v>1</v>
      </c>
      <c r="J399">
        <v>30</v>
      </c>
      <c r="K399">
        <v>30</v>
      </c>
      <c r="N399" s="11" t="s">
        <v>291</v>
      </c>
      <c r="O399" s="11" t="s">
        <v>14</v>
      </c>
      <c r="P399" s="11">
        <f>K397/J397</f>
        <v>1</v>
      </c>
      <c r="Q399" s="11">
        <v>100</v>
      </c>
      <c r="R399" s="11">
        <v>100</v>
      </c>
    </row>
    <row r="400" spans="2:18" x14ac:dyDescent="0.35">
      <c r="B400">
        <v>397</v>
      </c>
      <c r="C400" s="1">
        <v>44995</v>
      </c>
      <c r="D400" t="s">
        <v>410</v>
      </c>
      <c r="E400" t="s">
        <v>13</v>
      </c>
      <c r="F400">
        <v>30</v>
      </c>
      <c r="G400" t="str">
        <f>IF(Table14[[#This Row],[Age]]&lt;=25,"Young",IF(Table14[[#This Row],[Age]]&gt;55,"Old",IF(Table14[[#This Row],[Age]]&gt;25,"Middle","Na")))</f>
        <v>Middle</v>
      </c>
      <c r="H400" t="s">
        <v>11</v>
      </c>
      <c r="I400">
        <v>1</v>
      </c>
      <c r="J400">
        <v>25</v>
      </c>
      <c r="K400">
        <v>25</v>
      </c>
      <c r="N400" s="11" t="s">
        <v>342</v>
      </c>
      <c r="O400" s="11" t="s">
        <v>16</v>
      </c>
      <c r="P400" s="11">
        <f>K398/J398</f>
        <v>2</v>
      </c>
      <c r="Q400" s="11">
        <v>100</v>
      </c>
      <c r="R400" s="11">
        <v>100</v>
      </c>
    </row>
    <row r="401" spans="2:18" x14ac:dyDescent="0.35">
      <c r="B401">
        <v>398</v>
      </c>
      <c r="C401" s="1">
        <v>45062</v>
      </c>
      <c r="D401" t="s">
        <v>411</v>
      </c>
      <c r="E401" t="s">
        <v>13</v>
      </c>
      <c r="F401">
        <v>48</v>
      </c>
      <c r="G401" t="str">
        <f>IF(Table14[[#This Row],[Age]]&lt;=25,"Young",IF(Table14[[#This Row],[Age]]&gt;55,"Old",IF(Table14[[#This Row],[Age]]&gt;25,"Middle","Na")))</f>
        <v>Middle</v>
      </c>
      <c r="H401" t="s">
        <v>14</v>
      </c>
      <c r="I401">
        <v>2</v>
      </c>
      <c r="J401">
        <v>300</v>
      </c>
      <c r="K401">
        <v>600</v>
      </c>
      <c r="N401" s="11" t="s">
        <v>511</v>
      </c>
      <c r="O401" s="11" t="s">
        <v>14</v>
      </c>
      <c r="P401" s="11">
        <f>K399/J399</f>
        <v>1</v>
      </c>
      <c r="Q401" s="11">
        <v>100</v>
      </c>
      <c r="R401" s="11">
        <v>100</v>
      </c>
    </row>
    <row r="402" spans="2:18" x14ac:dyDescent="0.35">
      <c r="B402">
        <v>399</v>
      </c>
      <c r="C402" s="1">
        <v>44986</v>
      </c>
      <c r="D402" t="s">
        <v>412</v>
      </c>
      <c r="E402" t="s">
        <v>13</v>
      </c>
      <c r="F402">
        <v>64</v>
      </c>
      <c r="G402" t="str">
        <f>IF(Table14[[#This Row],[Age]]&lt;=25,"Young",IF(Table14[[#This Row],[Age]]&gt;55,"Old",IF(Table14[[#This Row],[Age]]&gt;25,"Middle","Na")))</f>
        <v>Old</v>
      </c>
      <c r="H402" t="s">
        <v>11</v>
      </c>
      <c r="I402">
        <v>2</v>
      </c>
      <c r="J402">
        <v>30</v>
      </c>
      <c r="K402">
        <v>60</v>
      </c>
      <c r="N402" s="11" t="s">
        <v>632</v>
      </c>
      <c r="O402" s="11" t="s">
        <v>16</v>
      </c>
      <c r="P402" s="11">
        <f>K400/J400</f>
        <v>1</v>
      </c>
      <c r="Q402" s="11">
        <v>100</v>
      </c>
      <c r="R402" s="11">
        <v>100</v>
      </c>
    </row>
    <row r="403" spans="2:18" x14ac:dyDescent="0.35">
      <c r="B403">
        <v>400</v>
      </c>
      <c r="C403" s="1">
        <v>44981</v>
      </c>
      <c r="D403" t="s">
        <v>413</v>
      </c>
      <c r="E403" t="s">
        <v>10</v>
      </c>
      <c r="F403">
        <v>53</v>
      </c>
      <c r="G403" t="str">
        <f>IF(Table14[[#This Row],[Age]]&lt;=25,"Young",IF(Table14[[#This Row],[Age]]&gt;55,"Old",IF(Table14[[#This Row],[Age]]&gt;25,"Middle","Na")))</f>
        <v>Middle</v>
      </c>
      <c r="H403" t="s">
        <v>14</v>
      </c>
      <c r="I403">
        <v>4</v>
      </c>
      <c r="J403">
        <v>50</v>
      </c>
      <c r="K403">
        <v>200</v>
      </c>
      <c r="N403" s="11" t="s">
        <v>701</v>
      </c>
      <c r="O403" s="11" t="s">
        <v>14</v>
      </c>
      <c r="P403" s="11">
        <f>K401/J401</f>
        <v>2</v>
      </c>
      <c r="Q403" s="11">
        <v>100</v>
      </c>
      <c r="R403" s="11">
        <v>100</v>
      </c>
    </row>
    <row r="404" spans="2:18" x14ac:dyDescent="0.35">
      <c r="B404">
        <v>401</v>
      </c>
      <c r="C404" s="1">
        <v>45210</v>
      </c>
      <c r="D404" t="s">
        <v>414</v>
      </c>
      <c r="E404" t="s">
        <v>13</v>
      </c>
      <c r="F404">
        <v>62</v>
      </c>
      <c r="G404" t="str">
        <f>IF(Table14[[#This Row],[Age]]&lt;=25,"Young",IF(Table14[[#This Row],[Age]]&gt;55,"Old",IF(Table14[[#This Row],[Age]]&gt;25,"Middle","Na")))</f>
        <v>Old</v>
      </c>
      <c r="H404" t="s">
        <v>14</v>
      </c>
      <c r="I404">
        <v>1</v>
      </c>
      <c r="J404">
        <v>300</v>
      </c>
      <c r="K404">
        <v>300</v>
      </c>
      <c r="N404" s="11" t="s">
        <v>728</v>
      </c>
      <c r="O404" s="11" t="s">
        <v>11</v>
      </c>
      <c r="P404" s="11">
        <f>K402/J402</f>
        <v>2</v>
      </c>
      <c r="Q404" s="11">
        <v>100</v>
      </c>
      <c r="R404" s="11">
        <v>100</v>
      </c>
    </row>
    <row r="405" spans="2:18" x14ac:dyDescent="0.35">
      <c r="B405">
        <v>402</v>
      </c>
      <c r="C405" s="1">
        <v>45006</v>
      </c>
      <c r="D405" t="s">
        <v>415</v>
      </c>
      <c r="E405" t="s">
        <v>13</v>
      </c>
      <c r="F405">
        <v>41</v>
      </c>
      <c r="G405" t="str">
        <f>IF(Table14[[#This Row],[Age]]&lt;=25,"Young",IF(Table14[[#This Row],[Age]]&gt;55,"Old",IF(Table14[[#This Row],[Age]]&gt;25,"Middle","Na")))</f>
        <v>Middle</v>
      </c>
      <c r="H405" t="s">
        <v>14</v>
      </c>
      <c r="I405">
        <v>2</v>
      </c>
      <c r="J405">
        <v>300</v>
      </c>
      <c r="K405">
        <v>600</v>
      </c>
      <c r="N405" s="11" t="s">
        <v>823</v>
      </c>
      <c r="O405" s="11" t="s">
        <v>16</v>
      </c>
      <c r="P405" s="11">
        <f>K403/J403</f>
        <v>4</v>
      </c>
      <c r="Q405" s="11">
        <v>100</v>
      </c>
      <c r="R405" s="11">
        <v>100</v>
      </c>
    </row>
    <row r="406" spans="2:18" x14ac:dyDescent="0.35">
      <c r="B406">
        <v>403</v>
      </c>
      <c r="C406" s="1">
        <v>45066</v>
      </c>
      <c r="D406" t="s">
        <v>416</v>
      </c>
      <c r="E406" t="s">
        <v>10</v>
      </c>
      <c r="F406">
        <v>32</v>
      </c>
      <c r="G406" t="str">
        <f>IF(Table14[[#This Row],[Age]]&lt;=25,"Young",IF(Table14[[#This Row],[Age]]&gt;55,"Old",IF(Table14[[#This Row],[Age]]&gt;25,"Middle","Na")))</f>
        <v>Middle</v>
      </c>
      <c r="H406" t="s">
        <v>14</v>
      </c>
      <c r="I406">
        <v>2</v>
      </c>
      <c r="J406">
        <v>300</v>
      </c>
      <c r="K406">
        <v>600</v>
      </c>
      <c r="N406" s="11" t="s">
        <v>66</v>
      </c>
      <c r="O406" s="11" t="s">
        <v>16</v>
      </c>
      <c r="P406" s="11">
        <f>K404/J404</f>
        <v>1</v>
      </c>
      <c r="Q406" s="11">
        <v>100</v>
      </c>
      <c r="R406" s="11">
        <v>100</v>
      </c>
    </row>
    <row r="407" spans="2:18" x14ac:dyDescent="0.35">
      <c r="B407">
        <v>404</v>
      </c>
      <c r="C407" s="1">
        <v>45071</v>
      </c>
      <c r="D407" t="s">
        <v>417</v>
      </c>
      <c r="E407" t="s">
        <v>10</v>
      </c>
      <c r="F407">
        <v>46</v>
      </c>
      <c r="G407" t="str">
        <f>IF(Table14[[#This Row],[Age]]&lt;=25,"Young",IF(Table14[[#This Row],[Age]]&gt;55,"Old",IF(Table14[[#This Row],[Age]]&gt;25,"Middle","Na")))</f>
        <v>Middle</v>
      </c>
      <c r="H407" t="s">
        <v>16</v>
      </c>
      <c r="I407">
        <v>2</v>
      </c>
      <c r="J407">
        <v>500</v>
      </c>
      <c r="K407">
        <v>1000</v>
      </c>
      <c r="N407" s="11" t="s">
        <v>96</v>
      </c>
      <c r="O407" s="11" t="s">
        <v>16</v>
      </c>
      <c r="P407" s="11">
        <f>K405/J405</f>
        <v>2</v>
      </c>
      <c r="Q407" s="11">
        <v>100</v>
      </c>
      <c r="R407" s="11">
        <v>100</v>
      </c>
    </row>
    <row r="408" spans="2:18" x14ac:dyDescent="0.35">
      <c r="B408">
        <v>405</v>
      </c>
      <c r="C408" s="1">
        <v>45236</v>
      </c>
      <c r="D408" t="s">
        <v>418</v>
      </c>
      <c r="E408" t="s">
        <v>13</v>
      </c>
      <c r="F408">
        <v>25</v>
      </c>
      <c r="G408" t="str">
        <f>IF(Table14[[#This Row],[Age]]&lt;=25,"Young",IF(Table14[[#This Row],[Age]]&gt;55,"Old",IF(Table14[[#This Row],[Age]]&gt;25,"Middle","Na")))</f>
        <v>Young</v>
      </c>
      <c r="H408" t="s">
        <v>14</v>
      </c>
      <c r="I408">
        <v>4</v>
      </c>
      <c r="J408">
        <v>300</v>
      </c>
      <c r="K408">
        <v>1200</v>
      </c>
      <c r="N408" s="11" t="s">
        <v>100</v>
      </c>
      <c r="O408" s="11" t="s">
        <v>11</v>
      </c>
      <c r="P408" s="11">
        <f>K406/J406</f>
        <v>2</v>
      </c>
      <c r="Q408" s="11">
        <v>100</v>
      </c>
      <c r="R408" s="11">
        <v>100</v>
      </c>
    </row>
    <row r="409" spans="2:18" x14ac:dyDescent="0.35">
      <c r="B409">
        <v>406</v>
      </c>
      <c r="C409" s="1">
        <v>45034</v>
      </c>
      <c r="D409" t="s">
        <v>419</v>
      </c>
      <c r="E409" t="s">
        <v>13</v>
      </c>
      <c r="F409">
        <v>22</v>
      </c>
      <c r="G409" t="str">
        <f>IF(Table14[[#This Row],[Age]]&lt;=25,"Young",IF(Table14[[#This Row],[Age]]&gt;55,"Old",IF(Table14[[#This Row],[Age]]&gt;25,"Middle","Na")))</f>
        <v>Young</v>
      </c>
      <c r="H409" t="s">
        <v>11</v>
      </c>
      <c r="I409">
        <v>4</v>
      </c>
      <c r="J409">
        <v>25</v>
      </c>
      <c r="K409">
        <v>100</v>
      </c>
      <c r="N409" s="11" t="s">
        <v>173</v>
      </c>
      <c r="O409" s="11" t="s">
        <v>14</v>
      </c>
      <c r="P409" s="11">
        <f>K407/J407</f>
        <v>2</v>
      </c>
      <c r="Q409" s="11">
        <v>100</v>
      </c>
      <c r="R409" s="11">
        <v>100</v>
      </c>
    </row>
    <row r="410" spans="2:18" x14ac:dyDescent="0.35">
      <c r="B410">
        <v>407</v>
      </c>
      <c r="C410" s="1">
        <v>45102</v>
      </c>
      <c r="D410" t="s">
        <v>420</v>
      </c>
      <c r="E410" t="s">
        <v>13</v>
      </c>
      <c r="F410">
        <v>46</v>
      </c>
      <c r="G410" t="str">
        <f>IF(Table14[[#This Row],[Age]]&lt;=25,"Young",IF(Table14[[#This Row],[Age]]&gt;55,"Old",IF(Table14[[#This Row],[Age]]&gt;25,"Middle","Na")))</f>
        <v>Middle</v>
      </c>
      <c r="H410" t="s">
        <v>16</v>
      </c>
      <c r="I410">
        <v>3</v>
      </c>
      <c r="J410">
        <v>300</v>
      </c>
      <c r="K410">
        <v>900</v>
      </c>
      <c r="N410" s="11" t="s">
        <v>190</v>
      </c>
      <c r="O410" s="11" t="s">
        <v>11</v>
      </c>
      <c r="P410" s="11">
        <f>K408/J408</f>
        <v>4</v>
      </c>
      <c r="Q410" s="11">
        <v>100</v>
      </c>
      <c r="R410" s="11">
        <v>100</v>
      </c>
    </row>
    <row r="411" spans="2:18" x14ac:dyDescent="0.35">
      <c r="B411">
        <v>408</v>
      </c>
      <c r="C411" s="1">
        <v>45031</v>
      </c>
      <c r="D411" t="s">
        <v>421</v>
      </c>
      <c r="E411" t="s">
        <v>13</v>
      </c>
      <c r="F411">
        <v>64</v>
      </c>
      <c r="G411" t="str">
        <f>IF(Table14[[#This Row],[Age]]&lt;=25,"Young",IF(Table14[[#This Row],[Age]]&gt;55,"Old",IF(Table14[[#This Row],[Age]]&gt;25,"Middle","Na")))</f>
        <v>Old</v>
      </c>
      <c r="H411" t="s">
        <v>11</v>
      </c>
      <c r="I411">
        <v>1</v>
      </c>
      <c r="J411">
        <v>500</v>
      </c>
      <c r="K411">
        <v>500</v>
      </c>
      <c r="N411" s="11" t="s">
        <v>341</v>
      </c>
      <c r="O411" s="11" t="s">
        <v>11</v>
      </c>
      <c r="P411" s="11">
        <f>K409/J409</f>
        <v>4</v>
      </c>
      <c r="Q411" s="11">
        <v>100</v>
      </c>
      <c r="R411" s="11">
        <v>100</v>
      </c>
    </row>
    <row r="412" spans="2:18" x14ac:dyDescent="0.35">
      <c r="B412">
        <v>409</v>
      </c>
      <c r="C412" s="1">
        <v>45278</v>
      </c>
      <c r="D412" t="s">
        <v>422</v>
      </c>
      <c r="E412" t="s">
        <v>13</v>
      </c>
      <c r="F412">
        <v>21</v>
      </c>
      <c r="G412" t="str">
        <f>IF(Table14[[#This Row],[Age]]&lt;=25,"Young",IF(Table14[[#This Row],[Age]]&gt;55,"Old",IF(Table14[[#This Row],[Age]]&gt;25,"Middle","Na")))</f>
        <v>Young</v>
      </c>
      <c r="H412" t="s">
        <v>16</v>
      </c>
      <c r="I412">
        <v>3</v>
      </c>
      <c r="J412">
        <v>300</v>
      </c>
      <c r="K412">
        <v>900</v>
      </c>
      <c r="N412" s="11" t="s">
        <v>379</v>
      </c>
      <c r="O412" s="11" t="s">
        <v>14</v>
      </c>
      <c r="P412" s="11">
        <f>K410/J410</f>
        <v>3</v>
      </c>
      <c r="Q412" s="11">
        <v>100</v>
      </c>
      <c r="R412" s="11">
        <v>100</v>
      </c>
    </row>
    <row r="413" spans="2:18" x14ac:dyDescent="0.35">
      <c r="B413">
        <v>410</v>
      </c>
      <c r="C413" s="1">
        <v>45251</v>
      </c>
      <c r="D413" t="s">
        <v>423</v>
      </c>
      <c r="E413" t="s">
        <v>13</v>
      </c>
      <c r="F413">
        <v>29</v>
      </c>
      <c r="G413" t="str">
        <f>IF(Table14[[#This Row],[Age]]&lt;=25,"Young",IF(Table14[[#This Row],[Age]]&gt;55,"Old",IF(Table14[[#This Row],[Age]]&gt;25,"Middle","Na")))</f>
        <v>Middle</v>
      </c>
      <c r="H413" t="s">
        <v>14</v>
      </c>
      <c r="I413">
        <v>2</v>
      </c>
      <c r="J413">
        <v>50</v>
      </c>
      <c r="K413">
        <v>100</v>
      </c>
      <c r="N413" s="11" t="s">
        <v>403</v>
      </c>
      <c r="O413" s="11" t="s">
        <v>16</v>
      </c>
      <c r="P413" s="11">
        <f>K411/J411</f>
        <v>1</v>
      </c>
      <c r="Q413" s="11">
        <v>100</v>
      </c>
      <c r="R413" s="11">
        <v>100</v>
      </c>
    </row>
    <row r="414" spans="2:18" x14ac:dyDescent="0.35">
      <c r="B414">
        <v>411</v>
      </c>
      <c r="C414" s="1">
        <v>45062</v>
      </c>
      <c r="D414" t="s">
        <v>424</v>
      </c>
      <c r="E414" t="s">
        <v>10</v>
      </c>
      <c r="F414">
        <v>62</v>
      </c>
      <c r="G414" t="str">
        <f>IF(Table14[[#This Row],[Age]]&lt;=25,"Young",IF(Table14[[#This Row],[Age]]&gt;55,"Old",IF(Table14[[#This Row],[Age]]&gt;25,"Middle","Na")))</f>
        <v>Old</v>
      </c>
      <c r="H414" t="s">
        <v>16</v>
      </c>
      <c r="I414">
        <v>4</v>
      </c>
      <c r="J414">
        <v>50</v>
      </c>
      <c r="K414">
        <v>200</v>
      </c>
      <c r="N414" s="11" t="s">
        <v>423</v>
      </c>
      <c r="O414" s="11" t="s">
        <v>14</v>
      </c>
      <c r="P414" s="11">
        <f>K412/J412</f>
        <v>3</v>
      </c>
      <c r="Q414" s="11">
        <v>100</v>
      </c>
      <c r="R414" s="11">
        <v>100</v>
      </c>
    </row>
    <row r="415" spans="2:18" x14ac:dyDescent="0.35">
      <c r="B415">
        <v>412</v>
      </c>
      <c r="C415" s="1">
        <v>45185</v>
      </c>
      <c r="D415" t="s">
        <v>425</v>
      </c>
      <c r="E415" t="s">
        <v>13</v>
      </c>
      <c r="F415">
        <v>19</v>
      </c>
      <c r="G415" t="str">
        <f>IF(Table14[[#This Row],[Age]]&lt;=25,"Young",IF(Table14[[#This Row],[Age]]&gt;55,"Old",IF(Table14[[#This Row],[Age]]&gt;25,"Middle","Na")))</f>
        <v>Young</v>
      </c>
      <c r="H415" t="s">
        <v>16</v>
      </c>
      <c r="I415">
        <v>4</v>
      </c>
      <c r="J415">
        <v>500</v>
      </c>
      <c r="K415">
        <v>2000</v>
      </c>
      <c r="N415" s="11" t="s">
        <v>622</v>
      </c>
      <c r="O415" s="11" t="s">
        <v>14</v>
      </c>
      <c r="P415" s="11">
        <f>K413/J413</f>
        <v>2</v>
      </c>
      <c r="Q415" s="11">
        <v>100</v>
      </c>
      <c r="R415" s="11">
        <v>100</v>
      </c>
    </row>
    <row r="416" spans="2:18" x14ac:dyDescent="0.35">
      <c r="B416">
        <v>413</v>
      </c>
      <c r="C416" s="1">
        <v>45177</v>
      </c>
      <c r="D416" t="s">
        <v>426</v>
      </c>
      <c r="E416" t="s">
        <v>13</v>
      </c>
      <c r="F416">
        <v>44</v>
      </c>
      <c r="G416" t="str">
        <f>IF(Table14[[#This Row],[Age]]&lt;=25,"Young",IF(Table14[[#This Row],[Age]]&gt;55,"Old",IF(Table14[[#This Row],[Age]]&gt;25,"Middle","Na")))</f>
        <v>Middle</v>
      </c>
      <c r="H416" t="s">
        <v>11</v>
      </c>
      <c r="I416">
        <v>3</v>
      </c>
      <c r="J416">
        <v>25</v>
      </c>
      <c r="K416">
        <v>75</v>
      </c>
      <c r="N416" s="11" t="s">
        <v>685</v>
      </c>
      <c r="O416" s="11" t="s">
        <v>11</v>
      </c>
      <c r="P416" s="11">
        <f>K414/J414</f>
        <v>4</v>
      </c>
      <c r="Q416" s="11">
        <v>100</v>
      </c>
      <c r="R416" s="11">
        <v>100</v>
      </c>
    </row>
    <row r="417" spans="2:18" x14ac:dyDescent="0.35">
      <c r="B417">
        <v>414</v>
      </c>
      <c r="C417" s="1">
        <v>45055</v>
      </c>
      <c r="D417" t="s">
        <v>427</v>
      </c>
      <c r="E417" t="s">
        <v>10</v>
      </c>
      <c r="F417">
        <v>48</v>
      </c>
      <c r="G417" t="str">
        <f>IF(Table14[[#This Row],[Age]]&lt;=25,"Young",IF(Table14[[#This Row],[Age]]&gt;55,"Old",IF(Table14[[#This Row],[Age]]&gt;25,"Middle","Na")))</f>
        <v>Middle</v>
      </c>
      <c r="H417" t="s">
        <v>11</v>
      </c>
      <c r="I417">
        <v>4</v>
      </c>
      <c r="J417">
        <v>25</v>
      </c>
      <c r="K417">
        <v>100</v>
      </c>
      <c r="N417" s="11" t="s">
        <v>702</v>
      </c>
      <c r="O417" s="11" t="s">
        <v>16</v>
      </c>
      <c r="P417" s="11">
        <f>K415/J415</f>
        <v>4</v>
      </c>
      <c r="Q417" s="11">
        <v>100</v>
      </c>
      <c r="R417" s="11">
        <v>100</v>
      </c>
    </row>
    <row r="418" spans="2:18" x14ac:dyDescent="0.35">
      <c r="B418">
        <v>415</v>
      </c>
      <c r="C418" s="1">
        <v>44953</v>
      </c>
      <c r="D418" t="s">
        <v>428</v>
      </c>
      <c r="E418" t="s">
        <v>10</v>
      </c>
      <c r="F418">
        <v>53</v>
      </c>
      <c r="G418" t="str">
        <f>IF(Table14[[#This Row],[Age]]&lt;=25,"Young",IF(Table14[[#This Row],[Age]]&gt;55,"Old",IF(Table14[[#This Row],[Age]]&gt;25,"Middle","Na")))</f>
        <v>Middle</v>
      </c>
      <c r="H418" t="s">
        <v>14</v>
      </c>
      <c r="I418">
        <v>2</v>
      </c>
      <c r="J418">
        <v>30</v>
      </c>
      <c r="K418">
        <v>60</v>
      </c>
      <c r="N418" s="11" t="s">
        <v>812</v>
      </c>
      <c r="O418" s="11" t="s">
        <v>16</v>
      </c>
      <c r="P418" s="11">
        <f>K416/J416</f>
        <v>3</v>
      </c>
      <c r="Q418" s="11">
        <v>100</v>
      </c>
      <c r="R418" s="11">
        <v>100</v>
      </c>
    </row>
    <row r="419" spans="2:18" x14ac:dyDescent="0.35">
      <c r="B419">
        <v>416</v>
      </c>
      <c r="C419" s="1">
        <v>44974</v>
      </c>
      <c r="D419" t="s">
        <v>429</v>
      </c>
      <c r="E419" t="s">
        <v>10</v>
      </c>
      <c r="F419">
        <v>53</v>
      </c>
      <c r="G419" t="str">
        <f>IF(Table14[[#This Row],[Age]]&lt;=25,"Young",IF(Table14[[#This Row],[Age]]&gt;55,"Old",IF(Table14[[#This Row],[Age]]&gt;25,"Middle","Na")))</f>
        <v>Middle</v>
      </c>
      <c r="H419" t="s">
        <v>16</v>
      </c>
      <c r="I419">
        <v>4</v>
      </c>
      <c r="J419">
        <v>500</v>
      </c>
      <c r="K419">
        <v>2000</v>
      </c>
      <c r="N419" s="11" t="s">
        <v>822</v>
      </c>
      <c r="O419" s="11" t="s">
        <v>11</v>
      </c>
      <c r="P419" s="11">
        <f>K417/J417</f>
        <v>4</v>
      </c>
      <c r="Q419" s="11">
        <v>100</v>
      </c>
      <c r="R419" s="11">
        <v>100</v>
      </c>
    </row>
    <row r="420" spans="2:18" x14ac:dyDescent="0.35">
      <c r="B420">
        <v>417</v>
      </c>
      <c r="C420" s="1">
        <v>45251</v>
      </c>
      <c r="D420" t="s">
        <v>430</v>
      </c>
      <c r="E420" t="s">
        <v>10</v>
      </c>
      <c r="F420">
        <v>43</v>
      </c>
      <c r="G420" t="str">
        <f>IF(Table14[[#This Row],[Age]]&lt;=25,"Young",IF(Table14[[#This Row],[Age]]&gt;55,"Old",IF(Table14[[#This Row],[Age]]&gt;25,"Middle","Na")))</f>
        <v>Middle</v>
      </c>
      <c r="H420" t="s">
        <v>16</v>
      </c>
      <c r="I420">
        <v>3</v>
      </c>
      <c r="J420">
        <v>300</v>
      </c>
      <c r="K420">
        <v>900</v>
      </c>
      <c r="N420" s="11" t="s">
        <v>836</v>
      </c>
      <c r="O420" s="11" t="s">
        <v>16</v>
      </c>
      <c r="P420" s="11">
        <f>K418/J418</f>
        <v>2</v>
      </c>
      <c r="Q420" s="11">
        <v>100</v>
      </c>
      <c r="R420" s="11">
        <v>100</v>
      </c>
    </row>
    <row r="421" spans="2:18" x14ac:dyDescent="0.35">
      <c r="B421">
        <v>418</v>
      </c>
      <c r="C421" s="1">
        <v>45143</v>
      </c>
      <c r="D421" t="s">
        <v>431</v>
      </c>
      <c r="E421" t="s">
        <v>13</v>
      </c>
      <c r="F421">
        <v>60</v>
      </c>
      <c r="G421" t="str">
        <f>IF(Table14[[#This Row],[Age]]&lt;=25,"Young",IF(Table14[[#This Row],[Age]]&gt;55,"Old",IF(Table14[[#This Row],[Age]]&gt;25,"Middle","Na")))</f>
        <v>Old</v>
      </c>
      <c r="H421" t="s">
        <v>16</v>
      </c>
      <c r="I421">
        <v>2</v>
      </c>
      <c r="J421">
        <v>500</v>
      </c>
      <c r="K421">
        <v>1000</v>
      </c>
      <c r="N421" s="11" t="s">
        <v>871</v>
      </c>
      <c r="O421" s="11" t="s">
        <v>16</v>
      </c>
      <c r="P421" s="11">
        <f>K419/J419</f>
        <v>4</v>
      </c>
      <c r="Q421" s="11">
        <v>100</v>
      </c>
      <c r="R421" s="11">
        <v>100</v>
      </c>
    </row>
    <row r="422" spans="2:18" x14ac:dyDescent="0.35">
      <c r="B422">
        <v>419</v>
      </c>
      <c r="C422" s="1">
        <v>45068</v>
      </c>
      <c r="D422" t="s">
        <v>432</v>
      </c>
      <c r="E422" t="s">
        <v>13</v>
      </c>
      <c r="F422">
        <v>44</v>
      </c>
      <c r="G422" t="str">
        <f>IF(Table14[[#This Row],[Age]]&lt;=25,"Young",IF(Table14[[#This Row],[Age]]&gt;55,"Old",IF(Table14[[#This Row],[Age]]&gt;25,"Middle","Na")))</f>
        <v>Middle</v>
      </c>
      <c r="H422" t="s">
        <v>14</v>
      </c>
      <c r="I422">
        <v>3</v>
      </c>
      <c r="J422">
        <v>30</v>
      </c>
      <c r="K422">
        <v>90</v>
      </c>
      <c r="N422" s="11" t="s">
        <v>1004</v>
      </c>
      <c r="O422" s="11" t="s">
        <v>14</v>
      </c>
      <c r="P422" s="11">
        <f>K420/J420</f>
        <v>3</v>
      </c>
      <c r="Q422" s="11">
        <v>100</v>
      </c>
      <c r="R422" s="11">
        <v>100</v>
      </c>
    </row>
    <row r="423" spans="2:18" x14ac:dyDescent="0.35">
      <c r="B423">
        <v>420</v>
      </c>
      <c r="C423" s="1">
        <v>44949</v>
      </c>
      <c r="D423" t="s">
        <v>433</v>
      </c>
      <c r="E423" t="s">
        <v>13</v>
      </c>
      <c r="F423">
        <v>22</v>
      </c>
      <c r="G423" t="str">
        <f>IF(Table14[[#This Row],[Age]]&lt;=25,"Young",IF(Table14[[#This Row],[Age]]&gt;55,"Old",IF(Table14[[#This Row],[Age]]&gt;25,"Middle","Na")))</f>
        <v>Young</v>
      </c>
      <c r="H423" t="s">
        <v>14</v>
      </c>
      <c r="I423">
        <v>4</v>
      </c>
      <c r="J423">
        <v>500</v>
      </c>
      <c r="K423">
        <v>2000</v>
      </c>
      <c r="N423" s="11" t="s">
        <v>86</v>
      </c>
      <c r="O423" s="11" t="s">
        <v>16</v>
      </c>
      <c r="P423" s="11">
        <f>K421/J421</f>
        <v>2</v>
      </c>
      <c r="Q423" s="11">
        <v>90</v>
      </c>
      <c r="R423" s="11">
        <v>90</v>
      </c>
    </row>
    <row r="424" spans="2:18" x14ac:dyDescent="0.35">
      <c r="B424">
        <v>421</v>
      </c>
      <c r="C424" s="1">
        <v>44928</v>
      </c>
      <c r="D424" t="s">
        <v>434</v>
      </c>
      <c r="E424" t="s">
        <v>13</v>
      </c>
      <c r="F424">
        <v>37</v>
      </c>
      <c r="G424" t="str">
        <f>IF(Table14[[#This Row],[Age]]&lt;=25,"Young",IF(Table14[[#This Row],[Age]]&gt;55,"Old",IF(Table14[[#This Row],[Age]]&gt;25,"Middle","Na")))</f>
        <v>Middle</v>
      </c>
      <c r="H424" t="s">
        <v>14</v>
      </c>
      <c r="I424">
        <v>3</v>
      </c>
      <c r="J424">
        <v>500</v>
      </c>
      <c r="K424">
        <v>1500</v>
      </c>
      <c r="N424" s="11" t="s">
        <v>97</v>
      </c>
      <c r="O424" s="11" t="s">
        <v>16</v>
      </c>
      <c r="P424" s="11">
        <f>K422/J422</f>
        <v>3</v>
      </c>
      <c r="Q424" s="11">
        <v>90</v>
      </c>
      <c r="R424" s="11">
        <v>90</v>
      </c>
    </row>
    <row r="425" spans="2:18" x14ac:dyDescent="0.35">
      <c r="B425">
        <v>422</v>
      </c>
      <c r="C425" s="1">
        <v>45097</v>
      </c>
      <c r="D425" t="s">
        <v>435</v>
      </c>
      <c r="E425" t="s">
        <v>13</v>
      </c>
      <c r="F425">
        <v>28</v>
      </c>
      <c r="G425" t="str">
        <f>IF(Table14[[#This Row],[Age]]&lt;=25,"Young",IF(Table14[[#This Row],[Age]]&gt;55,"Old",IF(Table14[[#This Row],[Age]]&gt;25,"Middle","Na")))</f>
        <v>Middle</v>
      </c>
      <c r="H425" t="s">
        <v>14</v>
      </c>
      <c r="I425">
        <v>3</v>
      </c>
      <c r="J425">
        <v>30</v>
      </c>
      <c r="K425">
        <v>90</v>
      </c>
      <c r="N425" s="11" t="s">
        <v>139</v>
      </c>
      <c r="O425" s="11" t="s">
        <v>14</v>
      </c>
      <c r="P425" s="11">
        <f>K423/J423</f>
        <v>4</v>
      </c>
      <c r="Q425" s="11">
        <v>90</v>
      </c>
      <c r="R425" s="11">
        <v>90</v>
      </c>
    </row>
    <row r="426" spans="2:18" x14ac:dyDescent="0.35">
      <c r="B426">
        <v>423</v>
      </c>
      <c r="C426" s="1">
        <v>44993</v>
      </c>
      <c r="D426" t="s">
        <v>436</v>
      </c>
      <c r="E426" t="s">
        <v>13</v>
      </c>
      <c r="F426">
        <v>27</v>
      </c>
      <c r="G426" t="str">
        <f>IF(Table14[[#This Row],[Age]]&lt;=25,"Young",IF(Table14[[#This Row],[Age]]&gt;55,"Old",IF(Table14[[#This Row],[Age]]&gt;25,"Middle","Na")))</f>
        <v>Middle</v>
      </c>
      <c r="H426" t="s">
        <v>14</v>
      </c>
      <c r="I426">
        <v>1</v>
      </c>
      <c r="J426">
        <v>25</v>
      </c>
      <c r="K426">
        <v>25</v>
      </c>
      <c r="N426" s="11" t="s">
        <v>330</v>
      </c>
      <c r="O426" s="11" t="s">
        <v>16</v>
      </c>
      <c r="P426" s="11">
        <f>K424/J424</f>
        <v>3</v>
      </c>
      <c r="Q426" s="11">
        <v>90</v>
      </c>
      <c r="R426" s="11">
        <v>90</v>
      </c>
    </row>
    <row r="427" spans="2:18" x14ac:dyDescent="0.35">
      <c r="B427">
        <v>424</v>
      </c>
      <c r="C427" s="1">
        <v>45253</v>
      </c>
      <c r="D427" t="s">
        <v>437</v>
      </c>
      <c r="E427" t="s">
        <v>10</v>
      </c>
      <c r="F427">
        <v>57</v>
      </c>
      <c r="G427" t="str">
        <f>IF(Table14[[#This Row],[Age]]&lt;=25,"Young",IF(Table14[[#This Row],[Age]]&gt;55,"Old",IF(Table14[[#This Row],[Age]]&gt;25,"Middle","Na")))</f>
        <v>Old</v>
      </c>
      <c r="H427" t="s">
        <v>11</v>
      </c>
      <c r="I427">
        <v>4</v>
      </c>
      <c r="J427">
        <v>300</v>
      </c>
      <c r="K427">
        <v>1200</v>
      </c>
      <c r="N427" s="11" t="s">
        <v>364</v>
      </c>
      <c r="O427" s="11" t="s">
        <v>14</v>
      </c>
      <c r="P427" s="11">
        <f>K425/J425</f>
        <v>3</v>
      </c>
      <c r="Q427" s="11">
        <v>90</v>
      </c>
      <c r="R427" s="11">
        <v>90</v>
      </c>
    </row>
    <row r="428" spans="2:18" x14ac:dyDescent="0.35">
      <c r="B428">
        <v>425</v>
      </c>
      <c r="C428" s="1">
        <v>45061</v>
      </c>
      <c r="D428" t="s">
        <v>438</v>
      </c>
      <c r="E428" t="s">
        <v>13</v>
      </c>
      <c r="F428">
        <v>55</v>
      </c>
      <c r="G428" t="str">
        <f>IF(Table14[[#This Row],[Age]]&lt;=25,"Young",IF(Table14[[#This Row],[Age]]&gt;55,"Old",IF(Table14[[#This Row],[Age]]&gt;25,"Middle","Na")))</f>
        <v>Middle</v>
      </c>
      <c r="H428" t="s">
        <v>16</v>
      </c>
      <c r="I428">
        <v>4</v>
      </c>
      <c r="J428">
        <v>30</v>
      </c>
      <c r="K428">
        <v>120</v>
      </c>
      <c r="N428" s="11" t="s">
        <v>435</v>
      </c>
      <c r="O428" s="11" t="s">
        <v>14</v>
      </c>
      <c r="P428" s="11">
        <f>K426/J426</f>
        <v>1</v>
      </c>
      <c r="Q428" s="11">
        <v>90</v>
      </c>
      <c r="R428" s="11">
        <v>90</v>
      </c>
    </row>
    <row r="429" spans="2:18" x14ac:dyDescent="0.35">
      <c r="B429">
        <v>426</v>
      </c>
      <c r="C429" s="1">
        <v>45009</v>
      </c>
      <c r="D429" t="s">
        <v>439</v>
      </c>
      <c r="E429" t="s">
        <v>10</v>
      </c>
      <c r="F429">
        <v>23</v>
      </c>
      <c r="G429" t="str">
        <f>IF(Table14[[#This Row],[Age]]&lt;=25,"Young",IF(Table14[[#This Row],[Age]]&gt;55,"Old",IF(Table14[[#This Row],[Age]]&gt;25,"Middle","Na")))</f>
        <v>Young</v>
      </c>
      <c r="H429" t="s">
        <v>16</v>
      </c>
      <c r="I429">
        <v>3</v>
      </c>
      <c r="J429">
        <v>50</v>
      </c>
      <c r="K429">
        <v>150</v>
      </c>
      <c r="N429" s="11" t="s">
        <v>548</v>
      </c>
      <c r="O429" s="11" t="s">
        <v>11</v>
      </c>
      <c r="P429" s="11">
        <f>K427/J427</f>
        <v>4</v>
      </c>
      <c r="Q429" s="11">
        <v>90</v>
      </c>
      <c r="R429" s="11">
        <v>90</v>
      </c>
    </row>
    <row r="430" spans="2:18" x14ac:dyDescent="0.35">
      <c r="B430">
        <v>427</v>
      </c>
      <c r="C430" s="1">
        <v>45153</v>
      </c>
      <c r="D430" t="s">
        <v>440</v>
      </c>
      <c r="E430" t="s">
        <v>10</v>
      </c>
      <c r="F430">
        <v>25</v>
      </c>
      <c r="G430" t="str">
        <f>IF(Table14[[#This Row],[Age]]&lt;=25,"Young",IF(Table14[[#This Row],[Age]]&gt;55,"Old",IF(Table14[[#This Row],[Age]]&gt;25,"Middle","Na")))</f>
        <v>Young</v>
      </c>
      <c r="H430" t="s">
        <v>16</v>
      </c>
      <c r="I430">
        <v>1</v>
      </c>
      <c r="J430">
        <v>25</v>
      </c>
      <c r="K430">
        <v>25</v>
      </c>
      <c r="N430" s="11" t="s">
        <v>626</v>
      </c>
      <c r="O430" s="11" t="s">
        <v>14</v>
      </c>
      <c r="P430" s="11">
        <f>K428/J428</f>
        <v>4</v>
      </c>
      <c r="Q430" s="11">
        <v>90</v>
      </c>
      <c r="R430" s="11">
        <v>90</v>
      </c>
    </row>
    <row r="431" spans="2:18" x14ac:dyDescent="0.35">
      <c r="B431">
        <v>428</v>
      </c>
      <c r="C431" s="1">
        <v>45209</v>
      </c>
      <c r="D431" t="s">
        <v>441</v>
      </c>
      <c r="E431" t="s">
        <v>13</v>
      </c>
      <c r="F431">
        <v>40</v>
      </c>
      <c r="G431" t="str">
        <f>IF(Table14[[#This Row],[Age]]&lt;=25,"Young",IF(Table14[[#This Row],[Age]]&gt;55,"Old",IF(Table14[[#This Row],[Age]]&gt;25,"Middle","Na")))</f>
        <v>Middle</v>
      </c>
      <c r="H431" t="s">
        <v>16</v>
      </c>
      <c r="I431">
        <v>4</v>
      </c>
      <c r="J431">
        <v>50</v>
      </c>
      <c r="K431">
        <v>200</v>
      </c>
      <c r="N431" s="11" t="s">
        <v>644</v>
      </c>
      <c r="O431" s="11" t="s">
        <v>16</v>
      </c>
      <c r="P431" s="11">
        <f>K429/J429</f>
        <v>3</v>
      </c>
      <c r="Q431" s="11">
        <v>90</v>
      </c>
      <c r="R431" s="11">
        <v>90</v>
      </c>
    </row>
    <row r="432" spans="2:18" x14ac:dyDescent="0.35">
      <c r="B432">
        <v>429</v>
      </c>
      <c r="C432" s="1">
        <v>45288</v>
      </c>
      <c r="D432" t="s">
        <v>442</v>
      </c>
      <c r="E432" t="s">
        <v>10</v>
      </c>
      <c r="F432">
        <v>64</v>
      </c>
      <c r="G432" t="str">
        <f>IF(Table14[[#This Row],[Age]]&lt;=25,"Young",IF(Table14[[#This Row],[Age]]&gt;55,"Old",IF(Table14[[#This Row],[Age]]&gt;25,"Middle","Na")))</f>
        <v>Old</v>
      </c>
      <c r="H432" t="s">
        <v>16</v>
      </c>
      <c r="I432">
        <v>2</v>
      </c>
      <c r="J432">
        <v>25</v>
      </c>
      <c r="K432">
        <v>50</v>
      </c>
      <c r="N432" s="11" t="s">
        <v>656</v>
      </c>
      <c r="O432" s="11" t="s">
        <v>16</v>
      </c>
      <c r="P432" s="11">
        <f>K430/J430</f>
        <v>1</v>
      </c>
      <c r="Q432" s="11">
        <v>90</v>
      </c>
      <c r="R432" s="11">
        <v>90</v>
      </c>
    </row>
    <row r="433" spans="2:18" x14ac:dyDescent="0.35">
      <c r="B433">
        <v>430</v>
      </c>
      <c r="C433" s="1">
        <v>45145</v>
      </c>
      <c r="D433" t="s">
        <v>443</v>
      </c>
      <c r="E433" t="s">
        <v>13</v>
      </c>
      <c r="F433">
        <v>43</v>
      </c>
      <c r="G433" t="str">
        <f>IF(Table14[[#This Row],[Age]]&lt;=25,"Young",IF(Table14[[#This Row],[Age]]&gt;55,"Old",IF(Table14[[#This Row],[Age]]&gt;25,"Middle","Na")))</f>
        <v>Middle</v>
      </c>
      <c r="H433" t="s">
        <v>16</v>
      </c>
      <c r="I433">
        <v>3</v>
      </c>
      <c r="J433">
        <v>300</v>
      </c>
      <c r="K433">
        <v>900</v>
      </c>
      <c r="N433" s="11" t="s">
        <v>659</v>
      </c>
      <c r="O433" s="11" t="s">
        <v>14</v>
      </c>
      <c r="P433" s="11">
        <f>K431/J431</f>
        <v>4</v>
      </c>
      <c r="Q433" s="11">
        <v>90</v>
      </c>
      <c r="R433" s="11">
        <v>90</v>
      </c>
    </row>
    <row r="434" spans="2:18" x14ac:dyDescent="0.35">
      <c r="B434">
        <v>431</v>
      </c>
      <c r="C434" s="1">
        <v>45214</v>
      </c>
      <c r="D434" t="s">
        <v>444</v>
      </c>
      <c r="E434" t="s">
        <v>10</v>
      </c>
      <c r="F434">
        <v>63</v>
      </c>
      <c r="G434" t="str">
        <f>IF(Table14[[#This Row],[Age]]&lt;=25,"Young",IF(Table14[[#This Row],[Age]]&gt;55,"Old",IF(Table14[[#This Row],[Age]]&gt;25,"Middle","Na")))</f>
        <v>Old</v>
      </c>
      <c r="H434" t="s">
        <v>16</v>
      </c>
      <c r="I434">
        <v>4</v>
      </c>
      <c r="J434">
        <v>300</v>
      </c>
      <c r="K434">
        <v>1200</v>
      </c>
      <c r="N434" s="11" t="s">
        <v>669</v>
      </c>
      <c r="O434" s="11" t="s">
        <v>11</v>
      </c>
      <c r="P434" s="11">
        <f>K432/J432</f>
        <v>2</v>
      </c>
      <c r="Q434" s="11">
        <v>90</v>
      </c>
      <c r="R434" s="11">
        <v>90</v>
      </c>
    </row>
    <row r="435" spans="2:18" x14ac:dyDescent="0.35">
      <c r="B435">
        <v>432</v>
      </c>
      <c r="C435" s="1">
        <v>44931</v>
      </c>
      <c r="D435" t="s">
        <v>445</v>
      </c>
      <c r="E435" t="s">
        <v>13</v>
      </c>
      <c r="F435">
        <v>60</v>
      </c>
      <c r="G435" t="str">
        <f>IF(Table14[[#This Row],[Age]]&lt;=25,"Young",IF(Table14[[#This Row],[Age]]&gt;55,"Old",IF(Table14[[#This Row],[Age]]&gt;25,"Middle","Na")))</f>
        <v>Old</v>
      </c>
      <c r="H435" t="s">
        <v>16</v>
      </c>
      <c r="I435">
        <v>2</v>
      </c>
      <c r="J435">
        <v>500</v>
      </c>
      <c r="K435">
        <v>1000</v>
      </c>
      <c r="N435" s="11" t="s">
        <v>926</v>
      </c>
      <c r="O435" s="11" t="s">
        <v>16</v>
      </c>
      <c r="P435" s="11">
        <f>K433/J433</f>
        <v>3</v>
      </c>
      <c r="Q435" s="11">
        <v>90</v>
      </c>
      <c r="R435" s="11">
        <v>90</v>
      </c>
    </row>
    <row r="436" spans="2:18" x14ac:dyDescent="0.35">
      <c r="B436">
        <v>433</v>
      </c>
      <c r="C436" s="1">
        <v>44984</v>
      </c>
      <c r="D436" t="s">
        <v>446</v>
      </c>
      <c r="E436" t="s">
        <v>10</v>
      </c>
      <c r="F436">
        <v>29</v>
      </c>
      <c r="G436" t="str">
        <f>IF(Table14[[#This Row],[Age]]&lt;=25,"Young",IF(Table14[[#This Row],[Age]]&gt;55,"Old",IF(Table14[[#This Row],[Age]]&gt;25,"Middle","Na")))</f>
        <v>Middle</v>
      </c>
      <c r="H436" t="s">
        <v>11</v>
      </c>
      <c r="I436">
        <v>4</v>
      </c>
      <c r="J436">
        <v>50</v>
      </c>
      <c r="K436">
        <v>200</v>
      </c>
      <c r="N436" s="11" t="s">
        <v>928</v>
      </c>
      <c r="O436" s="11" t="s">
        <v>11</v>
      </c>
      <c r="P436" s="11">
        <f>K434/J434</f>
        <v>4</v>
      </c>
      <c r="Q436" s="11">
        <v>90</v>
      </c>
      <c r="R436" s="11">
        <v>90</v>
      </c>
    </row>
    <row r="437" spans="2:18" x14ac:dyDescent="0.35">
      <c r="B437">
        <v>434</v>
      </c>
      <c r="C437" s="1">
        <v>44965</v>
      </c>
      <c r="D437" t="s">
        <v>447</v>
      </c>
      <c r="E437" t="s">
        <v>13</v>
      </c>
      <c r="F437">
        <v>43</v>
      </c>
      <c r="G437" t="str">
        <f>IF(Table14[[#This Row],[Age]]&lt;=25,"Young",IF(Table14[[#This Row],[Age]]&gt;55,"Old",IF(Table14[[#This Row],[Age]]&gt;25,"Middle","Na")))</f>
        <v>Middle</v>
      </c>
      <c r="H437" t="s">
        <v>16</v>
      </c>
      <c r="I437">
        <v>2</v>
      </c>
      <c r="J437">
        <v>25</v>
      </c>
      <c r="K437">
        <v>50</v>
      </c>
      <c r="N437" s="11" t="s">
        <v>966</v>
      </c>
      <c r="O437" s="11" t="s">
        <v>11</v>
      </c>
      <c r="P437" s="11">
        <f>K435/J435</f>
        <v>2</v>
      </c>
      <c r="Q437" s="11">
        <v>90</v>
      </c>
      <c r="R437" s="11">
        <v>90</v>
      </c>
    </row>
    <row r="438" spans="2:18" x14ac:dyDescent="0.35">
      <c r="B438">
        <v>435</v>
      </c>
      <c r="C438" s="1">
        <v>45280</v>
      </c>
      <c r="D438" t="s">
        <v>448</v>
      </c>
      <c r="E438" t="s">
        <v>13</v>
      </c>
      <c r="F438">
        <v>30</v>
      </c>
      <c r="G438" t="str">
        <f>IF(Table14[[#This Row],[Age]]&lt;=25,"Young",IF(Table14[[#This Row],[Age]]&gt;55,"Old",IF(Table14[[#This Row],[Age]]&gt;25,"Middle","Na")))</f>
        <v>Middle</v>
      </c>
      <c r="H438" t="s">
        <v>11</v>
      </c>
      <c r="I438">
        <v>3</v>
      </c>
      <c r="J438">
        <v>300</v>
      </c>
      <c r="K438">
        <v>900</v>
      </c>
      <c r="N438" s="11" t="s">
        <v>1010</v>
      </c>
      <c r="O438" s="11" t="s">
        <v>11</v>
      </c>
      <c r="P438" s="11">
        <f>K436/J436</f>
        <v>4</v>
      </c>
      <c r="Q438" s="11">
        <v>90</v>
      </c>
      <c r="R438" s="11">
        <v>90</v>
      </c>
    </row>
    <row r="439" spans="2:18" x14ac:dyDescent="0.35">
      <c r="B439">
        <v>436</v>
      </c>
      <c r="C439" s="1">
        <v>45003</v>
      </c>
      <c r="D439" t="s">
        <v>449</v>
      </c>
      <c r="E439" t="s">
        <v>13</v>
      </c>
      <c r="F439">
        <v>57</v>
      </c>
      <c r="G439" t="str">
        <f>IF(Table14[[#This Row],[Age]]&lt;=25,"Young",IF(Table14[[#This Row],[Age]]&gt;55,"Old",IF(Table14[[#This Row],[Age]]&gt;25,"Middle","Na")))</f>
        <v>Old</v>
      </c>
      <c r="H439" t="s">
        <v>14</v>
      </c>
      <c r="I439">
        <v>4</v>
      </c>
      <c r="J439">
        <v>30</v>
      </c>
      <c r="K439">
        <v>120</v>
      </c>
      <c r="N439" s="11" t="s">
        <v>201</v>
      </c>
      <c r="O439" s="11" t="s">
        <v>14</v>
      </c>
      <c r="P439" s="11">
        <f>K437/J437</f>
        <v>2</v>
      </c>
      <c r="Q439" s="11">
        <v>75</v>
      </c>
      <c r="R439" s="11">
        <v>75</v>
      </c>
    </row>
    <row r="440" spans="2:18" x14ac:dyDescent="0.35">
      <c r="B440">
        <v>437</v>
      </c>
      <c r="C440" s="1">
        <v>45206</v>
      </c>
      <c r="D440" t="s">
        <v>450</v>
      </c>
      <c r="E440" t="s">
        <v>13</v>
      </c>
      <c r="F440">
        <v>35</v>
      </c>
      <c r="G440" t="str">
        <f>IF(Table14[[#This Row],[Age]]&lt;=25,"Young",IF(Table14[[#This Row],[Age]]&gt;55,"Old",IF(Table14[[#This Row],[Age]]&gt;25,"Middle","Na")))</f>
        <v>Middle</v>
      </c>
      <c r="H440" t="s">
        <v>16</v>
      </c>
      <c r="I440">
        <v>4</v>
      </c>
      <c r="J440">
        <v>300</v>
      </c>
      <c r="K440">
        <v>1200</v>
      </c>
      <c r="N440" s="11" t="s">
        <v>370</v>
      </c>
      <c r="O440" s="11" t="s">
        <v>16</v>
      </c>
      <c r="P440" s="11">
        <f>K438/J438</f>
        <v>3</v>
      </c>
      <c r="Q440" s="11">
        <v>75</v>
      </c>
      <c r="R440" s="11">
        <v>75</v>
      </c>
    </row>
    <row r="441" spans="2:18" x14ac:dyDescent="0.35">
      <c r="B441">
        <v>438</v>
      </c>
      <c r="C441" s="1">
        <v>44945</v>
      </c>
      <c r="D441" t="s">
        <v>451</v>
      </c>
      <c r="E441" t="s">
        <v>13</v>
      </c>
      <c r="F441">
        <v>42</v>
      </c>
      <c r="G441" t="str">
        <f>IF(Table14[[#This Row],[Age]]&lt;=25,"Young",IF(Table14[[#This Row],[Age]]&gt;55,"Old",IF(Table14[[#This Row],[Age]]&gt;25,"Middle","Na")))</f>
        <v>Middle</v>
      </c>
      <c r="H441" t="s">
        <v>14</v>
      </c>
      <c r="I441">
        <v>1</v>
      </c>
      <c r="J441">
        <v>30</v>
      </c>
      <c r="K441">
        <v>30</v>
      </c>
      <c r="N441" s="11" t="s">
        <v>426</v>
      </c>
      <c r="O441" s="11" t="s">
        <v>11</v>
      </c>
      <c r="P441" s="11">
        <f>K439/J439</f>
        <v>4</v>
      </c>
      <c r="Q441" s="11">
        <v>75</v>
      </c>
      <c r="R441" s="11">
        <v>75</v>
      </c>
    </row>
    <row r="442" spans="2:18" x14ac:dyDescent="0.35">
      <c r="B442">
        <v>439</v>
      </c>
      <c r="C442" s="1">
        <v>45116</v>
      </c>
      <c r="D442" t="s">
        <v>452</v>
      </c>
      <c r="E442" t="s">
        <v>10</v>
      </c>
      <c r="F442">
        <v>50</v>
      </c>
      <c r="G442" t="str">
        <f>IF(Table14[[#This Row],[Age]]&lt;=25,"Young",IF(Table14[[#This Row],[Age]]&gt;55,"Old",IF(Table14[[#This Row],[Age]]&gt;25,"Middle","Na")))</f>
        <v>Middle</v>
      </c>
      <c r="H442" t="s">
        <v>14</v>
      </c>
      <c r="I442">
        <v>3</v>
      </c>
      <c r="J442">
        <v>25</v>
      </c>
      <c r="K442">
        <v>75</v>
      </c>
      <c r="N442" s="11" t="s">
        <v>452</v>
      </c>
      <c r="O442" s="11" t="s">
        <v>14</v>
      </c>
      <c r="P442" s="11">
        <f>K440/J440</f>
        <v>4</v>
      </c>
      <c r="Q442" s="11">
        <v>75</v>
      </c>
      <c r="R442" s="11">
        <v>75</v>
      </c>
    </row>
    <row r="443" spans="2:18" x14ac:dyDescent="0.35">
      <c r="B443">
        <v>440</v>
      </c>
      <c r="C443" s="1">
        <v>45225</v>
      </c>
      <c r="D443" t="s">
        <v>453</v>
      </c>
      <c r="E443" t="s">
        <v>10</v>
      </c>
      <c r="F443">
        <v>64</v>
      </c>
      <c r="G443" t="str">
        <f>IF(Table14[[#This Row],[Age]]&lt;=25,"Young",IF(Table14[[#This Row],[Age]]&gt;55,"Old",IF(Table14[[#This Row],[Age]]&gt;25,"Middle","Na")))</f>
        <v>Old</v>
      </c>
      <c r="H443" t="s">
        <v>14</v>
      </c>
      <c r="I443">
        <v>2</v>
      </c>
      <c r="J443">
        <v>300</v>
      </c>
      <c r="K443">
        <v>600</v>
      </c>
      <c r="N443" s="11" t="s">
        <v>488</v>
      </c>
      <c r="O443" s="11" t="s">
        <v>14</v>
      </c>
      <c r="P443" s="11">
        <f>K441/J441</f>
        <v>1</v>
      </c>
      <c r="Q443" s="11">
        <v>75</v>
      </c>
      <c r="R443" s="11">
        <v>75</v>
      </c>
    </row>
    <row r="444" spans="2:18" x14ac:dyDescent="0.35">
      <c r="B444">
        <v>441</v>
      </c>
      <c r="C444" s="1">
        <v>45209</v>
      </c>
      <c r="D444" t="s">
        <v>454</v>
      </c>
      <c r="E444" t="s">
        <v>10</v>
      </c>
      <c r="F444">
        <v>57</v>
      </c>
      <c r="G444" t="str">
        <f>IF(Table14[[#This Row],[Age]]&lt;=25,"Young",IF(Table14[[#This Row],[Age]]&gt;55,"Old",IF(Table14[[#This Row],[Age]]&gt;25,"Middle","Na")))</f>
        <v>Old</v>
      </c>
      <c r="H444" t="s">
        <v>11</v>
      </c>
      <c r="I444">
        <v>4</v>
      </c>
      <c r="J444">
        <v>300</v>
      </c>
      <c r="K444">
        <v>1200</v>
      </c>
      <c r="N444" s="11" t="s">
        <v>657</v>
      </c>
      <c r="O444" s="11" t="s">
        <v>11</v>
      </c>
      <c r="P444" s="11">
        <f>K442/J442</f>
        <v>3</v>
      </c>
      <c r="Q444" s="11">
        <v>75</v>
      </c>
      <c r="R444" s="11">
        <v>75</v>
      </c>
    </row>
    <row r="445" spans="2:18" x14ac:dyDescent="0.35">
      <c r="B445">
        <v>442</v>
      </c>
      <c r="C445" s="1">
        <v>45002</v>
      </c>
      <c r="D445" t="s">
        <v>455</v>
      </c>
      <c r="E445" t="s">
        <v>13</v>
      </c>
      <c r="F445">
        <v>60</v>
      </c>
      <c r="G445" t="str">
        <f>IF(Table14[[#This Row],[Age]]&lt;=25,"Young",IF(Table14[[#This Row],[Age]]&gt;55,"Old",IF(Table14[[#This Row],[Age]]&gt;25,"Middle","Na")))</f>
        <v>Old</v>
      </c>
      <c r="H445" t="s">
        <v>14</v>
      </c>
      <c r="I445">
        <v>4</v>
      </c>
      <c r="J445">
        <v>25</v>
      </c>
      <c r="K445">
        <v>100</v>
      </c>
      <c r="N445" s="11" t="s">
        <v>667</v>
      </c>
      <c r="O445" s="11" t="s">
        <v>14</v>
      </c>
      <c r="P445" s="11">
        <f>K443/J443</f>
        <v>2</v>
      </c>
      <c r="Q445" s="11">
        <v>75</v>
      </c>
      <c r="R445" s="11">
        <v>75</v>
      </c>
    </row>
    <row r="446" spans="2:18" x14ac:dyDescent="0.35">
      <c r="B446">
        <v>443</v>
      </c>
      <c r="C446" s="1">
        <v>45147</v>
      </c>
      <c r="D446" t="s">
        <v>456</v>
      </c>
      <c r="E446" t="s">
        <v>10</v>
      </c>
      <c r="F446">
        <v>29</v>
      </c>
      <c r="G446" t="str">
        <f>IF(Table14[[#This Row],[Age]]&lt;=25,"Young",IF(Table14[[#This Row],[Age]]&gt;55,"Old",IF(Table14[[#This Row],[Age]]&gt;25,"Middle","Na")))</f>
        <v>Middle</v>
      </c>
      <c r="H446" t="s">
        <v>14</v>
      </c>
      <c r="I446">
        <v>2</v>
      </c>
      <c r="J446">
        <v>300</v>
      </c>
      <c r="K446">
        <v>600</v>
      </c>
      <c r="N446" s="11" t="s">
        <v>731</v>
      </c>
      <c r="O446" s="11" t="s">
        <v>11</v>
      </c>
      <c r="P446" s="11">
        <f>K444/J444</f>
        <v>4</v>
      </c>
      <c r="Q446" s="11">
        <v>75</v>
      </c>
      <c r="R446" s="11">
        <v>75</v>
      </c>
    </row>
    <row r="447" spans="2:18" x14ac:dyDescent="0.35">
      <c r="B447">
        <v>444</v>
      </c>
      <c r="C447" s="1">
        <v>44992</v>
      </c>
      <c r="D447" t="s">
        <v>457</v>
      </c>
      <c r="E447" t="s">
        <v>13</v>
      </c>
      <c r="F447">
        <v>61</v>
      </c>
      <c r="G447" t="str">
        <f>IF(Table14[[#This Row],[Age]]&lt;=25,"Young",IF(Table14[[#This Row],[Age]]&gt;55,"Old",IF(Table14[[#This Row],[Age]]&gt;25,"Middle","Na")))</f>
        <v>Old</v>
      </c>
      <c r="H447" t="s">
        <v>14</v>
      </c>
      <c r="I447">
        <v>3</v>
      </c>
      <c r="J447">
        <v>30</v>
      </c>
      <c r="K447">
        <v>90</v>
      </c>
      <c r="N447" s="11" t="s">
        <v>768</v>
      </c>
      <c r="O447" s="11" t="s">
        <v>14</v>
      </c>
      <c r="P447" s="11">
        <f>K445/J445</f>
        <v>4</v>
      </c>
      <c r="Q447" s="11">
        <v>75</v>
      </c>
      <c r="R447" s="11">
        <v>75</v>
      </c>
    </row>
    <row r="448" spans="2:18" x14ac:dyDescent="0.35">
      <c r="B448">
        <v>445</v>
      </c>
      <c r="C448" s="1">
        <v>44948</v>
      </c>
      <c r="D448" t="s">
        <v>458</v>
      </c>
      <c r="E448" t="s">
        <v>13</v>
      </c>
      <c r="F448">
        <v>53</v>
      </c>
      <c r="G448" t="str">
        <f>IF(Table14[[#This Row],[Age]]&lt;=25,"Young",IF(Table14[[#This Row],[Age]]&gt;55,"Old",IF(Table14[[#This Row],[Age]]&gt;25,"Middle","Na")))</f>
        <v>Middle</v>
      </c>
      <c r="H448" t="s">
        <v>16</v>
      </c>
      <c r="I448">
        <v>1</v>
      </c>
      <c r="J448">
        <v>300</v>
      </c>
      <c r="K448">
        <v>300</v>
      </c>
      <c r="N448" s="11" t="s">
        <v>810</v>
      </c>
      <c r="O448" s="11" t="s">
        <v>14</v>
      </c>
      <c r="P448" s="11">
        <f>K446/J446</f>
        <v>2</v>
      </c>
      <c r="Q448" s="11">
        <v>75</v>
      </c>
      <c r="R448" s="11">
        <v>75</v>
      </c>
    </row>
    <row r="449" spans="2:18" x14ac:dyDescent="0.35">
      <c r="B449">
        <v>446</v>
      </c>
      <c r="C449" s="1">
        <v>45084</v>
      </c>
      <c r="D449" t="s">
        <v>459</v>
      </c>
      <c r="E449" t="s">
        <v>10</v>
      </c>
      <c r="F449">
        <v>21</v>
      </c>
      <c r="G449" t="str">
        <f>IF(Table14[[#This Row],[Age]]&lt;=25,"Young",IF(Table14[[#This Row],[Age]]&gt;55,"Old",IF(Table14[[#This Row],[Age]]&gt;25,"Middle","Na")))</f>
        <v>Young</v>
      </c>
      <c r="H449" t="s">
        <v>16</v>
      </c>
      <c r="I449">
        <v>1</v>
      </c>
      <c r="J449">
        <v>50</v>
      </c>
      <c r="K449">
        <v>50</v>
      </c>
      <c r="N449" s="11" t="s">
        <v>825</v>
      </c>
      <c r="O449" s="11" t="s">
        <v>16</v>
      </c>
      <c r="P449" s="11">
        <f>K447/J447</f>
        <v>3</v>
      </c>
      <c r="Q449" s="11">
        <v>75</v>
      </c>
      <c r="R449" s="11">
        <v>75</v>
      </c>
    </row>
    <row r="450" spans="2:18" x14ac:dyDescent="0.35">
      <c r="B450">
        <v>447</v>
      </c>
      <c r="C450" s="1">
        <v>45113</v>
      </c>
      <c r="D450" t="s">
        <v>460</v>
      </c>
      <c r="E450" t="s">
        <v>10</v>
      </c>
      <c r="F450">
        <v>22</v>
      </c>
      <c r="G450" t="str">
        <f>IF(Table14[[#This Row],[Age]]&lt;=25,"Young",IF(Table14[[#This Row],[Age]]&gt;55,"Old",IF(Table14[[#This Row],[Age]]&gt;25,"Middle","Na")))</f>
        <v>Young</v>
      </c>
      <c r="H450" t="s">
        <v>11</v>
      </c>
      <c r="I450">
        <v>4</v>
      </c>
      <c r="J450">
        <v>500</v>
      </c>
      <c r="K450">
        <v>2000</v>
      </c>
      <c r="N450" s="11" t="s">
        <v>241</v>
      </c>
      <c r="O450" s="11" t="s">
        <v>16</v>
      </c>
      <c r="P450" s="11">
        <f>K448/J448</f>
        <v>1</v>
      </c>
      <c r="Q450" s="11">
        <v>60</v>
      </c>
      <c r="R450" s="11">
        <v>60</v>
      </c>
    </row>
    <row r="451" spans="2:18" x14ac:dyDescent="0.35">
      <c r="B451">
        <v>448</v>
      </c>
      <c r="C451" s="1">
        <v>44947</v>
      </c>
      <c r="D451" t="s">
        <v>461</v>
      </c>
      <c r="E451" t="s">
        <v>13</v>
      </c>
      <c r="F451">
        <v>54</v>
      </c>
      <c r="G451" t="str">
        <f>IF(Table14[[#This Row],[Age]]&lt;=25,"Young",IF(Table14[[#This Row],[Age]]&gt;55,"Old",IF(Table14[[#This Row],[Age]]&gt;25,"Middle","Na")))</f>
        <v>Middle</v>
      </c>
      <c r="H451" t="s">
        <v>11</v>
      </c>
      <c r="I451">
        <v>2</v>
      </c>
      <c r="J451">
        <v>30</v>
      </c>
      <c r="K451">
        <v>60</v>
      </c>
      <c r="N451" s="11" t="s">
        <v>273</v>
      </c>
      <c r="O451" s="11" t="s">
        <v>11</v>
      </c>
      <c r="P451" s="11">
        <f>K449/J449</f>
        <v>1</v>
      </c>
      <c r="Q451" s="11">
        <v>60</v>
      </c>
      <c r="R451" s="11">
        <v>60</v>
      </c>
    </row>
    <row r="452" spans="2:18" x14ac:dyDescent="0.35">
      <c r="B452">
        <v>449</v>
      </c>
      <c r="C452" s="1">
        <v>45110</v>
      </c>
      <c r="D452" t="s">
        <v>462</v>
      </c>
      <c r="E452" t="s">
        <v>10</v>
      </c>
      <c r="F452">
        <v>25</v>
      </c>
      <c r="G452" t="str">
        <f>IF(Table14[[#This Row],[Age]]&lt;=25,"Young",IF(Table14[[#This Row],[Age]]&gt;55,"Old",IF(Table14[[#This Row],[Age]]&gt;25,"Middle","Na")))</f>
        <v>Young</v>
      </c>
      <c r="H452" t="s">
        <v>16</v>
      </c>
      <c r="I452">
        <v>4</v>
      </c>
      <c r="J452">
        <v>50</v>
      </c>
      <c r="K452">
        <v>200</v>
      </c>
      <c r="N452" s="11" t="s">
        <v>279</v>
      </c>
      <c r="O452" s="11" t="s">
        <v>16</v>
      </c>
      <c r="P452" s="11">
        <f>K450/J450</f>
        <v>4</v>
      </c>
      <c r="Q452" s="11">
        <v>60</v>
      </c>
      <c r="R452" s="11">
        <v>60</v>
      </c>
    </row>
    <row r="453" spans="2:18" x14ac:dyDescent="0.35">
      <c r="B453">
        <v>450</v>
      </c>
      <c r="C453" s="1">
        <v>45034</v>
      </c>
      <c r="D453" t="s">
        <v>463</v>
      </c>
      <c r="E453" t="s">
        <v>13</v>
      </c>
      <c r="F453">
        <v>59</v>
      </c>
      <c r="G453" t="str">
        <f>IF(Table14[[#This Row],[Age]]&lt;=25,"Young",IF(Table14[[#This Row],[Age]]&gt;55,"Old",IF(Table14[[#This Row],[Age]]&gt;25,"Middle","Na")))</f>
        <v>Old</v>
      </c>
      <c r="H453" t="s">
        <v>11</v>
      </c>
      <c r="I453">
        <v>2</v>
      </c>
      <c r="J453">
        <v>25</v>
      </c>
      <c r="K453">
        <v>50</v>
      </c>
      <c r="N453" s="11" t="s">
        <v>412</v>
      </c>
      <c r="O453" s="11" t="s">
        <v>11</v>
      </c>
      <c r="P453" s="11">
        <f>K451/J451</f>
        <v>2</v>
      </c>
      <c r="Q453" s="11">
        <v>60</v>
      </c>
      <c r="R453" s="11">
        <v>60</v>
      </c>
    </row>
    <row r="454" spans="2:18" x14ac:dyDescent="0.35">
      <c r="B454">
        <v>451</v>
      </c>
      <c r="C454" s="1">
        <v>45276</v>
      </c>
      <c r="D454" t="s">
        <v>464</v>
      </c>
      <c r="E454" t="s">
        <v>13</v>
      </c>
      <c r="F454">
        <v>45</v>
      </c>
      <c r="G454" t="str">
        <f>IF(Table14[[#This Row],[Age]]&lt;=25,"Young",IF(Table14[[#This Row],[Age]]&gt;55,"Old",IF(Table14[[#This Row],[Age]]&gt;25,"Middle","Na")))</f>
        <v>Middle</v>
      </c>
      <c r="H454" t="s">
        <v>16</v>
      </c>
      <c r="I454">
        <v>1</v>
      </c>
      <c r="J454">
        <v>30</v>
      </c>
      <c r="K454">
        <v>30</v>
      </c>
      <c r="N454" s="11" t="s">
        <v>578</v>
      </c>
      <c r="O454" s="11" t="s">
        <v>11</v>
      </c>
      <c r="P454" s="11">
        <f>K452/J452</f>
        <v>4</v>
      </c>
      <c r="Q454" s="11">
        <v>60</v>
      </c>
      <c r="R454" s="11">
        <v>60</v>
      </c>
    </row>
    <row r="455" spans="2:18" x14ac:dyDescent="0.35">
      <c r="B455">
        <v>452</v>
      </c>
      <c r="C455" s="1">
        <v>45054</v>
      </c>
      <c r="D455" t="s">
        <v>465</v>
      </c>
      <c r="E455" t="s">
        <v>13</v>
      </c>
      <c r="F455">
        <v>48</v>
      </c>
      <c r="G455" t="str">
        <f>IF(Table14[[#This Row],[Age]]&lt;=25,"Young",IF(Table14[[#This Row],[Age]]&gt;55,"Old",IF(Table14[[#This Row],[Age]]&gt;25,"Middle","Na")))</f>
        <v>Middle</v>
      </c>
      <c r="H455" t="s">
        <v>14</v>
      </c>
      <c r="I455">
        <v>3</v>
      </c>
      <c r="J455">
        <v>500</v>
      </c>
      <c r="K455">
        <v>1500</v>
      </c>
      <c r="N455" s="11" t="s">
        <v>586</v>
      </c>
      <c r="O455" s="11" t="s">
        <v>11</v>
      </c>
      <c r="P455" s="11">
        <f>K453/J453</f>
        <v>2</v>
      </c>
      <c r="Q455" s="11">
        <v>60</v>
      </c>
      <c r="R455" s="11">
        <v>60</v>
      </c>
    </row>
    <row r="456" spans="2:18" x14ac:dyDescent="0.35">
      <c r="B456">
        <v>453</v>
      </c>
      <c r="C456" s="1">
        <v>45268</v>
      </c>
      <c r="D456" t="s">
        <v>466</v>
      </c>
      <c r="E456" t="s">
        <v>13</v>
      </c>
      <c r="F456">
        <v>26</v>
      </c>
      <c r="G456" t="str">
        <f>IF(Table14[[#This Row],[Age]]&lt;=25,"Young",IF(Table14[[#This Row],[Age]]&gt;55,"Old",IF(Table14[[#This Row],[Age]]&gt;25,"Middle","Na")))</f>
        <v>Middle</v>
      </c>
      <c r="H456" t="s">
        <v>14</v>
      </c>
      <c r="I456">
        <v>2</v>
      </c>
      <c r="J456">
        <v>500</v>
      </c>
      <c r="K456">
        <v>1000</v>
      </c>
      <c r="N456" s="11" t="s">
        <v>594</v>
      </c>
      <c r="O456" s="11" t="s">
        <v>11</v>
      </c>
      <c r="P456" s="11">
        <f>K454/J454</f>
        <v>1</v>
      </c>
      <c r="Q456" s="11">
        <v>60</v>
      </c>
      <c r="R456" s="11">
        <v>60</v>
      </c>
    </row>
    <row r="457" spans="2:18" x14ac:dyDescent="0.35">
      <c r="B457">
        <v>454</v>
      </c>
      <c r="C457" s="1">
        <v>44979</v>
      </c>
      <c r="D457" t="s">
        <v>467</v>
      </c>
      <c r="E457" t="s">
        <v>13</v>
      </c>
      <c r="F457">
        <v>46</v>
      </c>
      <c r="G457" t="str">
        <f>IF(Table14[[#This Row],[Age]]&lt;=25,"Young",IF(Table14[[#This Row],[Age]]&gt;55,"Old",IF(Table14[[#This Row],[Age]]&gt;25,"Middle","Na")))</f>
        <v>Middle</v>
      </c>
      <c r="H457" t="s">
        <v>11</v>
      </c>
      <c r="I457">
        <v>1</v>
      </c>
      <c r="J457">
        <v>25</v>
      </c>
      <c r="K457">
        <v>25</v>
      </c>
      <c r="N457" s="11" t="s">
        <v>884</v>
      </c>
      <c r="O457" s="11" t="s">
        <v>11</v>
      </c>
      <c r="P457" s="11">
        <f>K455/J455</f>
        <v>3</v>
      </c>
      <c r="Q457" s="11">
        <v>60</v>
      </c>
      <c r="R457" s="11">
        <v>60</v>
      </c>
    </row>
    <row r="458" spans="2:18" x14ac:dyDescent="0.35">
      <c r="B458">
        <v>455</v>
      </c>
      <c r="C458" s="1">
        <v>45108</v>
      </c>
      <c r="D458" t="s">
        <v>468</v>
      </c>
      <c r="E458" t="s">
        <v>10</v>
      </c>
      <c r="F458">
        <v>31</v>
      </c>
      <c r="G458" t="str">
        <f>IF(Table14[[#This Row],[Age]]&lt;=25,"Young",IF(Table14[[#This Row],[Age]]&gt;55,"Old",IF(Table14[[#This Row],[Age]]&gt;25,"Middle","Na")))</f>
        <v>Middle</v>
      </c>
      <c r="H458" t="s">
        <v>16</v>
      </c>
      <c r="I458">
        <v>4</v>
      </c>
      <c r="J458">
        <v>25</v>
      </c>
      <c r="K458">
        <v>100</v>
      </c>
      <c r="N458" s="11" t="s">
        <v>897</v>
      </c>
      <c r="O458" s="11" t="s">
        <v>14</v>
      </c>
      <c r="P458" s="11">
        <f>K456/J456</f>
        <v>2</v>
      </c>
      <c r="Q458" s="11">
        <v>60</v>
      </c>
      <c r="R458" s="11">
        <v>60</v>
      </c>
    </row>
    <row r="459" spans="2:18" x14ac:dyDescent="0.35">
      <c r="B459">
        <v>456</v>
      </c>
      <c r="C459" s="1">
        <v>45213</v>
      </c>
      <c r="D459" t="s">
        <v>469</v>
      </c>
      <c r="E459" t="s">
        <v>10</v>
      </c>
      <c r="F459">
        <v>57</v>
      </c>
      <c r="G459" t="str">
        <f>IF(Table14[[#This Row],[Age]]&lt;=25,"Young",IF(Table14[[#This Row],[Age]]&gt;55,"Old",IF(Table14[[#This Row],[Age]]&gt;25,"Middle","Na")))</f>
        <v>Old</v>
      </c>
      <c r="H459" t="s">
        <v>16</v>
      </c>
      <c r="I459">
        <v>2</v>
      </c>
      <c r="J459">
        <v>30</v>
      </c>
      <c r="K459">
        <v>60</v>
      </c>
      <c r="N459" s="11" t="s">
        <v>994</v>
      </c>
      <c r="O459" s="11" t="s">
        <v>16</v>
      </c>
      <c r="P459" s="11">
        <f>K457/J457</f>
        <v>1</v>
      </c>
      <c r="Q459" s="11">
        <v>60</v>
      </c>
      <c r="R459" s="11">
        <v>60</v>
      </c>
    </row>
    <row r="460" spans="2:18" x14ac:dyDescent="0.35">
      <c r="B460">
        <v>457</v>
      </c>
      <c r="C460" s="1">
        <v>45135</v>
      </c>
      <c r="D460" t="s">
        <v>470</v>
      </c>
      <c r="E460" t="s">
        <v>13</v>
      </c>
      <c r="F460">
        <v>58</v>
      </c>
      <c r="G460" t="str">
        <f>IF(Table14[[#This Row],[Age]]&lt;=25,"Young",IF(Table14[[#This Row],[Age]]&gt;55,"Old",IF(Table14[[#This Row],[Age]]&gt;25,"Middle","Na")))</f>
        <v>Old</v>
      </c>
      <c r="H460" t="s">
        <v>11</v>
      </c>
      <c r="I460">
        <v>3</v>
      </c>
      <c r="J460">
        <v>300</v>
      </c>
      <c r="K460">
        <v>900</v>
      </c>
      <c r="N460" s="11" t="s">
        <v>54</v>
      </c>
      <c r="O460" s="11" t="s">
        <v>14</v>
      </c>
      <c r="P460" s="11">
        <f>K458/J458</f>
        <v>4</v>
      </c>
      <c r="Q460" s="11">
        <v>50</v>
      </c>
      <c r="R460" s="11">
        <v>50</v>
      </c>
    </row>
    <row r="461" spans="2:18" x14ac:dyDescent="0.35">
      <c r="B461">
        <v>458</v>
      </c>
      <c r="C461" s="1">
        <v>45244</v>
      </c>
      <c r="D461" t="s">
        <v>471</v>
      </c>
      <c r="E461" t="s">
        <v>13</v>
      </c>
      <c r="F461">
        <v>39</v>
      </c>
      <c r="G461" t="str">
        <f>IF(Table14[[#This Row],[Age]]&lt;=25,"Young",IF(Table14[[#This Row],[Age]]&gt;55,"Old",IF(Table14[[#This Row],[Age]]&gt;25,"Middle","Na")))</f>
        <v>Middle</v>
      </c>
      <c r="H461" t="s">
        <v>16</v>
      </c>
      <c r="I461">
        <v>4</v>
      </c>
      <c r="J461">
        <v>25</v>
      </c>
      <c r="K461">
        <v>100</v>
      </c>
      <c r="N461" s="11" t="s">
        <v>247</v>
      </c>
      <c r="O461" s="11" t="s">
        <v>16</v>
      </c>
      <c r="P461" s="11">
        <f>K459/J459</f>
        <v>2</v>
      </c>
      <c r="Q461" s="11">
        <v>50</v>
      </c>
      <c r="R461" s="11">
        <v>50</v>
      </c>
    </row>
    <row r="462" spans="2:18" x14ac:dyDescent="0.35">
      <c r="B462">
        <v>459</v>
      </c>
      <c r="C462" s="1">
        <v>45006</v>
      </c>
      <c r="D462" t="s">
        <v>472</v>
      </c>
      <c r="E462" t="s">
        <v>10</v>
      </c>
      <c r="F462">
        <v>28</v>
      </c>
      <c r="G462" t="str">
        <f>IF(Table14[[#This Row],[Age]]&lt;=25,"Young",IF(Table14[[#This Row],[Age]]&gt;55,"Old",IF(Table14[[#This Row],[Age]]&gt;25,"Middle","Na")))</f>
        <v>Middle</v>
      </c>
      <c r="H462" t="s">
        <v>14</v>
      </c>
      <c r="I462">
        <v>4</v>
      </c>
      <c r="J462">
        <v>300</v>
      </c>
      <c r="K462">
        <v>1200</v>
      </c>
      <c r="N462" s="11" t="s">
        <v>352</v>
      </c>
      <c r="O462" s="11" t="s">
        <v>16</v>
      </c>
      <c r="P462" s="11">
        <f>K460/J460</f>
        <v>3</v>
      </c>
      <c r="Q462" s="11">
        <v>50</v>
      </c>
      <c r="R462" s="11">
        <v>50</v>
      </c>
    </row>
    <row r="463" spans="2:18" x14ac:dyDescent="0.35">
      <c r="B463">
        <v>460</v>
      </c>
      <c r="C463" s="1">
        <v>45048</v>
      </c>
      <c r="D463" t="s">
        <v>473</v>
      </c>
      <c r="E463" t="s">
        <v>10</v>
      </c>
      <c r="F463">
        <v>40</v>
      </c>
      <c r="G463" t="str">
        <f>IF(Table14[[#This Row],[Age]]&lt;=25,"Young",IF(Table14[[#This Row],[Age]]&gt;55,"Old",IF(Table14[[#This Row],[Age]]&gt;25,"Middle","Na")))</f>
        <v>Middle</v>
      </c>
      <c r="H463" t="s">
        <v>11</v>
      </c>
      <c r="I463">
        <v>1</v>
      </c>
      <c r="J463">
        <v>50</v>
      </c>
      <c r="K463">
        <v>50</v>
      </c>
      <c r="N463" s="11" t="s">
        <v>356</v>
      </c>
      <c r="O463" s="11" t="s">
        <v>16</v>
      </c>
      <c r="P463" s="11">
        <f>K461/J461</f>
        <v>4</v>
      </c>
      <c r="Q463" s="11">
        <v>50</v>
      </c>
      <c r="R463" s="11">
        <v>50</v>
      </c>
    </row>
    <row r="464" spans="2:18" x14ac:dyDescent="0.35">
      <c r="B464">
        <v>461</v>
      </c>
      <c r="C464" s="1">
        <v>45010</v>
      </c>
      <c r="D464" t="s">
        <v>474</v>
      </c>
      <c r="E464" t="s">
        <v>13</v>
      </c>
      <c r="F464">
        <v>18</v>
      </c>
      <c r="G464" t="str">
        <f>IF(Table14[[#This Row],[Age]]&lt;=25,"Young",IF(Table14[[#This Row],[Age]]&gt;55,"Old",IF(Table14[[#This Row],[Age]]&gt;25,"Middle","Na")))</f>
        <v>Young</v>
      </c>
      <c r="H464" t="s">
        <v>11</v>
      </c>
      <c r="I464">
        <v>2</v>
      </c>
      <c r="J464">
        <v>500</v>
      </c>
      <c r="K464">
        <v>1000</v>
      </c>
      <c r="N464" s="11" t="s">
        <v>506</v>
      </c>
      <c r="O464" s="11" t="s">
        <v>11</v>
      </c>
      <c r="P464" s="11">
        <f>K462/J462</f>
        <v>4</v>
      </c>
      <c r="Q464" s="11">
        <v>50</v>
      </c>
      <c r="R464" s="11">
        <v>50</v>
      </c>
    </row>
    <row r="465" spans="2:18" x14ac:dyDescent="0.35">
      <c r="B465">
        <v>462</v>
      </c>
      <c r="C465" s="1">
        <v>45017</v>
      </c>
      <c r="D465" t="s">
        <v>475</v>
      </c>
      <c r="E465" t="s">
        <v>10</v>
      </c>
      <c r="F465">
        <v>63</v>
      </c>
      <c r="G465" t="str">
        <f>IF(Table14[[#This Row],[Age]]&lt;=25,"Young",IF(Table14[[#This Row],[Age]]&gt;55,"Old",IF(Table14[[#This Row],[Age]]&gt;25,"Middle","Na")))</f>
        <v>Old</v>
      </c>
      <c r="H465" t="s">
        <v>16</v>
      </c>
      <c r="I465">
        <v>4</v>
      </c>
      <c r="J465">
        <v>300</v>
      </c>
      <c r="K465">
        <v>1200</v>
      </c>
      <c r="N465" s="11" t="s">
        <v>538</v>
      </c>
      <c r="O465" s="11" t="s">
        <v>11</v>
      </c>
      <c r="P465" s="11">
        <f>K463/J463</f>
        <v>1</v>
      </c>
      <c r="Q465" s="11">
        <v>50</v>
      </c>
      <c r="R465" s="11">
        <v>50</v>
      </c>
    </row>
    <row r="466" spans="2:18" x14ac:dyDescent="0.35">
      <c r="B466">
        <v>463</v>
      </c>
      <c r="C466" s="1">
        <v>45138</v>
      </c>
      <c r="D466" t="s">
        <v>476</v>
      </c>
      <c r="E466" t="s">
        <v>13</v>
      </c>
      <c r="F466">
        <v>54</v>
      </c>
      <c r="G466" t="str">
        <f>IF(Table14[[#This Row],[Age]]&lt;=25,"Young",IF(Table14[[#This Row],[Age]]&gt;55,"Old",IF(Table14[[#This Row],[Age]]&gt;25,"Middle","Na")))</f>
        <v>Middle</v>
      </c>
      <c r="H466" t="s">
        <v>11</v>
      </c>
      <c r="I466">
        <v>3</v>
      </c>
      <c r="J466">
        <v>500</v>
      </c>
      <c r="K466">
        <v>1500</v>
      </c>
      <c r="N466" s="11" t="s">
        <v>558</v>
      </c>
      <c r="O466" s="11" t="s">
        <v>14</v>
      </c>
      <c r="P466" s="11">
        <f>K464/J464</f>
        <v>2</v>
      </c>
      <c r="Q466" s="11">
        <v>50</v>
      </c>
      <c r="R466" s="11">
        <v>50</v>
      </c>
    </row>
    <row r="467" spans="2:18" x14ac:dyDescent="0.35">
      <c r="B467">
        <v>464</v>
      </c>
      <c r="C467" s="1">
        <v>44939</v>
      </c>
      <c r="D467" t="s">
        <v>477</v>
      </c>
      <c r="E467" t="s">
        <v>10</v>
      </c>
      <c r="F467">
        <v>38</v>
      </c>
      <c r="G467" t="str">
        <f>IF(Table14[[#This Row],[Age]]&lt;=25,"Young",IF(Table14[[#This Row],[Age]]&gt;55,"Old",IF(Table14[[#This Row],[Age]]&gt;25,"Middle","Na")))</f>
        <v>Middle</v>
      </c>
      <c r="H467" t="s">
        <v>16</v>
      </c>
      <c r="I467">
        <v>2</v>
      </c>
      <c r="J467">
        <v>300</v>
      </c>
      <c r="K467">
        <v>600</v>
      </c>
      <c r="N467" s="11" t="s">
        <v>725</v>
      </c>
      <c r="O467" s="11" t="s">
        <v>11</v>
      </c>
      <c r="P467" s="11">
        <f>K465/J465</f>
        <v>4</v>
      </c>
      <c r="Q467" s="11">
        <v>50</v>
      </c>
      <c r="R467" s="11">
        <v>50</v>
      </c>
    </row>
    <row r="468" spans="2:18" x14ac:dyDescent="0.35">
      <c r="B468">
        <v>465</v>
      </c>
      <c r="C468" s="1">
        <v>45018</v>
      </c>
      <c r="D468" t="s">
        <v>478</v>
      </c>
      <c r="E468" t="s">
        <v>13</v>
      </c>
      <c r="F468">
        <v>43</v>
      </c>
      <c r="G468" t="str">
        <f>IF(Table14[[#This Row],[Age]]&lt;=25,"Young",IF(Table14[[#This Row],[Age]]&gt;55,"Old",IF(Table14[[#This Row],[Age]]&gt;25,"Middle","Na")))</f>
        <v>Middle</v>
      </c>
      <c r="H468" t="s">
        <v>16</v>
      </c>
      <c r="I468">
        <v>3</v>
      </c>
      <c r="J468">
        <v>50</v>
      </c>
      <c r="K468">
        <v>150</v>
      </c>
      <c r="N468" s="11" t="s">
        <v>784</v>
      </c>
      <c r="O468" s="11" t="s">
        <v>16</v>
      </c>
      <c r="P468" s="11">
        <f>K466/J466</f>
        <v>3</v>
      </c>
      <c r="Q468" s="11">
        <v>50</v>
      </c>
      <c r="R468" s="11">
        <v>50</v>
      </c>
    </row>
    <row r="469" spans="2:18" x14ac:dyDescent="0.35">
      <c r="B469">
        <v>466</v>
      </c>
      <c r="C469" s="1">
        <v>45097</v>
      </c>
      <c r="D469" t="s">
        <v>479</v>
      </c>
      <c r="E469" t="s">
        <v>10</v>
      </c>
      <c r="F469">
        <v>63</v>
      </c>
      <c r="G469" t="str">
        <f>IF(Table14[[#This Row],[Age]]&lt;=25,"Young",IF(Table14[[#This Row],[Age]]&gt;55,"Old",IF(Table14[[#This Row],[Age]]&gt;25,"Middle","Na")))</f>
        <v>Old</v>
      </c>
      <c r="H469" t="s">
        <v>16</v>
      </c>
      <c r="I469">
        <v>4</v>
      </c>
      <c r="J469">
        <v>25</v>
      </c>
      <c r="K469">
        <v>100</v>
      </c>
      <c r="N469" s="11" t="s">
        <v>793</v>
      </c>
      <c r="O469" s="11" t="s">
        <v>16</v>
      </c>
      <c r="P469" s="11">
        <f>K467/J467</f>
        <v>2</v>
      </c>
      <c r="Q469" s="11">
        <v>50</v>
      </c>
      <c r="R469" s="11">
        <v>50</v>
      </c>
    </row>
    <row r="470" spans="2:18" x14ac:dyDescent="0.35">
      <c r="B470">
        <v>467</v>
      </c>
      <c r="C470" s="1">
        <v>45137</v>
      </c>
      <c r="D470" t="s">
        <v>480</v>
      </c>
      <c r="E470" t="s">
        <v>13</v>
      </c>
      <c r="F470">
        <v>53</v>
      </c>
      <c r="G470" t="str">
        <f>IF(Table14[[#This Row],[Age]]&lt;=25,"Young",IF(Table14[[#This Row],[Age]]&gt;55,"Old",IF(Table14[[#This Row],[Age]]&gt;25,"Middle","Na")))</f>
        <v>Middle</v>
      </c>
      <c r="H470" t="s">
        <v>16</v>
      </c>
      <c r="I470">
        <v>3</v>
      </c>
      <c r="J470">
        <v>50</v>
      </c>
      <c r="K470">
        <v>150</v>
      </c>
      <c r="N470" s="11" t="s">
        <v>824</v>
      </c>
      <c r="O470" s="11" t="s">
        <v>11</v>
      </c>
      <c r="P470" s="11">
        <f>K468/J468</f>
        <v>3</v>
      </c>
      <c r="Q470" s="11">
        <v>50</v>
      </c>
      <c r="R470" s="11">
        <v>50</v>
      </c>
    </row>
    <row r="471" spans="2:18" x14ac:dyDescent="0.35">
      <c r="B471">
        <v>468</v>
      </c>
      <c r="C471" s="1">
        <v>45269</v>
      </c>
      <c r="D471" t="s">
        <v>481</v>
      </c>
      <c r="E471" t="s">
        <v>10</v>
      </c>
      <c r="F471">
        <v>40</v>
      </c>
      <c r="G471" t="str">
        <f>IF(Table14[[#This Row],[Age]]&lt;=25,"Young",IF(Table14[[#This Row],[Age]]&gt;55,"Old",IF(Table14[[#This Row],[Age]]&gt;25,"Middle","Na")))</f>
        <v>Middle</v>
      </c>
      <c r="H471" t="s">
        <v>16</v>
      </c>
      <c r="I471">
        <v>1</v>
      </c>
      <c r="J471">
        <v>25</v>
      </c>
      <c r="K471">
        <v>25</v>
      </c>
      <c r="N471" s="11" t="s">
        <v>903</v>
      </c>
      <c r="O471" s="11" t="s">
        <v>16</v>
      </c>
      <c r="P471" s="11">
        <f>K469/J469</f>
        <v>4</v>
      </c>
      <c r="Q471" s="11">
        <v>50</v>
      </c>
      <c r="R471" s="11">
        <v>50</v>
      </c>
    </row>
    <row r="472" spans="2:18" x14ac:dyDescent="0.35">
      <c r="B472">
        <v>469</v>
      </c>
      <c r="C472" s="1">
        <v>45054</v>
      </c>
      <c r="D472" t="s">
        <v>482</v>
      </c>
      <c r="E472" t="s">
        <v>10</v>
      </c>
      <c r="F472">
        <v>18</v>
      </c>
      <c r="G472" t="str">
        <f>IF(Table14[[#This Row],[Age]]&lt;=25,"Young",IF(Table14[[#This Row],[Age]]&gt;55,"Old",IF(Table14[[#This Row],[Age]]&gt;25,"Middle","Na")))</f>
        <v>Young</v>
      </c>
      <c r="H472" t="s">
        <v>11</v>
      </c>
      <c r="I472">
        <v>3</v>
      </c>
      <c r="J472">
        <v>25</v>
      </c>
      <c r="K472">
        <v>75</v>
      </c>
      <c r="N472" s="11" t="s">
        <v>971</v>
      </c>
      <c r="O472" s="11" t="s">
        <v>16</v>
      </c>
      <c r="P472" s="11">
        <f>K470/J470</f>
        <v>3</v>
      </c>
      <c r="Q472" s="11">
        <v>50</v>
      </c>
      <c r="R472" s="11">
        <v>50</v>
      </c>
    </row>
    <row r="473" spans="2:18" x14ac:dyDescent="0.35">
      <c r="B473">
        <v>470</v>
      </c>
      <c r="C473" s="1">
        <v>45063</v>
      </c>
      <c r="D473" t="s">
        <v>483</v>
      </c>
      <c r="E473" t="s">
        <v>13</v>
      </c>
      <c r="F473">
        <v>57</v>
      </c>
      <c r="G473" t="str">
        <f>IF(Table14[[#This Row],[Age]]&lt;=25,"Young",IF(Table14[[#This Row],[Age]]&gt;55,"Old",IF(Table14[[#This Row],[Age]]&gt;25,"Middle","Na")))</f>
        <v>Old</v>
      </c>
      <c r="H473" t="s">
        <v>14</v>
      </c>
      <c r="I473">
        <v>2</v>
      </c>
      <c r="J473">
        <v>500</v>
      </c>
      <c r="K473">
        <v>1000</v>
      </c>
      <c r="N473" s="11" t="s">
        <v>998</v>
      </c>
      <c r="O473" s="11" t="s">
        <v>16</v>
      </c>
      <c r="P473" s="11">
        <f>K471/J471</f>
        <v>1</v>
      </c>
      <c r="Q473" s="11">
        <v>50</v>
      </c>
      <c r="R473" s="11">
        <v>50</v>
      </c>
    </row>
    <row r="474" spans="2:18" x14ac:dyDescent="0.35">
      <c r="B474">
        <v>471</v>
      </c>
      <c r="C474" s="1">
        <v>45008</v>
      </c>
      <c r="D474" t="s">
        <v>484</v>
      </c>
      <c r="E474" t="s">
        <v>10</v>
      </c>
      <c r="F474">
        <v>32</v>
      </c>
      <c r="G474" t="str">
        <f>IF(Table14[[#This Row],[Age]]&lt;=25,"Young",IF(Table14[[#This Row],[Age]]&gt;55,"Old",IF(Table14[[#This Row],[Age]]&gt;25,"Middle","Na")))</f>
        <v>Middle</v>
      </c>
      <c r="H474" t="s">
        <v>14</v>
      </c>
      <c r="I474">
        <v>3</v>
      </c>
      <c r="J474">
        <v>50</v>
      </c>
      <c r="K474">
        <v>150</v>
      </c>
      <c r="N474" s="11" t="s">
        <v>94</v>
      </c>
      <c r="O474" s="11" t="s">
        <v>16</v>
      </c>
      <c r="P474" s="11">
        <f>K472/J472</f>
        <v>3</v>
      </c>
      <c r="Q474" s="11">
        <v>50</v>
      </c>
      <c r="R474" s="11">
        <v>50</v>
      </c>
    </row>
    <row r="475" spans="2:18" x14ac:dyDescent="0.35">
      <c r="B475">
        <v>472</v>
      </c>
      <c r="C475" s="1">
        <v>45286</v>
      </c>
      <c r="D475" t="s">
        <v>485</v>
      </c>
      <c r="E475" t="s">
        <v>13</v>
      </c>
      <c r="F475">
        <v>38</v>
      </c>
      <c r="G475" t="str">
        <f>IF(Table14[[#This Row],[Age]]&lt;=25,"Young",IF(Table14[[#This Row],[Age]]&gt;55,"Old",IF(Table14[[#This Row],[Age]]&gt;25,"Middle","Na")))</f>
        <v>Middle</v>
      </c>
      <c r="H475" t="s">
        <v>11</v>
      </c>
      <c r="I475">
        <v>3</v>
      </c>
      <c r="J475">
        <v>300</v>
      </c>
      <c r="K475">
        <v>900</v>
      </c>
      <c r="N475" s="11" t="s">
        <v>263</v>
      </c>
      <c r="O475" s="11" t="s">
        <v>16</v>
      </c>
      <c r="P475" s="11">
        <f>K473/J473</f>
        <v>2</v>
      </c>
      <c r="Q475" s="11">
        <v>50</v>
      </c>
      <c r="R475" s="11">
        <v>50</v>
      </c>
    </row>
    <row r="476" spans="2:18" x14ac:dyDescent="0.35">
      <c r="B476">
        <v>473</v>
      </c>
      <c r="C476" s="1">
        <v>44982</v>
      </c>
      <c r="D476" t="s">
        <v>486</v>
      </c>
      <c r="E476" t="s">
        <v>10</v>
      </c>
      <c r="F476">
        <v>64</v>
      </c>
      <c r="G476" t="str">
        <f>IF(Table14[[#This Row],[Age]]&lt;=25,"Young",IF(Table14[[#This Row],[Age]]&gt;55,"Old",IF(Table14[[#This Row],[Age]]&gt;25,"Middle","Na")))</f>
        <v>Old</v>
      </c>
      <c r="H476" t="s">
        <v>11</v>
      </c>
      <c r="I476">
        <v>1</v>
      </c>
      <c r="J476">
        <v>50</v>
      </c>
      <c r="K476">
        <v>50</v>
      </c>
      <c r="N476" s="11" t="s">
        <v>286</v>
      </c>
      <c r="O476" s="11" t="s">
        <v>11</v>
      </c>
      <c r="P476" s="11">
        <f>K474/J474</f>
        <v>3</v>
      </c>
      <c r="Q476" s="11">
        <v>50</v>
      </c>
      <c r="R476" s="11">
        <v>50</v>
      </c>
    </row>
    <row r="477" spans="2:18" x14ac:dyDescent="0.35">
      <c r="B477">
        <v>474</v>
      </c>
      <c r="C477" s="1">
        <v>45122</v>
      </c>
      <c r="D477" t="s">
        <v>487</v>
      </c>
      <c r="E477" t="s">
        <v>13</v>
      </c>
      <c r="F477">
        <v>26</v>
      </c>
      <c r="G477" t="str">
        <f>IF(Table14[[#This Row],[Age]]&lt;=25,"Young",IF(Table14[[#This Row],[Age]]&gt;55,"Old",IF(Table14[[#This Row],[Age]]&gt;25,"Middle","Na")))</f>
        <v>Middle</v>
      </c>
      <c r="H477" t="s">
        <v>14</v>
      </c>
      <c r="I477">
        <v>3</v>
      </c>
      <c r="J477">
        <v>500</v>
      </c>
      <c r="K477">
        <v>1500</v>
      </c>
      <c r="N477" s="11" t="s">
        <v>486</v>
      </c>
      <c r="O477" s="11" t="s">
        <v>11</v>
      </c>
      <c r="P477" s="11">
        <f>K475/J475</f>
        <v>3</v>
      </c>
      <c r="Q477" s="11">
        <v>50</v>
      </c>
      <c r="R477" s="11">
        <v>50</v>
      </c>
    </row>
    <row r="478" spans="2:18" x14ac:dyDescent="0.35">
      <c r="B478">
        <v>475</v>
      </c>
      <c r="C478" s="1">
        <v>44946</v>
      </c>
      <c r="D478" t="s">
        <v>488</v>
      </c>
      <c r="E478" t="s">
        <v>10</v>
      </c>
      <c r="F478">
        <v>26</v>
      </c>
      <c r="G478" t="str">
        <f>IF(Table14[[#This Row],[Age]]&lt;=25,"Young",IF(Table14[[#This Row],[Age]]&gt;55,"Old",IF(Table14[[#This Row],[Age]]&gt;25,"Middle","Na")))</f>
        <v>Middle</v>
      </c>
      <c r="H478" t="s">
        <v>14</v>
      </c>
      <c r="I478">
        <v>3</v>
      </c>
      <c r="J478">
        <v>25</v>
      </c>
      <c r="K478">
        <v>75</v>
      </c>
      <c r="N478" s="11" t="s">
        <v>569</v>
      </c>
      <c r="O478" s="11" t="s">
        <v>16</v>
      </c>
      <c r="P478" s="11">
        <f>K476/J476</f>
        <v>1</v>
      </c>
      <c r="Q478" s="11">
        <v>50</v>
      </c>
      <c r="R478" s="11">
        <v>50</v>
      </c>
    </row>
    <row r="479" spans="2:18" x14ac:dyDescent="0.35">
      <c r="B479">
        <v>476</v>
      </c>
      <c r="C479" s="1">
        <v>45167</v>
      </c>
      <c r="D479" t="s">
        <v>489</v>
      </c>
      <c r="E479" t="s">
        <v>13</v>
      </c>
      <c r="F479">
        <v>27</v>
      </c>
      <c r="G479" t="str">
        <f>IF(Table14[[#This Row],[Age]]&lt;=25,"Young",IF(Table14[[#This Row],[Age]]&gt;55,"Old",IF(Table14[[#This Row],[Age]]&gt;25,"Middle","Na")))</f>
        <v>Middle</v>
      </c>
      <c r="H479" t="s">
        <v>14</v>
      </c>
      <c r="I479">
        <v>4</v>
      </c>
      <c r="J479">
        <v>500</v>
      </c>
      <c r="K479">
        <v>2000</v>
      </c>
      <c r="N479" s="11" t="s">
        <v>867</v>
      </c>
      <c r="O479" s="11" t="s">
        <v>14</v>
      </c>
      <c r="P479" s="11">
        <f>K477/J477</f>
        <v>3</v>
      </c>
      <c r="Q479" s="11">
        <v>50</v>
      </c>
      <c r="R479" s="11">
        <v>50</v>
      </c>
    </row>
    <row r="480" spans="2:18" x14ac:dyDescent="0.35">
      <c r="B480">
        <v>477</v>
      </c>
      <c r="C480" s="1">
        <v>45040</v>
      </c>
      <c r="D480" t="s">
        <v>490</v>
      </c>
      <c r="E480" t="s">
        <v>10</v>
      </c>
      <c r="F480">
        <v>43</v>
      </c>
      <c r="G480" t="str">
        <f>IF(Table14[[#This Row],[Age]]&lt;=25,"Young",IF(Table14[[#This Row],[Age]]&gt;55,"Old",IF(Table14[[#This Row],[Age]]&gt;25,"Middle","Na")))</f>
        <v>Middle</v>
      </c>
      <c r="H480" t="s">
        <v>14</v>
      </c>
      <c r="I480">
        <v>4</v>
      </c>
      <c r="J480">
        <v>30</v>
      </c>
      <c r="K480">
        <v>120</v>
      </c>
      <c r="N480" s="11" t="s">
        <v>915</v>
      </c>
      <c r="O480" s="11" t="s">
        <v>11</v>
      </c>
      <c r="P480" s="11">
        <f>K478/J478</f>
        <v>3</v>
      </c>
      <c r="Q480" s="11">
        <v>50</v>
      </c>
      <c r="R480" s="11">
        <v>50</v>
      </c>
    </row>
    <row r="481" spans="2:18" x14ac:dyDescent="0.35">
      <c r="B481">
        <v>478</v>
      </c>
      <c r="C481" s="1">
        <v>45029</v>
      </c>
      <c r="D481" t="s">
        <v>491</v>
      </c>
      <c r="E481" t="s">
        <v>13</v>
      </c>
      <c r="F481">
        <v>58</v>
      </c>
      <c r="G481" t="str">
        <f>IF(Table14[[#This Row],[Age]]&lt;=25,"Young",IF(Table14[[#This Row],[Age]]&gt;55,"Old",IF(Table14[[#This Row],[Age]]&gt;25,"Middle","Na")))</f>
        <v>Old</v>
      </c>
      <c r="H481" t="s">
        <v>14</v>
      </c>
      <c r="I481">
        <v>2</v>
      </c>
      <c r="J481">
        <v>30</v>
      </c>
      <c r="K481">
        <v>60</v>
      </c>
      <c r="N481" s="11" t="s">
        <v>1009</v>
      </c>
      <c r="O481" s="11" t="s">
        <v>14</v>
      </c>
      <c r="P481" s="11">
        <f>K479/J479</f>
        <v>4</v>
      </c>
      <c r="Q481" s="11">
        <v>50</v>
      </c>
      <c r="R481" s="11">
        <v>50</v>
      </c>
    </row>
    <row r="482" spans="2:18" x14ac:dyDescent="0.35">
      <c r="B482">
        <v>479</v>
      </c>
      <c r="C482" s="1">
        <v>45162</v>
      </c>
      <c r="D482" t="s">
        <v>492</v>
      </c>
      <c r="E482" t="s">
        <v>10</v>
      </c>
      <c r="F482">
        <v>52</v>
      </c>
      <c r="G482" t="str">
        <f>IF(Table14[[#This Row],[Age]]&lt;=25,"Young",IF(Table14[[#This Row],[Age]]&gt;55,"Old",IF(Table14[[#This Row],[Age]]&gt;25,"Middle","Na")))</f>
        <v>Middle</v>
      </c>
      <c r="H482" t="s">
        <v>16</v>
      </c>
      <c r="I482">
        <v>4</v>
      </c>
      <c r="J482">
        <v>300</v>
      </c>
      <c r="K482">
        <v>1200</v>
      </c>
      <c r="N482" s="11" t="s">
        <v>268</v>
      </c>
      <c r="O482" s="11" t="s">
        <v>14</v>
      </c>
      <c r="P482" s="11">
        <f>K480/J480</f>
        <v>4</v>
      </c>
      <c r="Q482" s="11">
        <v>30</v>
      </c>
      <c r="R482" s="11">
        <v>30</v>
      </c>
    </row>
    <row r="483" spans="2:18" x14ac:dyDescent="0.35">
      <c r="B483">
        <v>480</v>
      </c>
      <c r="C483" s="1">
        <v>45106</v>
      </c>
      <c r="D483" t="s">
        <v>493</v>
      </c>
      <c r="E483" t="s">
        <v>13</v>
      </c>
      <c r="F483">
        <v>42</v>
      </c>
      <c r="G483" t="str">
        <f>IF(Table14[[#This Row],[Age]]&lt;=25,"Young",IF(Table14[[#This Row],[Age]]&gt;55,"Old",IF(Table14[[#This Row],[Age]]&gt;25,"Middle","Na")))</f>
        <v>Middle</v>
      </c>
      <c r="H483" t="s">
        <v>11</v>
      </c>
      <c r="I483">
        <v>4</v>
      </c>
      <c r="J483">
        <v>500</v>
      </c>
      <c r="K483">
        <v>2000</v>
      </c>
      <c r="N483" s="11" t="s">
        <v>281</v>
      </c>
      <c r="O483" s="11" t="s">
        <v>16</v>
      </c>
      <c r="P483" s="11">
        <f>K481/J481</f>
        <v>2</v>
      </c>
      <c r="Q483" s="11">
        <v>30</v>
      </c>
      <c r="R483" s="11">
        <v>30</v>
      </c>
    </row>
    <row r="484" spans="2:18" x14ac:dyDescent="0.35">
      <c r="B484">
        <v>481</v>
      </c>
      <c r="C484" s="1">
        <v>45083</v>
      </c>
      <c r="D484" t="s">
        <v>494</v>
      </c>
      <c r="E484" t="s">
        <v>13</v>
      </c>
      <c r="F484">
        <v>43</v>
      </c>
      <c r="G484" t="str">
        <f>IF(Table14[[#This Row],[Age]]&lt;=25,"Young",IF(Table14[[#This Row],[Age]]&gt;55,"Old",IF(Table14[[#This Row],[Age]]&gt;25,"Middle","Na")))</f>
        <v>Middle</v>
      </c>
      <c r="H484" t="s">
        <v>16</v>
      </c>
      <c r="I484">
        <v>4</v>
      </c>
      <c r="J484">
        <v>300</v>
      </c>
      <c r="K484">
        <v>1200</v>
      </c>
      <c r="N484" s="11" t="s">
        <v>318</v>
      </c>
      <c r="O484" s="11" t="s">
        <v>11</v>
      </c>
      <c r="P484" s="11">
        <f>K482/J482</f>
        <v>4</v>
      </c>
      <c r="Q484" s="11">
        <v>30</v>
      </c>
      <c r="R484" s="11">
        <v>30</v>
      </c>
    </row>
    <row r="485" spans="2:18" x14ac:dyDescent="0.35">
      <c r="B485">
        <v>482</v>
      </c>
      <c r="C485" s="1">
        <v>45043</v>
      </c>
      <c r="D485" t="s">
        <v>495</v>
      </c>
      <c r="E485" t="s">
        <v>13</v>
      </c>
      <c r="F485">
        <v>28</v>
      </c>
      <c r="G485" t="str">
        <f>IF(Table14[[#This Row],[Age]]&lt;=25,"Young",IF(Table14[[#This Row],[Age]]&gt;55,"Old",IF(Table14[[#This Row],[Age]]&gt;25,"Middle","Na")))</f>
        <v>Middle</v>
      </c>
      <c r="H485" t="s">
        <v>14</v>
      </c>
      <c r="I485">
        <v>4</v>
      </c>
      <c r="J485">
        <v>300</v>
      </c>
      <c r="K485">
        <v>1200</v>
      </c>
      <c r="N485" s="11" t="s">
        <v>357</v>
      </c>
      <c r="O485" s="11" t="s">
        <v>11</v>
      </c>
      <c r="P485" s="11">
        <f>K483/J483</f>
        <v>4</v>
      </c>
      <c r="Q485" s="11">
        <v>30</v>
      </c>
      <c r="R485" s="11">
        <v>30</v>
      </c>
    </row>
    <row r="486" spans="2:18" x14ac:dyDescent="0.35">
      <c r="B486">
        <v>483</v>
      </c>
      <c r="C486" s="1">
        <v>45041</v>
      </c>
      <c r="D486" t="s">
        <v>496</v>
      </c>
      <c r="E486" t="s">
        <v>10</v>
      </c>
      <c r="F486">
        <v>55</v>
      </c>
      <c r="G486" t="str">
        <f>IF(Table14[[#This Row],[Age]]&lt;=25,"Young",IF(Table14[[#This Row],[Age]]&gt;55,"Old",IF(Table14[[#This Row],[Age]]&gt;25,"Middle","Na")))</f>
        <v>Middle</v>
      </c>
      <c r="H486" t="s">
        <v>14</v>
      </c>
      <c r="I486">
        <v>1</v>
      </c>
      <c r="J486">
        <v>30</v>
      </c>
      <c r="K486">
        <v>30</v>
      </c>
      <c r="N486" s="11" t="s">
        <v>389</v>
      </c>
      <c r="O486" s="11" t="s">
        <v>11</v>
      </c>
      <c r="P486" s="11">
        <f>K484/J484</f>
        <v>4</v>
      </c>
      <c r="Q486" s="11">
        <v>30</v>
      </c>
      <c r="R486" s="11">
        <v>30</v>
      </c>
    </row>
    <row r="487" spans="2:18" x14ac:dyDescent="0.35">
      <c r="B487">
        <v>484</v>
      </c>
      <c r="C487" s="1">
        <v>44939</v>
      </c>
      <c r="D487" t="s">
        <v>497</v>
      </c>
      <c r="E487" t="s">
        <v>13</v>
      </c>
      <c r="F487">
        <v>19</v>
      </c>
      <c r="G487" t="str">
        <f>IF(Table14[[#This Row],[Age]]&lt;=25,"Young",IF(Table14[[#This Row],[Age]]&gt;55,"Old",IF(Table14[[#This Row],[Age]]&gt;25,"Middle","Na")))</f>
        <v>Young</v>
      </c>
      <c r="H487" t="s">
        <v>14</v>
      </c>
      <c r="I487">
        <v>4</v>
      </c>
      <c r="J487">
        <v>300</v>
      </c>
      <c r="K487">
        <v>1200</v>
      </c>
      <c r="N487" s="11" t="s">
        <v>451</v>
      </c>
      <c r="O487" s="11" t="s">
        <v>14</v>
      </c>
      <c r="P487" s="11">
        <f>K485/J485</f>
        <v>4</v>
      </c>
      <c r="Q487" s="11">
        <v>30</v>
      </c>
      <c r="R487" s="11">
        <v>30</v>
      </c>
    </row>
    <row r="488" spans="2:18" x14ac:dyDescent="0.35">
      <c r="B488">
        <v>485</v>
      </c>
      <c r="C488" s="1">
        <v>45264</v>
      </c>
      <c r="D488" t="s">
        <v>498</v>
      </c>
      <c r="E488" t="s">
        <v>10</v>
      </c>
      <c r="F488">
        <v>24</v>
      </c>
      <c r="G488" t="str">
        <f>IF(Table14[[#This Row],[Age]]&lt;=25,"Young",IF(Table14[[#This Row],[Age]]&gt;55,"Old",IF(Table14[[#This Row],[Age]]&gt;25,"Middle","Na")))</f>
        <v>Young</v>
      </c>
      <c r="H488" t="s">
        <v>16</v>
      </c>
      <c r="I488">
        <v>1</v>
      </c>
      <c r="J488">
        <v>30</v>
      </c>
      <c r="K488">
        <v>30</v>
      </c>
      <c r="N488" s="11" t="s">
        <v>496</v>
      </c>
      <c r="O488" s="11" t="s">
        <v>14</v>
      </c>
      <c r="P488" s="11">
        <f>K486/J486</f>
        <v>1</v>
      </c>
      <c r="Q488" s="11">
        <v>30</v>
      </c>
      <c r="R488" s="11">
        <v>30</v>
      </c>
    </row>
    <row r="489" spans="2:18" x14ac:dyDescent="0.35">
      <c r="B489">
        <v>486</v>
      </c>
      <c r="C489" s="1">
        <v>45025</v>
      </c>
      <c r="D489" t="s">
        <v>499</v>
      </c>
      <c r="E489" t="s">
        <v>13</v>
      </c>
      <c r="F489">
        <v>35</v>
      </c>
      <c r="G489" t="str">
        <f>IF(Table14[[#This Row],[Age]]&lt;=25,"Young",IF(Table14[[#This Row],[Age]]&gt;55,"Old",IF(Table14[[#This Row],[Age]]&gt;25,"Middle","Na")))</f>
        <v>Middle</v>
      </c>
      <c r="H489" t="s">
        <v>16</v>
      </c>
      <c r="I489">
        <v>1</v>
      </c>
      <c r="J489">
        <v>25</v>
      </c>
      <c r="K489">
        <v>25</v>
      </c>
      <c r="N489" s="11" t="s">
        <v>498</v>
      </c>
      <c r="O489" s="11" t="s">
        <v>16</v>
      </c>
      <c r="P489" s="11">
        <f>K487/J487</f>
        <v>4</v>
      </c>
      <c r="Q489" s="11">
        <v>30</v>
      </c>
      <c r="R489" s="11">
        <v>30</v>
      </c>
    </row>
    <row r="490" spans="2:18" x14ac:dyDescent="0.35">
      <c r="B490">
        <v>487</v>
      </c>
      <c r="C490" s="1">
        <v>45131</v>
      </c>
      <c r="D490" t="s">
        <v>500</v>
      </c>
      <c r="E490" t="s">
        <v>10</v>
      </c>
      <c r="F490">
        <v>44</v>
      </c>
      <c r="G490" t="str">
        <f>IF(Table14[[#This Row],[Age]]&lt;=25,"Young",IF(Table14[[#This Row],[Age]]&gt;55,"Old",IF(Table14[[#This Row],[Age]]&gt;25,"Middle","Na")))</f>
        <v>Middle</v>
      </c>
      <c r="H490" t="s">
        <v>14</v>
      </c>
      <c r="I490">
        <v>4</v>
      </c>
      <c r="J490">
        <v>500</v>
      </c>
      <c r="K490">
        <v>2000</v>
      </c>
      <c r="N490" s="11" t="s">
        <v>531</v>
      </c>
      <c r="O490" s="11" t="s">
        <v>14</v>
      </c>
      <c r="P490" s="11">
        <f>K488/J488</f>
        <v>1</v>
      </c>
      <c r="Q490" s="11">
        <v>30</v>
      </c>
      <c r="R490" s="11">
        <v>30</v>
      </c>
    </row>
    <row r="491" spans="2:18" x14ac:dyDescent="0.35">
      <c r="B491">
        <v>488</v>
      </c>
      <c r="C491" s="1">
        <v>45095</v>
      </c>
      <c r="D491" t="s">
        <v>501</v>
      </c>
      <c r="E491" t="s">
        <v>13</v>
      </c>
      <c r="F491">
        <v>51</v>
      </c>
      <c r="G491" t="str">
        <f>IF(Table14[[#This Row],[Age]]&lt;=25,"Young",IF(Table14[[#This Row],[Age]]&gt;55,"Old",IF(Table14[[#This Row],[Age]]&gt;25,"Middle","Na")))</f>
        <v>Middle</v>
      </c>
      <c r="H491" t="s">
        <v>16</v>
      </c>
      <c r="I491">
        <v>3</v>
      </c>
      <c r="J491">
        <v>300</v>
      </c>
      <c r="K491">
        <v>900</v>
      </c>
      <c r="N491" s="11" t="s">
        <v>672</v>
      </c>
      <c r="O491" s="11" t="s">
        <v>16</v>
      </c>
      <c r="P491" s="11">
        <f>K489/J489</f>
        <v>1</v>
      </c>
      <c r="Q491" s="11">
        <v>30</v>
      </c>
      <c r="R491" s="11">
        <v>30</v>
      </c>
    </row>
    <row r="492" spans="2:18" x14ac:dyDescent="0.35">
      <c r="B492">
        <v>489</v>
      </c>
      <c r="C492" s="1">
        <v>45069</v>
      </c>
      <c r="D492" t="s">
        <v>502</v>
      </c>
      <c r="E492" t="s">
        <v>10</v>
      </c>
      <c r="F492">
        <v>44</v>
      </c>
      <c r="G492" t="str">
        <f>IF(Table14[[#This Row],[Age]]&lt;=25,"Young",IF(Table14[[#This Row],[Age]]&gt;55,"Old",IF(Table14[[#This Row],[Age]]&gt;25,"Middle","Na")))</f>
        <v>Middle</v>
      </c>
      <c r="H492" t="s">
        <v>16</v>
      </c>
      <c r="I492">
        <v>1</v>
      </c>
      <c r="J492">
        <v>30</v>
      </c>
      <c r="K492">
        <v>30</v>
      </c>
      <c r="N492" s="11" t="s">
        <v>892</v>
      </c>
      <c r="O492" s="11" t="s">
        <v>14</v>
      </c>
      <c r="P492" s="11">
        <f>K490/J490</f>
        <v>4</v>
      </c>
      <c r="Q492" s="11">
        <v>30</v>
      </c>
      <c r="R492" s="11">
        <v>30</v>
      </c>
    </row>
    <row r="493" spans="2:18" x14ac:dyDescent="0.35">
      <c r="B493">
        <v>490</v>
      </c>
      <c r="C493" s="1">
        <v>44962</v>
      </c>
      <c r="D493" t="s">
        <v>503</v>
      </c>
      <c r="E493" t="s">
        <v>10</v>
      </c>
      <c r="F493">
        <v>34</v>
      </c>
      <c r="G493" t="str">
        <f>IF(Table14[[#This Row],[Age]]&lt;=25,"Young",IF(Table14[[#This Row],[Age]]&gt;55,"Old",IF(Table14[[#This Row],[Age]]&gt;25,"Middle","Na")))</f>
        <v>Middle</v>
      </c>
      <c r="H493" t="s">
        <v>14</v>
      </c>
      <c r="I493">
        <v>3</v>
      </c>
      <c r="J493">
        <v>50</v>
      </c>
      <c r="K493">
        <v>150</v>
      </c>
      <c r="N493" s="11" t="s">
        <v>987</v>
      </c>
      <c r="O493" s="11" t="s">
        <v>11</v>
      </c>
      <c r="P493" s="11">
        <f>K491/J491</f>
        <v>3</v>
      </c>
      <c r="Q493" s="11">
        <v>30</v>
      </c>
      <c r="R493" s="11">
        <v>30</v>
      </c>
    </row>
    <row r="494" spans="2:18" x14ac:dyDescent="0.35">
      <c r="B494">
        <v>491</v>
      </c>
      <c r="C494" s="1">
        <v>45069</v>
      </c>
      <c r="D494" t="s">
        <v>504</v>
      </c>
      <c r="E494" t="s">
        <v>13</v>
      </c>
      <c r="F494">
        <v>60</v>
      </c>
      <c r="G494" t="str">
        <f>IF(Table14[[#This Row],[Age]]&lt;=25,"Young",IF(Table14[[#This Row],[Age]]&gt;55,"Old",IF(Table14[[#This Row],[Age]]&gt;25,"Middle","Na")))</f>
        <v>Old</v>
      </c>
      <c r="H494" t="s">
        <v>16</v>
      </c>
      <c r="I494">
        <v>3</v>
      </c>
      <c r="J494">
        <v>300</v>
      </c>
      <c r="K494">
        <v>900</v>
      </c>
      <c r="N494" s="11" t="s">
        <v>57</v>
      </c>
      <c r="O494" s="11" t="s">
        <v>14</v>
      </c>
      <c r="P494" s="11">
        <f>K492/J492</f>
        <v>1</v>
      </c>
      <c r="Q494" s="11">
        <v>25</v>
      </c>
      <c r="R494" s="11">
        <v>25</v>
      </c>
    </row>
    <row r="495" spans="2:18" x14ac:dyDescent="0.35">
      <c r="B495">
        <v>492</v>
      </c>
      <c r="C495" s="1">
        <v>45106</v>
      </c>
      <c r="D495" t="s">
        <v>505</v>
      </c>
      <c r="E495" t="s">
        <v>10</v>
      </c>
      <c r="F495">
        <v>61</v>
      </c>
      <c r="G495" t="str">
        <f>IF(Table14[[#This Row],[Age]]&lt;=25,"Young",IF(Table14[[#This Row],[Age]]&gt;55,"Old",IF(Table14[[#This Row],[Age]]&gt;25,"Middle","Na")))</f>
        <v>Old</v>
      </c>
      <c r="H495" t="s">
        <v>11</v>
      </c>
      <c r="I495">
        <v>4</v>
      </c>
      <c r="J495">
        <v>25</v>
      </c>
      <c r="K495">
        <v>100</v>
      </c>
      <c r="N495" s="11" t="s">
        <v>204</v>
      </c>
      <c r="O495" s="11" t="s">
        <v>11</v>
      </c>
      <c r="P495" s="11">
        <f>K493/J493</f>
        <v>3</v>
      </c>
      <c r="Q495" s="11">
        <v>25</v>
      </c>
      <c r="R495" s="11">
        <v>25</v>
      </c>
    </row>
    <row r="496" spans="2:18" x14ac:dyDescent="0.35">
      <c r="B496">
        <v>493</v>
      </c>
      <c r="C496" s="1">
        <v>45255</v>
      </c>
      <c r="D496" t="s">
        <v>506</v>
      </c>
      <c r="E496" t="s">
        <v>10</v>
      </c>
      <c r="F496">
        <v>41</v>
      </c>
      <c r="G496" t="str">
        <f>IF(Table14[[#This Row],[Age]]&lt;=25,"Young",IF(Table14[[#This Row],[Age]]&gt;55,"Old",IF(Table14[[#This Row],[Age]]&gt;25,"Middle","Na")))</f>
        <v>Middle</v>
      </c>
      <c r="H496" t="s">
        <v>11</v>
      </c>
      <c r="I496">
        <v>2</v>
      </c>
      <c r="J496">
        <v>25</v>
      </c>
      <c r="K496">
        <v>50</v>
      </c>
      <c r="N496" s="11" t="s">
        <v>214</v>
      </c>
      <c r="O496" s="11" t="s">
        <v>16</v>
      </c>
      <c r="P496" s="11">
        <f>K494/J494</f>
        <v>3</v>
      </c>
      <c r="Q496" s="11">
        <v>25</v>
      </c>
      <c r="R496" s="11">
        <v>25</v>
      </c>
    </row>
    <row r="497" spans="2:18" x14ac:dyDescent="0.35">
      <c r="B497">
        <v>494</v>
      </c>
      <c r="C497" s="1">
        <v>45187</v>
      </c>
      <c r="D497" t="s">
        <v>507</v>
      </c>
      <c r="E497" t="s">
        <v>13</v>
      </c>
      <c r="F497">
        <v>42</v>
      </c>
      <c r="G497" t="str">
        <f>IF(Table14[[#This Row],[Age]]&lt;=25,"Young",IF(Table14[[#This Row],[Age]]&gt;55,"Old",IF(Table14[[#This Row],[Age]]&gt;25,"Middle","Na")))</f>
        <v>Middle</v>
      </c>
      <c r="H497" t="s">
        <v>11</v>
      </c>
      <c r="I497">
        <v>4</v>
      </c>
      <c r="J497">
        <v>50</v>
      </c>
      <c r="K497">
        <v>200</v>
      </c>
      <c r="N497" s="11" t="s">
        <v>218</v>
      </c>
      <c r="O497" s="11" t="s">
        <v>14</v>
      </c>
      <c r="P497" s="11">
        <f>K495/J495</f>
        <v>4</v>
      </c>
      <c r="Q497" s="11">
        <v>25</v>
      </c>
      <c r="R497" s="11">
        <v>25</v>
      </c>
    </row>
    <row r="498" spans="2:18" x14ac:dyDescent="0.35">
      <c r="B498">
        <v>495</v>
      </c>
      <c r="C498" s="1">
        <v>45131</v>
      </c>
      <c r="D498" t="s">
        <v>508</v>
      </c>
      <c r="E498" t="s">
        <v>10</v>
      </c>
      <c r="F498">
        <v>24</v>
      </c>
      <c r="G498" t="str">
        <f>IF(Table14[[#This Row],[Age]]&lt;=25,"Young",IF(Table14[[#This Row],[Age]]&gt;55,"Old",IF(Table14[[#This Row],[Age]]&gt;25,"Middle","Na")))</f>
        <v>Young</v>
      </c>
      <c r="H498" t="s">
        <v>11</v>
      </c>
      <c r="I498">
        <v>2</v>
      </c>
      <c r="J498">
        <v>30</v>
      </c>
      <c r="K498">
        <v>60</v>
      </c>
      <c r="N498" s="11" t="s">
        <v>322</v>
      </c>
      <c r="O498" s="11" t="s">
        <v>11</v>
      </c>
      <c r="P498" s="11">
        <f>K496/J496</f>
        <v>2</v>
      </c>
      <c r="Q498" s="11">
        <v>25</v>
      </c>
      <c r="R498" s="11">
        <v>25</v>
      </c>
    </row>
    <row r="499" spans="2:18" x14ac:dyDescent="0.35">
      <c r="B499">
        <v>496</v>
      </c>
      <c r="C499" s="1">
        <v>45274</v>
      </c>
      <c r="D499" t="s">
        <v>509</v>
      </c>
      <c r="E499" t="s">
        <v>10</v>
      </c>
      <c r="F499">
        <v>23</v>
      </c>
      <c r="G499" t="str">
        <f>IF(Table14[[#This Row],[Age]]&lt;=25,"Young",IF(Table14[[#This Row],[Age]]&gt;55,"Old",IF(Table14[[#This Row],[Age]]&gt;25,"Middle","Na")))</f>
        <v>Young</v>
      </c>
      <c r="H499" t="s">
        <v>14</v>
      </c>
      <c r="I499">
        <v>2</v>
      </c>
      <c r="J499">
        <v>300</v>
      </c>
      <c r="K499">
        <v>600</v>
      </c>
      <c r="N499" s="11" t="s">
        <v>375</v>
      </c>
      <c r="O499" s="11" t="s">
        <v>14</v>
      </c>
      <c r="P499" s="11">
        <f>K497/J497</f>
        <v>4</v>
      </c>
      <c r="Q499" s="11">
        <v>25</v>
      </c>
      <c r="R499" s="11">
        <v>25</v>
      </c>
    </row>
    <row r="500" spans="2:18" x14ac:dyDescent="0.35">
      <c r="B500">
        <v>497</v>
      </c>
      <c r="C500" s="1">
        <v>45201</v>
      </c>
      <c r="D500" t="s">
        <v>510</v>
      </c>
      <c r="E500" t="s">
        <v>10</v>
      </c>
      <c r="F500">
        <v>41</v>
      </c>
      <c r="G500" t="str">
        <f>IF(Table14[[#This Row],[Age]]&lt;=25,"Young",IF(Table14[[#This Row],[Age]]&gt;55,"Old",IF(Table14[[#This Row],[Age]]&gt;25,"Middle","Na")))</f>
        <v>Middle</v>
      </c>
      <c r="H500" t="s">
        <v>14</v>
      </c>
      <c r="I500">
        <v>4</v>
      </c>
      <c r="J500">
        <v>30</v>
      </c>
      <c r="K500">
        <v>120</v>
      </c>
      <c r="N500" s="11" t="s">
        <v>376</v>
      </c>
      <c r="O500" s="11" t="s">
        <v>11</v>
      </c>
      <c r="P500" s="11">
        <f>K498/J498</f>
        <v>2</v>
      </c>
      <c r="Q500" s="11">
        <v>25</v>
      </c>
      <c r="R500" s="11">
        <v>25</v>
      </c>
    </row>
    <row r="501" spans="2:18" x14ac:dyDescent="0.35">
      <c r="B501">
        <v>498</v>
      </c>
      <c r="C501" s="1">
        <v>45096</v>
      </c>
      <c r="D501" t="s">
        <v>511</v>
      </c>
      <c r="E501" t="s">
        <v>13</v>
      </c>
      <c r="F501">
        <v>50</v>
      </c>
      <c r="G501" t="str">
        <f>IF(Table14[[#This Row],[Age]]&lt;=25,"Young",IF(Table14[[#This Row],[Age]]&gt;55,"Old",IF(Table14[[#This Row],[Age]]&gt;25,"Middle","Na")))</f>
        <v>Middle</v>
      </c>
      <c r="H501" t="s">
        <v>14</v>
      </c>
      <c r="I501">
        <v>4</v>
      </c>
      <c r="J501">
        <v>25</v>
      </c>
      <c r="K501">
        <v>100</v>
      </c>
      <c r="N501" s="11" t="s">
        <v>481</v>
      </c>
      <c r="O501" s="11" t="s">
        <v>16</v>
      </c>
      <c r="P501" s="11">
        <f>K499/J499</f>
        <v>2</v>
      </c>
      <c r="Q501" s="11">
        <v>25</v>
      </c>
      <c r="R501" s="11">
        <v>25</v>
      </c>
    </row>
    <row r="502" spans="2:18" x14ac:dyDescent="0.35">
      <c r="B502">
        <v>499</v>
      </c>
      <c r="C502" s="1">
        <v>44941</v>
      </c>
      <c r="D502" t="s">
        <v>512</v>
      </c>
      <c r="E502" t="s">
        <v>10</v>
      </c>
      <c r="F502">
        <v>46</v>
      </c>
      <c r="G502" t="str">
        <f>IF(Table14[[#This Row],[Age]]&lt;=25,"Young",IF(Table14[[#This Row],[Age]]&gt;55,"Old",IF(Table14[[#This Row],[Age]]&gt;25,"Middle","Na")))</f>
        <v>Middle</v>
      </c>
      <c r="H502" t="s">
        <v>11</v>
      </c>
      <c r="I502">
        <v>2</v>
      </c>
      <c r="J502">
        <v>30</v>
      </c>
      <c r="K502">
        <v>60</v>
      </c>
      <c r="N502" s="11" t="s">
        <v>499</v>
      </c>
      <c r="O502" s="11" t="s">
        <v>16</v>
      </c>
      <c r="P502" s="11">
        <f>K500/J500</f>
        <v>4</v>
      </c>
      <c r="Q502" s="11">
        <v>25</v>
      </c>
      <c r="R502" s="11">
        <v>25</v>
      </c>
    </row>
    <row r="503" spans="2:18" x14ac:dyDescent="0.35">
      <c r="B503">
        <v>500</v>
      </c>
      <c r="C503" s="1">
        <v>44986</v>
      </c>
      <c r="D503" t="s">
        <v>513</v>
      </c>
      <c r="E503" t="s">
        <v>13</v>
      </c>
      <c r="F503">
        <v>60</v>
      </c>
      <c r="G503" t="str">
        <f>IF(Table14[[#This Row],[Age]]&lt;=25,"Young",IF(Table14[[#This Row],[Age]]&gt;55,"Old",IF(Table14[[#This Row],[Age]]&gt;25,"Middle","Na")))</f>
        <v>Old</v>
      </c>
      <c r="H503" t="s">
        <v>11</v>
      </c>
      <c r="I503">
        <v>4</v>
      </c>
      <c r="J503">
        <v>25</v>
      </c>
      <c r="K503">
        <v>100</v>
      </c>
      <c r="N503" s="11" t="s">
        <v>557</v>
      </c>
      <c r="O503" s="11" t="s">
        <v>16</v>
      </c>
      <c r="P503" s="11">
        <f>K501/J501</f>
        <v>4</v>
      </c>
      <c r="Q503" s="11">
        <v>25</v>
      </c>
      <c r="R503" s="11">
        <v>25</v>
      </c>
    </row>
    <row r="504" spans="2:18" x14ac:dyDescent="0.35">
      <c r="B504">
        <v>501</v>
      </c>
      <c r="C504" s="1">
        <v>45060</v>
      </c>
      <c r="D504" t="s">
        <v>514</v>
      </c>
      <c r="E504" t="s">
        <v>10</v>
      </c>
      <c r="F504">
        <v>39</v>
      </c>
      <c r="G504" t="str">
        <f>IF(Table14[[#This Row],[Age]]&lt;=25,"Young",IF(Table14[[#This Row],[Age]]&gt;55,"Old",IF(Table14[[#This Row],[Age]]&gt;25,"Middle","Na")))</f>
        <v>Middle</v>
      </c>
      <c r="H504" t="s">
        <v>16</v>
      </c>
      <c r="I504">
        <v>2</v>
      </c>
      <c r="J504">
        <v>30</v>
      </c>
      <c r="K504">
        <v>60</v>
      </c>
      <c r="N504" s="11" t="s">
        <v>598</v>
      </c>
      <c r="O504" s="11" t="s">
        <v>14</v>
      </c>
      <c r="P504" s="11">
        <f>K502/J502</f>
        <v>2</v>
      </c>
      <c r="Q504" s="11">
        <v>25</v>
      </c>
      <c r="R504" s="11">
        <v>25</v>
      </c>
    </row>
    <row r="505" spans="2:18" x14ac:dyDescent="0.35">
      <c r="B505">
        <v>502</v>
      </c>
      <c r="C505" s="1">
        <v>45018</v>
      </c>
      <c r="D505" t="s">
        <v>515</v>
      </c>
      <c r="E505" t="s">
        <v>10</v>
      </c>
      <c r="F505">
        <v>43</v>
      </c>
      <c r="G505" t="str">
        <f>IF(Table14[[#This Row],[Age]]&lt;=25,"Young",IF(Table14[[#This Row],[Age]]&gt;55,"Old",IF(Table14[[#This Row],[Age]]&gt;25,"Middle","Na")))</f>
        <v>Middle</v>
      </c>
      <c r="H505" t="s">
        <v>16</v>
      </c>
      <c r="I505">
        <v>3</v>
      </c>
      <c r="J505">
        <v>50</v>
      </c>
      <c r="K505">
        <v>150</v>
      </c>
      <c r="N505" s="11" t="s">
        <v>777</v>
      </c>
      <c r="O505" s="11" t="s">
        <v>14</v>
      </c>
      <c r="P505" s="11">
        <f>K503/J503</f>
        <v>4</v>
      </c>
      <c r="Q505" s="11">
        <v>25</v>
      </c>
      <c r="R505" s="11">
        <v>25</v>
      </c>
    </row>
    <row r="506" spans="2:18" x14ac:dyDescent="0.35">
      <c r="B506">
        <v>503</v>
      </c>
      <c r="C506" s="1">
        <v>45224</v>
      </c>
      <c r="D506" t="s">
        <v>516</v>
      </c>
      <c r="E506" t="s">
        <v>10</v>
      </c>
      <c r="F506">
        <v>45</v>
      </c>
      <c r="G506" t="str">
        <f>IF(Table14[[#This Row],[Age]]&lt;=25,"Young",IF(Table14[[#This Row],[Age]]&gt;55,"Old",IF(Table14[[#This Row],[Age]]&gt;25,"Middle","Na")))</f>
        <v>Middle</v>
      </c>
      <c r="H506" t="s">
        <v>11</v>
      </c>
      <c r="I506">
        <v>4</v>
      </c>
      <c r="J506">
        <v>500</v>
      </c>
      <c r="K506">
        <v>2000</v>
      </c>
      <c r="N506" s="11" t="s">
        <v>800</v>
      </c>
      <c r="O506" s="11" t="s">
        <v>16</v>
      </c>
      <c r="P506" s="11">
        <f>K504/J504</f>
        <v>2</v>
      </c>
      <c r="Q506" s="11">
        <v>25</v>
      </c>
      <c r="R506" s="11">
        <v>25</v>
      </c>
    </row>
    <row r="507" spans="2:18" x14ac:dyDescent="0.35">
      <c r="B507">
        <v>504</v>
      </c>
      <c r="C507" s="1">
        <v>45062</v>
      </c>
      <c r="D507" t="s">
        <v>517</v>
      </c>
      <c r="E507" t="s">
        <v>13</v>
      </c>
      <c r="F507">
        <v>38</v>
      </c>
      <c r="G507" t="str">
        <f>IF(Table14[[#This Row],[Age]]&lt;=25,"Young",IF(Table14[[#This Row],[Age]]&gt;55,"Old",IF(Table14[[#This Row],[Age]]&gt;25,"Middle","Na")))</f>
        <v>Middle</v>
      </c>
      <c r="H507" t="s">
        <v>11</v>
      </c>
      <c r="I507">
        <v>3</v>
      </c>
      <c r="J507">
        <v>50</v>
      </c>
      <c r="K507">
        <v>150</v>
      </c>
      <c r="N507" s="11" t="s">
        <v>890</v>
      </c>
      <c r="O507" s="11" t="s">
        <v>14</v>
      </c>
      <c r="P507" s="11">
        <f>K505/J505</f>
        <v>3</v>
      </c>
      <c r="Q507" s="11">
        <v>25</v>
      </c>
      <c r="R507" s="11">
        <v>25</v>
      </c>
    </row>
    <row r="508" spans="2:18" x14ac:dyDescent="0.35">
      <c r="B508">
        <v>505</v>
      </c>
      <c r="C508" s="1">
        <v>44946</v>
      </c>
      <c r="D508" t="s">
        <v>518</v>
      </c>
      <c r="E508" t="s">
        <v>10</v>
      </c>
      <c r="F508">
        <v>24</v>
      </c>
      <c r="G508" t="str">
        <f>IF(Table14[[#This Row],[Age]]&lt;=25,"Young",IF(Table14[[#This Row],[Age]]&gt;55,"Old",IF(Table14[[#This Row],[Age]]&gt;25,"Middle","Na")))</f>
        <v>Young</v>
      </c>
      <c r="H508" t="s">
        <v>11</v>
      </c>
      <c r="I508">
        <v>1</v>
      </c>
      <c r="J508">
        <v>50</v>
      </c>
      <c r="K508">
        <v>50</v>
      </c>
      <c r="N508" s="11" t="s">
        <v>968</v>
      </c>
      <c r="O508" s="11" t="s">
        <v>14</v>
      </c>
      <c r="P508" s="11">
        <f>K506/J506</f>
        <v>4</v>
      </c>
      <c r="Q508" s="11">
        <v>25</v>
      </c>
      <c r="R508" s="11">
        <v>25</v>
      </c>
    </row>
    <row r="509" spans="2:18" x14ac:dyDescent="0.35">
      <c r="B509">
        <v>506</v>
      </c>
      <c r="C509" s="1">
        <v>44982</v>
      </c>
      <c r="D509" t="s">
        <v>519</v>
      </c>
      <c r="E509" t="s">
        <v>10</v>
      </c>
      <c r="F509">
        <v>34</v>
      </c>
      <c r="G509" t="str">
        <f>IF(Table14[[#This Row],[Age]]&lt;=25,"Young",IF(Table14[[#This Row],[Age]]&gt;55,"Old",IF(Table14[[#This Row],[Age]]&gt;25,"Middle","Na")))</f>
        <v>Middle</v>
      </c>
      <c r="H509" t="s">
        <v>11</v>
      </c>
      <c r="I509">
        <v>3</v>
      </c>
      <c r="J509">
        <v>500</v>
      </c>
      <c r="K509">
        <v>1500</v>
      </c>
      <c r="N509" s="11" t="s">
        <v>992</v>
      </c>
      <c r="O509" s="11" t="s">
        <v>11</v>
      </c>
      <c r="P509" s="11">
        <f>K507/J507</f>
        <v>3</v>
      </c>
      <c r="Q509" s="11">
        <v>25</v>
      </c>
      <c r="R509" s="11">
        <v>25</v>
      </c>
    </row>
    <row r="510" spans="2:18" x14ac:dyDescent="0.35">
      <c r="B510">
        <v>507</v>
      </c>
      <c r="C510" s="1">
        <v>45232</v>
      </c>
      <c r="D510" t="s">
        <v>520</v>
      </c>
      <c r="E510" t="s">
        <v>13</v>
      </c>
      <c r="F510">
        <v>37</v>
      </c>
      <c r="G510" t="str">
        <f>IF(Table14[[#This Row],[Age]]&lt;=25,"Young",IF(Table14[[#This Row],[Age]]&gt;55,"Old",IF(Table14[[#This Row],[Age]]&gt;25,"Middle","Na")))</f>
        <v>Middle</v>
      </c>
      <c r="H510" t="s">
        <v>16</v>
      </c>
      <c r="I510">
        <v>3</v>
      </c>
      <c r="J510">
        <v>500</v>
      </c>
      <c r="K510">
        <v>1500</v>
      </c>
      <c r="N510" s="11" t="s">
        <v>60</v>
      </c>
      <c r="O510" s="11" t="s">
        <v>11</v>
      </c>
      <c r="P510" s="11">
        <f>K508/J508</f>
        <v>1</v>
      </c>
      <c r="Q510" s="11">
        <v>1500</v>
      </c>
      <c r="R510" s="11">
        <v>1500</v>
      </c>
    </row>
    <row r="511" spans="2:18" x14ac:dyDescent="0.35">
      <c r="B511">
        <v>508</v>
      </c>
      <c r="C511" s="1">
        <v>45149</v>
      </c>
      <c r="D511" t="s">
        <v>521</v>
      </c>
      <c r="E511" t="s">
        <v>10</v>
      </c>
      <c r="F511">
        <v>58</v>
      </c>
      <c r="G511" t="str">
        <f>IF(Table14[[#This Row],[Age]]&lt;=25,"Young",IF(Table14[[#This Row],[Age]]&gt;55,"Old",IF(Table14[[#This Row],[Age]]&gt;25,"Middle","Na")))</f>
        <v>Old</v>
      </c>
      <c r="H511" t="s">
        <v>11</v>
      </c>
      <c r="I511">
        <v>2</v>
      </c>
      <c r="J511">
        <v>300</v>
      </c>
      <c r="K511">
        <v>600</v>
      </c>
      <c r="N511" s="11" t="s">
        <v>647</v>
      </c>
      <c r="O511" s="11" t="s">
        <v>16</v>
      </c>
      <c r="P511" s="11">
        <f>K509/J509</f>
        <v>3</v>
      </c>
      <c r="Q511" s="11">
        <v>2000</v>
      </c>
      <c r="R511" s="11">
        <v>2000</v>
      </c>
    </row>
    <row r="512" spans="2:18" x14ac:dyDescent="0.35">
      <c r="B512">
        <v>509</v>
      </c>
      <c r="C512" s="1">
        <v>45103</v>
      </c>
      <c r="D512" t="s">
        <v>522</v>
      </c>
      <c r="E512" t="s">
        <v>13</v>
      </c>
      <c r="F512">
        <v>37</v>
      </c>
      <c r="G512" t="str">
        <f>IF(Table14[[#This Row],[Age]]&lt;=25,"Young",IF(Table14[[#This Row],[Age]]&gt;55,"Old",IF(Table14[[#This Row],[Age]]&gt;25,"Middle","Na")))</f>
        <v>Middle</v>
      </c>
      <c r="H512" t="s">
        <v>16</v>
      </c>
      <c r="I512">
        <v>3</v>
      </c>
      <c r="J512">
        <v>300</v>
      </c>
      <c r="K512">
        <v>900</v>
      </c>
      <c r="N512" s="11" t="s">
        <v>125</v>
      </c>
      <c r="O512" s="11" t="s">
        <v>14</v>
      </c>
      <c r="P512" s="11">
        <f>K510/J510</f>
        <v>3</v>
      </c>
      <c r="Q512" s="11">
        <v>1500</v>
      </c>
      <c r="R512" s="11">
        <v>1500</v>
      </c>
    </row>
    <row r="513" spans="2:18" x14ac:dyDescent="0.35">
      <c r="B513">
        <v>510</v>
      </c>
      <c r="C513" s="1">
        <v>45087</v>
      </c>
      <c r="D513" t="s">
        <v>523</v>
      </c>
      <c r="E513" t="s">
        <v>13</v>
      </c>
      <c r="F513">
        <v>39</v>
      </c>
      <c r="G513" t="str">
        <f>IF(Table14[[#This Row],[Age]]&lt;=25,"Young",IF(Table14[[#This Row],[Age]]&gt;55,"Old",IF(Table14[[#This Row],[Age]]&gt;25,"Middle","Na")))</f>
        <v>Middle</v>
      </c>
      <c r="H513" t="s">
        <v>11</v>
      </c>
      <c r="I513">
        <v>4</v>
      </c>
      <c r="J513">
        <v>50</v>
      </c>
      <c r="K513">
        <v>200</v>
      </c>
      <c r="N513" s="11" t="s">
        <v>152</v>
      </c>
      <c r="O513" s="11" t="s">
        <v>11</v>
      </c>
      <c r="P513" s="11">
        <f>K511/J511</f>
        <v>2</v>
      </c>
      <c r="Q513" s="11">
        <v>2000</v>
      </c>
      <c r="R513" s="11">
        <v>2000</v>
      </c>
    </row>
    <row r="514" spans="2:18" x14ac:dyDescent="0.35">
      <c r="B514">
        <v>511</v>
      </c>
      <c r="C514" s="1">
        <v>45150</v>
      </c>
      <c r="D514" t="s">
        <v>524</v>
      </c>
      <c r="E514" t="s">
        <v>10</v>
      </c>
      <c r="F514">
        <v>45</v>
      </c>
      <c r="G514" t="str">
        <f>IF(Table14[[#This Row],[Age]]&lt;=25,"Young",IF(Table14[[#This Row],[Age]]&gt;55,"Old",IF(Table14[[#This Row],[Age]]&gt;25,"Middle","Na")))</f>
        <v>Middle</v>
      </c>
      <c r="H514" t="s">
        <v>11</v>
      </c>
      <c r="I514">
        <v>2</v>
      </c>
      <c r="J514">
        <v>50</v>
      </c>
      <c r="K514">
        <v>100</v>
      </c>
      <c r="N514" s="11" t="s">
        <v>969</v>
      </c>
      <c r="O514" s="11" t="s">
        <v>14</v>
      </c>
      <c r="P514" s="11">
        <f>K512/J512</f>
        <v>3</v>
      </c>
      <c r="Q514" s="11">
        <v>1500</v>
      </c>
      <c r="R514" s="11">
        <v>1500</v>
      </c>
    </row>
    <row r="515" spans="2:18" x14ac:dyDescent="0.35">
      <c r="B515">
        <v>512</v>
      </c>
      <c r="C515" s="1">
        <v>45237</v>
      </c>
      <c r="D515" t="s">
        <v>525</v>
      </c>
      <c r="E515" t="s">
        <v>13</v>
      </c>
      <c r="F515">
        <v>57</v>
      </c>
      <c r="G515" t="str">
        <f>IF(Table14[[#This Row],[Age]]&lt;=25,"Young",IF(Table14[[#This Row],[Age]]&gt;55,"Old",IF(Table14[[#This Row],[Age]]&gt;25,"Middle","Na")))</f>
        <v>Old</v>
      </c>
      <c r="H515" t="s">
        <v>11</v>
      </c>
      <c r="I515">
        <v>1</v>
      </c>
      <c r="J515">
        <v>25</v>
      </c>
      <c r="K515">
        <v>25</v>
      </c>
      <c r="N515" s="11" t="s">
        <v>270</v>
      </c>
      <c r="O515" s="11" t="s">
        <v>11</v>
      </c>
      <c r="P515" s="11">
        <f>K513/J513</f>
        <v>4</v>
      </c>
      <c r="Q515" s="11">
        <v>2000</v>
      </c>
      <c r="R515" s="11">
        <v>2000</v>
      </c>
    </row>
    <row r="516" spans="2:18" x14ac:dyDescent="0.35">
      <c r="B516">
        <v>513</v>
      </c>
      <c r="C516" s="1">
        <v>45188</v>
      </c>
      <c r="D516" t="s">
        <v>526</v>
      </c>
      <c r="E516" t="s">
        <v>10</v>
      </c>
      <c r="F516">
        <v>24</v>
      </c>
      <c r="G516" t="str">
        <f>IF(Table14[[#This Row],[Age]]&lt;=25,"Young",IF(Table14[[#This Row],[Age]]&gt;55,"Old",IF(Table14[[#This Row],[Age]]&gt;25,"Middle","Na")))</f>
        <v>Young</v>
      </c>
      <c r="H516" t="s">
        <v>16</v>
      </c>
      <c r="I516">
        <v>4</v>
      </c>
      <c r="J516">
        <v>25</v>
      </c>
      <c r="K516">
        <v>100</v>
      </c>
      <c r="N516" s="11" t="s">
        <v>131</v>
      </c>
      <c r="O516" s="11" t="s">
        <v>16</v>
      </c>
      <c r="P516" s="11">
        <f>K514/J514</f>
        <v>2</v>
      </c>
      <c r="Q516" s="11">
        <v>2000</v>
      </c>
      <c r="R516" s="11">
        <v>2000</v>
      </c>
    </row>
    <row r="517" spans="2:18" x14ac:dyDescent="0.35">
      <c r="B517">
        <v>514</v>
      </c>
      <c r="C517" s="1">
        <v>44986</v>
      </c>
      <c r="D517" t="s">
        <v>527</v>
      </c>
      <c r="E517" t="s">
        <v>13</v>
      </c>
      <c r="F517">
        <v>18</v>
      </c>
      <c r="G517" t="str">
        <f>IF(Table14[[#This Row],[Age]]&lt;=25,"Young",IF(Table14[[#This Row],[Age]]&gt;55,"Old",IF(Table14[[#This Row],[Age]]&gt;25,"Middle","Na")))</f>
        <v>Young</v>
      </c>
      <c r="H517" t="s">
        <v>16</v>
      </c>
      <c r="I517">
        <v>1</v>
      </c>
      <c r="J517">
        <v>300</v>
      </c>
      <c r="K517">
        <v>300</v>
      </c>
      <c r="N517" s="11" t="s">
        <v>608</v>
      </c>
      <c r="O517" s="11" t="s">
        <v>14</v>
      </c>
      <c r="P517" s="11">
        <f>K515/J515</f>
        <v>1</v>
      </c>
      <c r="Q517" s="11">
        <v>2000</v>
      </c>
      <c r="R517" s="11">
        <v>2000</v>
      </c>
    </row>
    <row r="518" spans="2:18" x14ac:dyDescent="0.35">
      <c r="B518">
        <v>515</v>
      </c>
      <c r="C518" s="1">
        <v>45124</v>
      </c>
      <c r="D518" t="s">
        <v>528</v>
      </c>
      <c r="E518" t="s">
        <v>13</v>
      </c>
      <c r="F518">
        <v>49</v>
      </c>
      <c r="G518" t="str">
        <f>IF(Table14[[#This Row],[Age]]&lt;=25,"Young",IF(Table14[[#This Row],[Age]]&gt;55,"Old",IF(Table14[[#This Row],[Age]]&gt;25,"Middle","Na")))</f>
        <v>Middle</v>
      </c>
      <c r="H518" t="s">
        <v>14</v>
      </c>
      <c r="I518">
        <v>3</v>
      </c>
      <c r="J518">
        <v>300</v>
      </c>
      <c r="K518">
        <v>900</v>
      </c>
      <c r="N518" s="11" t="s">
        <v>802</v>
      </c>
      <c r="O518" s="11" t="s">
        <v>14</v>
      </c>
      <c r="P518" s="11">
        <f>K516/J516</f>
        <v>4</v>
      </c>
      <c r="Q518" s="11">
        <v>2000</v>
      </c>
      <c r="R518" s="11">
        <v>2000</v>
      </c>
    </row>
    <row r="519" spans="2:18" x14ac:dyDescent="0.35">
      <c r="B519">
        <v>516</v>
      </c>
      <c r="C519" s="1">
        <v>45222</v>
      </c>
      <c r="D519" t="s">
        <v>529</v>
      </c>
      <c r="E519" t="s">
        <v>10</v>
      </c>
      <c r="F519">
        <v>30</v>
      </c>
      <c r="G519" t="str">
        <f>IF(Table14[[#This Row],[Age]]&lt;=25,"Young",IF(Table14[[#This Row],[Age]]&gt;55,"Old",IF(Table14[[#This Row],[Age]]&gt;25,"Middle","Na")))</f>
        <v>Middle</v>
      </c>
      <c r="H519" t="s">
        <v>11</v>
      </c>
      <c r="I519">
        <v>4</v>
      </c>
      <c r="J519">
        <v>25</v>
      </c>
      <c r="K519">
        <v>100</v>
      </c>
      <c r="N519" s="11" t="s">
        <v>26</v>
      </c>
      <c r="O519" s="11" t="s">
        <v>16</v>
      </c>
      <c r="P519" s="11">
        <f>K517/J517</f>
        <v>1</v>
      </c>
      <c r="Q519" s="11">
        <v>1500</v>
      </c>
      <c r="R519" s="11">
        <v>1500</v>
      </c>
    </row>
    <row r="520" spans="2:18" x14ac:dyDescent="0.35">
      <c r="B520">
        <v>517</v>
      </c>
      <c r="C520" s="1">
        <v>45024</v>
      </c>
      <c r="D520" t="s">
        <v>530</v>
      </c>
      <c r="E520" t="s">
        <v>13</v>
      </c>
      <c r="F520">
        <v>47</v>
      </c>
      <c r="G520" t="str">
        <f>IF(Table14[[#This Row],[Age]]&lt;=25,"Young",IF(Table14[[#This Row],[Age]]&gt;55,"Old",IF(Table14[[#This Row],[Age]]&gt;25,"Middle","Na")))</f>
        <v>Middle</v>
      </c>
      <c r="H520" t="s">
        <v>14</v>
      </c>
      <c r="I520">
        <v>4</v>
      </c>
      <c r="J520">
        <v>25</v>
      </c>
      <c r="K520">
        <v>100</v>
      </c>
      <c r="N520" s="11" t="s">
        <v>385</v>
      </c>
      <c r="O520" s="11" t="s">
        <v>11</v>
      </c>
      <c r="P520" s="11">
        <f>K518/J518</f>
        <v>3</v>
      </c>
      <c r="Q520" s="11">
        <v>1500</v>
      </c>
      <c r="R520" s="11">
        <v>1500</v>
      </c>
    </row>
    <row r="521" spans="2:18" x14ac:dyDescent="0.35">
      <c r="B521">
        <v>518</v>
      </c>
      <c r="C521" s="1">
        <v>45057</v>
      </c>
      <c r="D521" t="s">
        <v>531</v>
      </c>
      <c r="E521" t="s">
        <v>13</v>
      </c>
      <c r="F521">
        <v>40</v>
      </c>
      <c r="G521" t="str">
        <f>IF(Table14[[#This Row],[Age]]&lt;=25,"Young",IF(Table14[[#This Row],[Age]]&gt;55,"Old",IF(Table14[[#This Row],[Age]]&gt;25,"Middle","Na")))</f>
        <v>Middle</v>
      </c>
      <c r="H521" t="s">
        <v>14</v>
      </c>
      <c r="I521">
        <v>1</v>
      </c>
      <c r="J521">
        <v>30</v>
      </c>
      <c r="K521">
        <v>30</v>
      </c>
      <c r="N521" s="11" t="s">
        <v>102</v>
      </c>
      <c r="O521" s="11" t="s">
        <v>16</v>
      </c>
      <c r="P521" s="11">
        <f>K519/J519</f>
        <v>4</v>
      </c>
      <c r="Q521" s="11">
        <v>2000</v>
      </c>
      <c r="R521" s="11">
        <v>2000</v>
      </c>
    </row>
    <row r="522" spans="2:18" x14ac:dyDescent="0.35">
      <c r="B522">
        <v>519</v>
      </c>
      <c r="C522" s="1">
        <v>44949</v>
      </c>
      <c r="D522" t="s">
        <v>532</v>
      </c>
      <c r="E522" t="s">
        <v>13</v>
      </c>
      <c r="F522">
        <v>36</v>
      </c>
      <c r="G522" t="str">
        <f>IF(Table14[[#This Row],[Age]]&lt;=25,"Young",IF(Table14[[#This Row],[Age]]&gt;55,"Old",IF(Table14[[#This Row],[Age]]&gt;25,"Middle","Na")))</f>
        <v>Middle</v>
      </c>
      <c r="H522" t="s">
        <v>16</v>
      </c>
      <c r="I522">
        <v>4</v>
      </c>
      <c r="J522">
        <v>30</v>
      </c>
      <c r="K522">
        <v>120</v>
      </c>
      <c r="N522" s="11" t="s">
        <v>465</v>
      </c>
      <c r="O522" s="11" t="s">
        <v>14</v>
      </c>
      <c r="P522" s="11">
        <f>K520/J520</f>
        <v>4</v>
      </c>
      <c r="Q522" s="11">
        <v>1500</v>
      </c>
      <c r="R522" s="11">
        <v>1500</v>
      </c>
    </row>
    <row r="523" spans="2:18" x14ac:dyDescent="0.35">
      <c r="B523">
        <v>520</v>
      </c>
      <c r="C523" s="1">
        <v>45289</v>
      </c>
      <c r="D523" t="s">
        <v>533</v>
      </c>
      <c r="E523" t="s">
        <v>13</v>
      </c>
      <c r="F523">
        <v>49</v>
      </c>
      <c r="G523" t="str">
        <f>IF(Table14[[#This Row],[Age]]&lt;=25,"Young",IF(Table14[[#This Row],[Age]]&gt;55,"Old",IF(Table14[[#This Row],[Age]]&gt;25,"Middle","Na")))</f>
        <v>Middle</v>
      </c>
      <c r="H523" t="s">
        <v>16</v>
      </c>
      <c r="I523">
        <v>4</v>
      </c>
      <c r="J523">
        <v>25</v>
      </c>
      <c r="K523">
        <v>100</v>
      </c>
      <c r="N523" s="11" t="s">
        <v>177</v>
      </c>
      <c r="O523" s="11" t="s">
        <v>11</v>
      </c>
      <c r="P523" s="11">
        <f>K521/J521</f>
        <v>1</v>
      </c>
      <c r="Q523" s="11">
        <v>1500</v>
      </c>
      <c r="R523" s="11">
        <v>1500</v>
      </c>
    </row>
    <row r="524" spans="2:18" x14ac:dyDescent="0.35">
      <c r="B524">
        <v>521</v>
      </c>
      <c r="C524" s="1">
        <v>45150</v>
      </c>
      <c r="D524" t="s">
        <v>534</v>
      </c>
      <c r="E524" t="s">
        <v>13</v>
      </c>
      <c r="F524">
        <v>47</v>
      </c>
      <c r="G524" t="str">
        <f>IF(Table14[[#This Row],[Age]]&lt;=25,"Young",IF(Table14[[#This Row],[Age]]&gt;55,"Old",IF(Table14[[#This Row],[Age]]&gt;25,"Middle","Na")))</f>
        <v>Middle</v>
      </c>
      <c r="H524" t="s">
        <v>14</v>
      </c>
      <c r="I524">
        <v>4</v>
      </c>
      <c r="J524">
        <v>30</v>
      </c>
      <c r="K524">
        <v>120</v>
      </c>
      <c r="N524" s="11" t="s">
        <v>87</v>
      </c>
      <c r="O524" s="11" t="s">
        <v>11</v>
      </c>
      <c r="P524" s="11">
        <f>K522/J522</f>
        <v>4</v>
      </c>
      <c r="Q524" s="11">
        <v>2000</v>
      </c>
      <c r="R524" s="11">
        <v>2000</v>
      </c>
    </row>
    <row r="525" spans="2:18" x14ac:dyDescent="0.35">
      <c r="B525">
        <v>522</v>
      </c>
      <c r="C525" s="1">
        <v>44927</v>
      </c>
      <c r="D525" t="s">
        <v>535</v>
      </c>
      <c r="E525" t="s">
        <v>10</v>
      </c>
      <c r="F525">
        <v>46</v>
      </c>
      <c r="G525" t="str">
        <f>IF(Table14[[#This Row],[Age]]&lt;=25,"Young",IF(Table14[[#This Row],[Age]]&gt;55,"Old",IF(Table14[[#This Row],[Age]]&gt;25,"Middle","Na")))</f>
        <v>Middle</v>
      </c>
      <c r="H525" t="s">
        <v>11</v>
      </c>
      <c r="I525">
        <v>3</v>
      </c>
      <c r="J525">
        <v>500</v>
      </c>
      <c r="K525">
        <v>1500</v>
      </c>
      <c r="N525" s="11" t="s">
        <v>122</v>
      </c>
      <c r="O525" s="11" t="s">
        <v>16</v>
      </c>
      <c r="P525" s="11">
        <f>K523/J523</f>
        <v>4</v>
      </c>
      <c r="Q525" s="11">
        <v>2000</v>
      </c>
      <c r="R525" s="11">
        <v>2000</v>
      </c>
    </row>
    <row r="526" spans="2:18" x14ac:dyDescent="0.35">
      <c r="B526">
        <v>523</v>
      </c>
      <c r="C526" s="1">
        <v>45193</v>
      </c>
      <c r="D526" t="s">
        <v>536</v>
      </c>
      <c r="E526" t="s">
        <v>13</v>
      </c>
      <c r="F526">
        <v>62</v>
      </c>
      <c r="G526" t="str">
        <f>IF(Table14[[#This Row],[Age]]&lt;=25,"Young",IF(Table14[[#This Row],[Age]]&gt;55,"Old",IF(Table14[[#This Row],[Age]]&gt;25,"Middle","Na")))</f>
        <v>Old</v>
      </c>
      <c r="H526" t="s">
        <v>16</v>
      </c>
      <c r="I526">
        <v>1</v>
      </c>
      <c r="J526">
        <v>300</v>
      </c>
      <c r="K526">
        <v>300</v>
      </c>
      <c r="N526" s="11" t="s">
        <v>605</v>
      </c>
      <c r="O526" s="11" t="s">
        <v>11</v>
      </c>
      <c r="P526" s="11">
        <f>K524/J524</f>
        <v>4</v>
      </c>
      <c r="Q526" s="11">
        <v>2000</v>
      </c>
      <c r="R526" s="11">
        <v>2000</v>
      </c>
    </row>
    <row r="527" spans="2:18" x14ac:dyDescent="0.35">
      <c r="B527">
        <v>524</v>
      </c>
      <c r="C527" s="1">
        <v>45202</v>
      </c>
      <c r="D527" t="s">
        <v>537</v>
      </c>
      <c r="E527" t="s">
        <v>10</v>
      </c>
      <c r="F527">
        <v>46</v>
      </c>
      <c r="G527" t="str">
        <f>IF(Table14[[#This Row],[Age]]&lt;=25,"Young",IF(Table14[[#This Row],[Age]]&gt;55,"Old",IF(Table14[[#This Row],[Age]]&gt;25,"Middle","Na")))</f>
        <v>Middle</v>
      </c>
      <c r="H527" t="s">
        <v>11</v>
      </c>
      <c r="I527">
        <v>4</v>
      </c>
      <c r="J527">
        <v>300</v>
      </c>
      <c r="K527">
        <v>1200</v>
      </c>
      <c r="N527" s="11" t="s">
        <v>818</v>
      </c>
      <c r="O527" s="11" t="s">
        <v>11</v>
      </c>
      <c r="P527" s="11">
        <f>K525/J525</f>
        <v>3</v>
      </c>
      <c r="Q527" s="11">
        <v>1500</v>
      </c>
      <c r="R527" s="11">
        <v>1500</v>
      </c>
    </row>
    <row r="528" spans="2:18" x14ac:dyDescent="0.35">
      <c r="B528">
        <v>525</v>
      </c>
      <c r="C528" s="1">
        <v>45278</v>
      </c>
      <c r="D528" t="s">
        <v>538</v>
      </c>
      <c r="E528" t="s">
        <v>13</v>
      </c>
      <c r="F528">
        <v>47</v>
      </c>
      <c r="G528" t="str">
        <f>IF(Table14[[#This Row],[Age]]&lt;=25,"Young",IF(Table14[[#This Row],[Age]]&gt;55,"Old",IF(Table14[[#This Row],[Age]]&gt;25,"Middle","Na")))</f>
        <v>Middle</v>
      </c>
      <c r="H528" t="s">
        <v>11</v>
      </c>
      <c r="I528">
        <v>2</v>
      </c>
      <c r="J528">
        <v>25</v>
      </c>
      <c r="K528">
        <v>50</v>
      </c>
      <c r="N528" s="11" t="s">
        <v>28</v>
      </c>
      <c r="O528" s="11" t="s">
        <v>16</v>
      </c>
      <c r="P528" s="11">
        <f>K526/J526</f>
        <v>1</v>
      </c>
      <c r="Q528" s="11">
        <v>2000</v>
      </c>
      <c r="R528" s="11">
        <v>2000</v>
      </c>
    </row>
    <row r="529" spans="2:18" x14ac:dyDescent="0.35">
      <c r="B529">
        <v>526</v>
      </c>
      <c r="C529" s="1">
        <v>45270</v>
      </c>
      <c r="D529" t="s">
        <v>539</v>
      </c>
      <c r="E529" t="s">
        <v>10</v>
      </c>
      <c r="F529">
        <v>33</v>
      </c>
      <c r="G529" t="str">
        <f>IF(Table14[[#This Row],[Age]]&lt;=25,"Young",IF(Table14[[#This Row],[Age]]&gt;55,"Old",IF(Table14[[#This Row],[Age]]&gt;25,"Middle","Na")))</f>
        <v>Middle</v>
      </c>
      <c r="H529" t="s">
        <v>14</v>
      </c>
      <c r="I529">
        <v>2</v>
      </c>
      <c r="J529">
        <v>50</v>
      </c>
      <c r="K529">
        <v>100</v>
      </c>
      <c r="N529" s="11" t="s">
        <v>856</v>
      </c>
      <c r="O529" s="11" t="s">
        <v>11</v>
      </c>
      <c r="P529" s="11">
        <f>K527/J527</f>
        <v>4</v>
      </c>
      <c r="Q529" s="11">
        <v>1500</v>
      </c>
      <c r="R529" s="11">
        <v>1500</v>
      </c>
    </row>
    <row r="530" spans="2:18" x14ac:dyDescent="0.35">
      <c r="B530">
        <v>527</v>
      </c>
      <c r="C530" s="1">
        <v>45027</v>
      </c>
      <c r="D530" t="s">
        <v>540</v>
      </c>
      <c r="E530" t="s">
        <v>10</v>
      </c>
      <c r="F530">
        <v>57</v>
      </c>
      <c r="G530" t="str">
        <f>IF(Table14[[#This Row],[Age]]&lt;=25,"Young",IF(Table14[[#This Row],[Age]]&gt;55,"Old",IF(Table14[[#This Row],[Age]]&gt;25,"Middle","Na")))</f>
        <v>Old</v>
      </c>
      <c r="H530" t="s">
        <v>14</v>
      </c>
      <c r="I530">
        <v>2</v>
      </c>
      <c r="J530">
        <v>25</v>
      </c>
      <c r="K530">
        <v>50</v>
      </c>
      <c r="N530" s="11" t="s">
        <v>429</v>
      </c>
      <c r="O530" s="11" t="s">
        <v>16</v>
      </c>
      <c r="P530" s="11">
        <f>K528/J528</f>
        <v>2</v>
      </c>
      <c r="Q530" s="11">
        <v>2000</v>
      </c>
      <c r="R530" s="11">
        <v>2000</v>
      </c>
    </row>
    <row r="531" spans="2:18" x14ac:dyDescent="0.35">
      <c r="B531">
        <v>528</v>
      </c>
      <c r="C531" s="1">
        <v>45113</v>
      </c>
      <c r="D531" t="s">
        <v>541</v>
      </c>
      <c r="E531" t="s">
        <v>13</v>
      </c>
      <c r="F531">
        <v>36</v>
      </c>
      <c r="G531" t="str">
        <f>IF(Table14[[#This Row],[Age]]&lt;=25,"Young",IF(Table14[[#This Row],[Age]]&gt;55,"Old",IF(Table14[[#This Row],[Age]]&gt;25,"Middle","Na")))</f>
        <v>Middle</v>
      </c>
      <c r="H531" t="s">
        <v>14</v>
      </c>
      <c r="I531">
        <v>2</v>
      </c>
      <c r="J531">
        <v>30</v>
      </c>
      <c r="K531">
        <v>60</v>
      </c>
      <c r="N531" s="11" t="s">
        <v>560</v>
      </c>
      <c r="O531" s="11" t="s">
        <v>14</v>
      </c>
      <c r="P531" s="11">
        <f>K529/J529</f>
        <v>2</v>
      </c>
      <c r="Q531" s="11">
        <v>2000</v>
      </c>
      <c r="R531" s="11">
        <v>2000</v>
      </c>
    </row>
    <row r="532" spans="2:18" x14ac:dyDescent="0.35">
      <c r="B532">
        <v>529</v>
      </c>
      <c r="C532" s="1">
        <v>45147</v>
      </c>
      <c r="D532" t="s">
        <v>542</v>
      </c>
      <c r="E532" t="s">
        <v>13</v>
      </c>
      <c r="F532">
        <v>35</v>
      </c>
      <c r="G532" t="str">
        <f>IF(Table14[[#This Row],[Age]]&lt;=25,"Young",IF(Table14[[#This Row],[Age]]&gt;55,"Old",IF(Table14[[#This Row],[Age]]&gt;25,"Middle","Na")))</f>
        <v>Middle</v>
      </c>
      <c r="H532" t="s">
        <v>14</v>
      </c>
      <c r="I532">
        <v>3</v>
      </c>
      <c r="J532">
        <v>50</v>
      </c>
      <c r="K532">
        <v>150</v>
      </c>
      <c r="N532" s="11" t="s">
        <v>489</v>
      </c>
      <c r="O532" s="11" t="s">
        <v>14</v>
      </c>
      <c r="P532" s="11">
        <f>K530/J530</f>
        <v>2</v>
      </c>
      <c r="Q532" s="11">
        <v>2000</v>
      </c>
      <c r="R532" s="11">
        <v>2000</v>
      </c>
    </row>
    <row r="533" spans="2:18" x14ac:dyDescent="0.35">
      <c r="B533">
        <v>530</v>
      </c>
      <c r="C533" s="1">
        <v>44962</v>
      </c>
      <c r="D533" t="s">
        <v>543</v>
      </c>
      <c r="E533" t="s">
        <v>13</v>
      </c>
      <c r="F533">
        <v>18</v>
      </c>
      <c r="G533" t="str">
        <f>IF(Table14[[#This Row],[Age]]&lt;=25,"Young",IF(Table14[[#This Row],[Age]]&gt;55,"Old",IF(Table14[[#This Row],[Age]]&gt;25,"Middle","Na")))</f>
        <v>Young</v>
      </c>
      <c r="H533" t="s">
        <v>16</v>
      </c>
      <c r="I533">
        <v>4</v>
      </c>
      <c r="J533">
        <v>30</v>
      </c>
      <c r="K533">
        <v>120</v>
      </c>
      <c r="N533" s="11" t="s">
        <v>593</v>
      </c>
      <c r="O533" s="11" t="s">
        <v>14</v>
      </c>
      <c r="P533" s="11">
        <f>K531/J531</f>
        <v>2</v>
      </c>
      <c r="Q533" s="11">
        <v>1500</v>
      </c>
      <c r="R533" s="11">
        <v>1500</v>
      </c>
    </row>
    <row r="534" spans="2:18" x14ac:dyDescent="0.35">
      <c r="B534">
        <v>531</v>
      </c>
      <c r="C534" s="1">
        <v>45267</v>
      </c>
      <c r="D534" t="s">
        <v>544</v>
      </c>
      <c r="E534" t="s">
        <v>10</v>
      </c>
      <c r="F534">
        <v>31</v>
      </c>
      <c r="G534" t="str">
        <f>IF(Table14[[#This Row],[Age]]&lt;=25,"Young",IF(Table14[[#This Row],[Age]]&gt;55,"Old",IF(Table14[[#This Row],[Age]]&gt;25,"Middle","Na")))</f>
        <v>Middle</v>
      </c>
      <c r="H534" t="s">
        <v>16</v>
      </c>
      <c r="I534">
        <v>1</v>
      </c>
      <c r="J534">
        <v>500</v>
      </c>
      <c r="K534">
        <v>500</v>
      </c>
      <c r="N534" s="11" t="s">
        <v>355</v>
      </c>
      <c r="O534" s="11" t="s">
        <v>14</v>
      </c>
      <c r="P534" s="11">
        <f>K532/J532</f>
        <v>3</v>
      </c>
      <c r="Q534" s="11">
        <v>2000</v>
      </c>
      <c r="R534" s="11">
        <v>2000</v>
      </c>
    </row>
    <row r="535" spans="2:18" x14ac:dyDescent="0.35">
      <c r="B535">
        <v>532</v>
      </c>
      <c r="C535" s="1">
        <v>45096</v>
      </c>
      <c r="D535" t="s">
        <v>545</v>
      </c>
      <c r="E535" t="s">
        <v>13</v>
      </c>
      <c r="F535">
        <v>64</v>
      </c>
      <c r="G535" t="str">
        <f>IF(Table14[[#This Row],[Age]]&lt;=25,"Young",IF(Table14[[#This Row],[Age]]&gt;55,"Old",IF(Table14[[#This Row],[Age]]&gt;25,"Middle","Na")))</f>
        <v>Old</v>
      </c>
      <c r="H535" t="s">
        <v>14</v>
      </c>
      <c r="I535">
        <v>4</v>
      </c>
      <c r="J535">
        <v>30</v>
      </c>
      <c r="K535">
        <v>120</v>
      </c>
      <c r="N535" s="11" t="s">
        <v>398</v>
      </c>
      <c r="O535" s="11" t="s">
        <v>16</v>
      </c>
      <c r="P535" s="11">
        <f>K533/J533</f>
        <v>4</v>
      </c>
      <c r="Q535" s="11">
        <v>1500</v>
      </c>
      <c r="R535" s="11">
        <v>1500</v>
      </c>
    </row>
    <row r="536" spans="2:18" x14ac:dyDescent="0.35">
      <c r="B536">
        <v>533</v>
      </c>
      <c r="C536" s="1">
        <v>45246</v>
      </c>
      <c r="D536" t="s">
        <v>546</v>
      </c>
      <c r="E536" t="s">
        <v>10</v>
      </c>
      <c r="F536">
        <v>19</v>
      </c>
      <c r="G536" t="str">
        <f>IF(Table14[[#This Row],[Age]]&lt;=25,"Young",IF(Table14[[#This Row],[Age]]&gt;55,"Old",IF(Table14[[#This Row],[Age]]&gt;25,"Middle","Na")))</f>
        <v>Young</v>
      </c>
      <c r="H536" t="s">
        <v>16</v>
      </c>
      <c r="I536">
        <v>3</v>
      </c>
      <c r="J536">
        <v>500</v>
      </c>
      <c r="K536">
        <v>1500</v>
      </c>
      <c r="N536" s="11" t="s">
        <v>59</v>
      </c>
      <c r="O536" s="11" t="s">
        <v>16</v>
      </c>
      <c r="P536" s="11">
        <f>K534/J534</f>
        <v>1</v>
      </c>
      <c r="Q536" s="11">
        <v>1200</v>
      </c>
      <c r="R536" s="11">
        <v>1200</v>
      </c>
    </row>
    <row r="537" spans="2:18" x14ac:dyDescent="0.35">
      <c r="B537">
        <v>534</v>
      </c>
      <c r="C537" s="1">
        <v>45087</v>
      </c>
      <c r="D537" t="s">
        <v>547</v>
      </c>
      <c r="E537" t="s">
        <v>10</v>
      </c>
      <c r="F537">
        <v>45</v>
      </c>
      <c r="G537" t="str">
        <f>IF(Table14[[#This Row],[Age]]&lt;=25,"Young",IF(Table14[[#This Row],[Age]]&gt;55,"Old",IF(Table14[[#This Row],[Age]]&gt;25,"Middle","Na")))</f>
        <v>Middle</v>
      </c>
      <c r="H537" t="s">
        <v>14</v>
      </c>
      <c r="I537">
        <v>2</v>
      </c>
      <c r="J537">
        <v>500</v>
      </c>
      <c r="K537">
        <v>1000</v>
      </c>
      <c r="N537" s="11" t="s">
        <v>71</v>
      </c>
      <c r="O537" s="11" t="s">
        <v>14</v>
      </c>
      <c r="P537" s="11">
        <f>K535/J535</f>
        <v>4</v>
      </c>
      <c r="Q537" s="11">
        <v>1200</v>
      </c>
      <c r="R537" s="11">
        <v>1200</v>
      </c>
    </row>
    <row r="538" spans="2:18" x14ac:dyDescent="0.35">
      <c r="B538">
        <v>535</v>
      </c>
      <c r="C538" s="1">
        <v>45266</v>
      </c>
      <c r="D538" t="s">
        <v>548</v>
      </c>
      <c r="E538" t="s">
        <v>10</v>
      </c>
      <c r="F538">
        <v>47</v>
      </c>
      <c r="G538" t="str">
        <f>IF(Table14[[#This Row],[Age]]&lt;=25,"Young",IF(Table14[[#This Row],[Age]]&gt;55,"Old",IF(Table14[[#This Row],[Age]]&gt;25,"Middle","Na")))</f>
        <v>Middle</v>
      </c>
      <c r="H538" t="s">
        <v>11</v>
      </c>
      <c r="I538">
        <v>3</v>
      </c>
      <c r="J538">
        <v>30</v>
      </c>
      <c r="K538">
        <v>90</v>
      </c>
      <c r="N538" s="11" t="s">
        <v>112</v>
      </c>
      <c r="O538" s="11" t="s">
        <v>16</v>
      </c>
      <c r="P538" s="11">
        <f>K536/J536</f>
        <v>3</v>
      </c>
      <c r="Q538" s="11">
        <v>1200</v>
      </c>
      <c r="R538" s="11">
        <v>1200</v>
      </c>
    </row>
    <row r="539" spans="2:18" x14ac:dyDescent="0.35">
      <c r="B539">
        <v>536</v>
      </c>
      <c r="C539" s="1">
        <v>44990</v>
      </c>
      <c r="D539" t="s">
        <v>549</v>
      </c>
      <c r="E539" t="s">
        <v>13</v>
      </c>
      <c r="F539">
        <v>55</v>
      </c>
      <c r="G539" t="str">
        <f>IF(Table14[[#This Row],[Age]]&lt;=25,"Young",IF(Table14[[#This Row],[Age]]&gt;55,"Old",IF(Table14[[#This Row],[Age]]&gt;25,"Middle","Na")))</f>
        <v>Middle</v>
      </c>
      <c r="H539" t="s">
        <v>11</v>
      </c>
      <c r="I539">
        <v>4</v>
      </c>
      <c r="J539">
        <v>30</v>
      </c>
      <c r="K539">
        <v>120</v>
      </c>
      <c r="N539" s="11" t="s">
        <v>321</v>
      </c>
      <c r="O539" s="11" t="s">
        <v>11</v>
      </c>
      <c r="P539" s="11">
        <f>K537/J537</f>
        <v>2</v>
      </c>
      <c r="Q539" s="11">
        <v>1200</v>
      </c>
      <c r="R539" s="11">
        <v>1200</v>
      </c>
    </row>
    <row r="540" spans="2:18" x14ac:dyDescent="0.35">
      <c r="B540">
        <v>537</v>
      </c>
      <c r="C540" s="1">
        <v>45080</v>
      </c>
      <c r="D540" t="s">
        <v>550</v>
      </c>
      <c r="E540" t="s">
        <v>13</v>
      </c>
      <c r="F540">
        <v>21</v>
      </c>
      <c r="G540" t="str">
        <f>IF(Table14[[#This Row],[Age]]&lt;=25,"Young",IF(Table14[[#This Row],[Age]]&gt;55,"Old",IF(Table14[[#This Row],[Age]]&gt;25,"Middle","Na")))</f>
        <v>Young</v>
      </c>
      <c r="H540" t="s">
        <v>11</v>
      </c>
      <c r="I540">
        <v>1</v>
      </c>
      <c r="J540">
        <v>500</v>
      </c>
      <c r="K540">
        <v>500</v>
      </c>
      <c r="N540" s="11" t="s">
        <v>353</v>
      </c>
      <c r="O540" s="11" t="s">
        <v>14</v>
      </c>
      <c r="P540" s="11">
        <f>K538/J538</f>
        <v>3</v>
      </c>
      <c r="Q540" s="11">
        <v>1200</v>
      </c>
      <c r="R540" s="11">
        <v>1200</v>
      </c>
    </row>
    <row r="541" spans="2:18" x14ac:dyDescent="0.35">
      <c r="B541">
        <v>538</v>
      </c>
      <c r="C541" s="1">
        <v>45186</v>
      </c>
      <c r="D541" t="s">
        <v>551</v>
      </c>
      <c r="E541" t="s">
        <v>10</v>
      </c>
      <c r="F541">
        <v>18</v>
      </c>
      <c r="G541" t="str">
        <f>IF(Table14[[#This Row],[Age]]&lt;=25,"Young",IF(Table14[[#This Row],[Age]]&gt;55,"Old",IF(Table14[[#This Row],[Age]]&gt;25,"Middle","Na")))</f>
        <v>Young</v>
      </c>
      <c r="H541" t="s">
        <v>14</v>
      </c>
      <c r="I541">
        <v>3</v>
      </c>
      <c r="J541">
        <v>50</v>
      </c>
      <c r="K541">
        <v>150</v>
      </c>
      <c r="N541" s="11" t="s">
        <v>450</v>
      </c>
      <c r="O541" s="11" t="s">
        <v>16</v>
      </c>
      <c r="P541" s="11">
        <f>K539/J539</f>
        <v>4</v>
      </c>
      <c r="Q541" s="11">
        <v>1200</v>
      </c>
      <c r="R541" s="11">
        <v>1200</v>
      </c>
    </row>
    <row r="542" spans="2:18" x14ac:dyDescent="0.35">
      <c r="B542">
        <v>539</v>
      </c>
      <c r="C542" s="1">
        <v>45085</v>
      </c>
      <c r="D542" t="s">
        <v>552</v>
      </c>
      <c r="E542" t="s">
        <v>10</v>
      </c>
      <c r="F542">
        <v>25</v>
      </c>
      <c r="G542" t="str">
        <f>IF(Table14[[#This Row],[Age]]&lt;=25,"Young",IF(Table14[[#This Row],[Age]]&gt;55,"Old",IF(Table14[[#This Row],[Age]]&gt;25,"Middle","Na")))</f>
        <v>Young</v>
      </c>
      <c r="H542" t="s">
        <v>11</v>
      </c>
      <c r="I542">
        <v>1</v>
      </c>
      <c r="J542">
        <v>500</v>
      </c>
      <c r="K542">
        <v>500</v>
      </c>
      <c r="N542" s="11" t="s">
        <v>472</v>
      </c>
      <c r="O542" s="11" t="s">
        <v>14</v>
      </c>
      <c r="P542" s="11">
        <f>K540/J540</f>
        <v>1</v>
      </c>
      <c r="Q542" s="11">
        <v>1200</v>
      </c>
      <c r="R542" s="11">
        <v>1200</v>
      </c>
    </row>
    <row r="543" spans="2:18" x14ac:dyDescent="0.35">
      <c r="B543">
        <v>540</v>
      </c>
      <c r="C543" s="1">
        <v>45268</v>
      </c>
      <c r="D543" t="s">
        <v>553</v>
      </c>
      <c r="E543" t="s">
        <v>13</v>
      </c>
      <c r="F543">
        <v>46</v>
      </c>
      <c r="G543" t="str">
        <f>IF(Table14[[#This Row],[Age]]&lt;=25,"Young",IF(Table14[[#This Row],[Age]]&gt;55,"Old",IF(Table14[[#This Row],[Age]]&gt;25,"Middle","Na")))</f>
        <v>Middle</v>
      </c>
      <c r="H543" t="s">
        <v>16</v>
      </c>
      <c r="I543">
        <v>3</v>
      </c>
      <c r="J543">
        <v>300</v>
      </c>
      <c r="K543">
        <v>900</v>
      </c>
      <c r="N543" s="11" t="s">
        <v>492</v>
      </c>
      <c r="O543" s="11" t="s">
        <v>16</v>
      </c>
      <c r="P543" s="11">
        <f>K541/J541</f>
        <v>3</v>
      </c>
      <c r="Q543" s="11">
        <v>1200</v>
      </c>
      <c r="R543" s="11">
        <v>1200</v>
      </c>
    </row>
    <row r="544" spans="2:18" x14ac:dyDescent="0.35">
      <c r="B544">
        <v>541</v>
      </c>
      <c r="C544" s="1">
        <v>45136</v>
      </c>
      <c r="D544" t="s">
        <v>554</v>
      </c>
      <c r="E544" t="s">
        <v>10</v>
      </c>
      <c r="F544">
        <v>56</v>
      </c>
      <c r="G544" t="str">
        <f>IF(Table14[[#This Row],[Age]]&lt;=25,"Young",IF(Table14[[#This Row],[Age]]&gt;55,"Old",IF(Table14[[#This Row],[Age]]&gt;25,"Middle","Na")))</f>
        <v>Old</v>
      </c>
      <c r="H544" t="s">
        <v>11</v>
      </c>
      <c r="I544">
        <v>1</v>
      </c>
      <c r="J544">
        <v>500</v>
      </c>
      <c r="K544">
        <v>500</v>
      </c>
      <c r="N544" s="11" t="s">
        <v>495</v>
      </c>
      <c r="O544" s="11" t="s">
        <v>14</v>
      </c>
      <c r="P544" s="11">
        <f>K542/J542</f>
        <v>1</v>
      </c>
      <c r="Q544" s="11">
        <v>1200</v>
      </c>
      <c r="R544" s="11">
        <v>1200</v>
      </c>
    </row>
    <row r="545" spans="2:18" x14ac:dyDescent="0.35">
      <c r="B545">
        <v>542</v>
      </c>
      <c r="C545" s="1">
        <v>45094</v>
      </c>
      <c r="D545" t="s">
        <v>555</v>
      </c>
      <c r="E545" t="s">
        <v>13</v>
      </c>
      <c r="F545">
        <v>20</v>
      </c>
      <c r="G545" t="str">
        <f>IF(Table14[[#This Row],[Age]]&lt;=25,"Young",IF(Table14[[#This Row],[Age]]&gt;55,"Old",IF(Table14[[#This Row],[Age]]&gt;25,"Middle","Na")))</f>
        <v>Young</v>
      </c>
      <c r="H545" t="s">
        <v>11</v>
      </c>
      <c r="I545">
        <v>1</v>
      </c>
      <c r="J545">
        <v>50</v>
      </c>
      <c r="K545">
        <v>50</v>
      </c>
      <c r="N545" s="11" t="s">
        <v>537</v>
      </c>
      <c r="O545" s="11" t="s">
        <v>11</v>
      </c>
      <c r="P545" s="11">
        <f>K543/J543</f>
        <v>3</v>
      </c>
      <c r="Q545" s="11">
        <v>1200</v>
      </c>
      <c r="R545" s="11">
        <v>1200</v>
      </c>
    </row>
    <row r="546" spans="2:18" x14ac:dyDescent="0.35">
      <c r="B546">
        <v>543</v>
      </c>
      <c r="C546" s="1">
        <v>45133</v>
      </c>
      <c r="D546" t="s">
        <v>556</v>
      </c>
      <c r="E546" t="s">
        <v>10</v>
      </c>
      <c r="F546">
        <v>49</v>
      </c>
      <c r="G546" t="str">
        <f>IF(Table14[[#This Row],[Age]]&lt;=25,"Young",IF(Table14[[#This Row],[Age]]&gt;55,"Old",IF(Table14[[#This Row],[Age]]&gt;25,"Middle","Na")))</f>
        <v>Middle</v>
      </c>
      <c r="H546" t="s">
        <v>11</v>
      </c>
      <c r="I546">
        <v>2</v>
      </c>
      <c r="J546">
        <v>300</v>
      </c>
      <c r="K546">
        <v>600</v>
      </c>
      <c r="N546" s="11" t="s">
        <v>610</v>
      </c>
      <c r="O546" s="11" t="s">
        <v>11</v>
      </c>
      <c r="P546" s="11">
        <f>K544/J544</f>
        <v>1</v>
      </c>
      <c r="Q546" s="11">
        <v>1200</v>
      </c>
      <c r="R546" s="11">
        <v>1200</v>
      </c>
    </row>
    <row r="547" spans="2:18" x14ac:dyDescent="0.35">
      <c r="B547">
        <v>544</v>
      </c>
      <c r="C547" s="1">
        <v>45283</v>
      </c>
      <c r="D547" t="s">
        <v>557</v>
      </c>
      <c r="E547" t="s">
        <v>13</v>
      </c>
      <c r="F547">
        <v>27</v>
      </c>
      <c r="G547" t="str">
        <f>IF(Table14[[#This Row],[Age]]&lt;=25,"Young",IF(Table14[[#This Row],[Age]]&gt;55,"Old",IF(Table14[[#This Row],[Age]]&gt;25,"Middle","Na")))</f>
        <v>Middle</v>
      </c>
      <c r="H547" t="s">
        <v>16</v>
      </c>
      <c r="I547">
        <v>1</v>
      </c>
      <c r="J547">
        <v>25</v>
      </c>
      <c r="K547">
        <v>25</v>
      </c>
      <c r="N547" s="11" t="s">
        <v>627</v>
      </c>
      <c r="O547" s="11" t="s">
        <v>11</v>
      </c>
      <c r="P547" s="11">
        <f>K545/J545</f>
        <v>1</v>
      </c>
      <c r="Q547" s="11">
        <v>1200</v>
      </c>
      <c r="R547" s="11">
        <v>1200</v>
      </c>
    </row>
    <row r="548" spans="2:18" x14ac:dyDescent="0.35">
      <c r="B548">
        <v>545</v>
      </c>
      <c r="C548" s="1">
        <v>45078</v>
      </c>
      <c r="D548" t="s">
        <v>558</v>
      </c>
      <c r="E548" t="s">
        <v>10</v>
      </c>
      <c r="F548">
        <v>27</v>
      </c>
      <c r="G548" t="str">
        <f>IF(Table14[[#This Row],[Age]]&lt;=25,"Young",IF(Table14[[#This Row],[Age]]&gt;55,"Old",IF(Table14[[#This Row],[Age]]&gt;25,"Middle","Na")))</f>
        <v>Middle</v>
      </c>
      <c r="H548" t="s">
        <v>14</v>
      </c>
      <c r="I548">
        <v>2</v>
      </c>
      <c r="J548">
        <v>25</v>
      </c>
      <c r="K548">
        <v>50</v>
      </c>
      <c r="N548" s="11" t="s">
        <v>661</v>
      </c>
      <c r="O548" s="11" t="s">
        <v>11</v>
      </c>
      <c r="P548" s="11">
        <f>K546/J546</f>
        <v>2</v>
      </c>
      <c r="Q548" s="11">
        <v>1200</v>
      </c>
      <c r="R548" s="11">
        <v>1200</v>
      </c>
    </row>
    <row r="549" spans="2:18" x14ac:dyDescent="0.35">
      <c r="B549">
        <v>546</v>
      </c>
      <c r="C549" s="1">
        <v>45210</v>
      </c>
      <c r="D549" t="s">
        <v>559</v>
      </c>
      <c r="E549" t="s">
        <v>13</v>
      </c>
      <c r="F549">
        <v>36</v>
      </c>
      <c r="G549" t="str">
        <f>IF(Table14[[#This Row],[Age]]&lt;=25,"Young",IF(Table14[[#This Row],[Age]]&gt;55,"Old",IF(Table14[[#This Row],[Age]]&gt;25,"Middle","Na")))</f>
        <v>Middle</v>
      </c>
      <c r="H549" t="s">
        <v>16</v>
      </c>
      <c r="I549">
        <v>4</v>
      </c>
      <c r="J549">
        <v>50</v>
      </c>
      <c r="K549">
        <v>200</v>
      </c>
      <c r="N549" s="11" t="s">
        <v>852</v>
      </c>
      <c r="O549" s="11" t="s">
        <v>16</v>
      </c>
      <c r="P549" s="11">
        <f>K547/J547</f>
        <v>1</v>
      </c>
      <c r="Q549" s="11">
        <v>1200</v>
      </c>
      <c r="R549" s="11">
        <v>1200</v>
      </c>
    </row>
    <row r="550" spans="2:18" x14ac:dyDescent="0.35">
      <c r="B550">
        <v>547</v>
      </c>
      <c r="C550" s="1">
        <v>44992</v>
      </c>
      <c r="D550" t="s">
        <v>560</v>
      </c>
      <c r="E550" t="s">
        <v>10</v>
      </c>
      <c r="F550">
        <v>63</v>
      </c>
      <c r="G550" t="str">
        <f>IF(Table14[[#This Row],[Age]]&lt;=25,"Young",IF(Table14[[#This Row],[Age]]&gt;55,"Old",IF(Table14[[#This Row],[Age]]&gt;25,"Middle","Na")))</f>
        <v>Old</v>
      </c>
      <c r="H550" t="s">
        <v>14</v>
      </c>
      <c r="I550">
        <v>4</v>
      </c>
      <c r="J550">
        <v>500</v>
      </c>
      <c r="K550">
        <v>2000</v>
      </c>
      <c r="N550" s="11" t="s">
        <v>956</v>
      </c>
      <c r="O550" s="11" t="s">
        <v>14</v>
      </c>
      <c r="P550" s="11">
        <f>K548/J548</f>
        <v>2</v>
      </c>
      <c r="Q550" s="11">
        <v>1200</v>
      </c>
      <c r="R550" s="11">
        <v>1200</v>
      </c>
    </row>
    <row r="551" spans="2:18" x14ac:dyDescent="0.35">
      <c r="B551">
        <v>548</v>
      </c>
      <c r="C551" s="1">
        <v>45025</v>
      </c>
      <c r="D551" t="s">
        <v>561</v>
      </c>
      <c r="E551" t="s">
        <v>13</v>
      </c>
      <c r="F551">
        <v>51</v>
      </c>
      <c r="G551" t="str">
        <f>IF(Table14[[#This Row],[Age]]&lt;=25,"Young",IF(Table14[[#This Row],[Age]]&gt;55,"Old",IF(Table14[[#This Row],[Age]]&gt;25,"Middle","Na")))</f>
        <v>Middle</v>
      </c>
      <c r="H551" t="s">
        <v>14</v>
      </c>
      <c r="I551">
        <v>2</v>
      </c>
      <c r="J551">
        <v>30</v>
      </c>
      <c r="K551">
        <v>60</v>
      </c>
      <c r="N551" s="11" t="s">
        <v>110</v>
      </c>
      <c r="O551" s="11" t="s">
        <v>11</v>
      </c>
      <c r="P551" s="11">
        <f>K549/J549</f>
        <v>4</v>
      </c>
      <c r="Q551" s="11">
        <v>1000</v>
      </c>
      <c r="R551" s="11">
        <v>1000</v>
      </c>
    </row>
    <row r="552" spans="2:18" x14ac:dyDescent="0.35">
      <c r="B552">
        <v>549</v>
      </c>
      <c r="C552" s="1">
        <v>45142</v>
      </c>
      <c r="D552" t="s">
        <v>562</v>
      </c>
      <c r="E552" t="s">
        <v>13</v>
      </c>
      <c r="F552">
        <v>50</v>
      </c>
      <c r="G552" t="str">
        <f>IF(Table14[[#This Row],[Age]]&lt;=25,"Young",IF(Table14[[#This Row],[Age]]&gt;55,"Old",IF(Table14[[#This Row],[Age]]&gt;25,"Middle","Na")))</f>
        <v>Middle</v>
      </c>
      <c r="H552" t="s">
        <v>11</v>
      </c>
      <c r="I552">
        <v>2</v>
      </c>
      <c r="J552">
        <v>50</v>
      </c>
      <c r="K552">
        <v>100</v>
      </c>
      <c r="N552" s="11" t="s">
        <v>130</v>
      </c>
      <c r="O552" s="11" t="s">
        <v>16</v>
      </c>
      <c r="P552" s="11">
        <f>K550/J550</f>
        <v>4</v>
      </c>
      <c r="Q552" s="11">
        <v>1000</v>
      </c>
      <c r="R552" s="11">
        <v>1000</v>
      </c>
    </row>
    <row r="553" spans="2:18" x14ac:dyDescent="0.35">
      <c r="B553">
        <v>550</v>
      </c>
      <c r="C553" s="1">
        <v>45267</v>
      </c>
      <c r="D553" t="s">
        <v>563</v>
      </c>
      <c r="E553" t="s">
        <v>10</v>
      </c>
      <c r="F553">
        <v>40</v>
      </c>
      <c r="G553" t="str">
        <f>IF(Table14[[#This Row],[Age]]&lt;=25,"Young",IF(Table14[[#This Row],[Age]]&gt;55,"Old",IF(Table14[[#This Row],[Age]]&gt;25,"Middle","Na")))</f>
        <v>Middle</v>
      </c>
      <c r="H553" t="s">
        <v>14</v>
      </c>
      <c r="I553">
        <v>3</v>
      </c>
      <c r="J553">
        <v>300</v>
      </c>
      <c r="K553">
        <v>900</v>
      </c>
      <c r="N553" s="11" t="s">
        <v>150</v>
      </c>
      <c r="O553" s="11" t="s">
        <v>11</v>
      </c>
      <c r="P553" s="11">
        <f>K551/J551</f>
        <v>2</v>
      </c>
      <c r="Q553" s="11">
        <v>1000</v>
      </c>
      <c r="R553" s="11">
        <v>1000</v>
      </c>
    </row>
    <row r="554" spans="2:18" x14ac:dyDescent="0.35">
      <c r="B554">
        <v>551</v>
      </c>
      <c r="C554" s="1">
        <v>45121</v>
      </c>
      <c r="D554" t="s">
        <v>564</v>
      </c>
      <c r="E554" t="s">
        <v>10</v>
      </c>
      <c r="F554">
        <v>45</v>
      </c>
      <c r="G554" t="str">
        <f>IF(Table14[[#This Row],[Age]]&lt;=25,"Young",IF(Table14[[#This Row],[Age]]&gt;55,"Old",IF(Table14[[#This Row],[Age]]&gt;25,"Middle","Na")))</f>
        <v>Middle</v>
      </c>
      <c r="H554" t="s">
        <v>16</v>
      </c>
      <c r="I554">
        <v>3</v>
      </c>
      <c r="J554">
        <v>300</v>
      </c>
      <c r="K554">
        <v>900</v>
      </c>
      <c r="N554" s="11" t="s">
        <v>166</v>
      </c>
      <c r="O554" s="11" t="s">
        <v>16</v>
      </c>
      <c r="P554" s="11">
        <f>K552/J552</f>
        <v>2</v>
      </c>
      <c r="Q554" s="11">
        <v>1000</v>
      </c>
      <c r="R554" s="11">
        <v>1000</v>
      </c>
    </row>
    <row r="555" spans="2:18" x14ac:dyDescent="0.35">
      <c r="B555">
        <v>552</v>
      </c>
      <c r="C555" s="1">
        <v>45273</v>
      </c>
      <c r="D555" t="s">
        <v>565</v>
      </c>
      <c r="E555" t="s">
        <v>13</v>
      </c>
      <c r="F555">
        <v>49</v>
      </c>
      <c r="G555" t="str">
        <f>IF(Table14[[#This Row],[Age]]&lt;=25,"Young",IF(Table14[[#This Row],[Age]]&gt;55,"Old",IF(Table14[[#This Row],[Age]]&gt;25,"Middle","Na")))</f>
        <v>Middle</v>
      </c>
      <c r="H555" t="s">
        <v>16</v>
      </c>
      <c r="I555">
        <v>3</v>
      </c>
      <c r="J555">
        <v>25</v>
      </c>
      <c r="K555">
        <v>75</v>
      </c>
      <c r="N555" s="11" t="s">
        <v>310</v>
      </c>
      <c r="O555" s="11" t="s">
        <v>16</v>
      </c>
      <c r="P555" s="11">
        <f>K553/J553</f>
        <v>3</v>
      </c>
      <c r="Q555" s="11">
        <v>1000</v>
      </c>
      <c r="R555" s="11">
        <v>1000</v>
      </c>
    </row>
    <row r="556" spans="2:18" x14ac:dyDescent="0.35">
      <c r="B556">
        <v>553</v>
      </c>
      <c r="C556" s="1">
        <v>45016</v>
      </c>
      <c r="D556" t="s">
        <v>566</v>
      </c>
      <c r="E556" t="s">
        <v>10</v>
      </c>
      <c r="F556">
        <v>24</v>
      </c>
      <c r="G556" t="str">
        <f>IF(Table14[[#This Row],[Age]]&lt;=25,"Young",IF(Table14[[#This Row],[Age]]&gt;55,"Old",IF(Table14[[#This Row],[Age]]&gt;25,"Middle","Na")))</f>
        <v>Young</v>
      </c>
      <c r="H556" t="s">
        <v>14</v>
      </c>
      <c r="I556">
        <v>4</v>
      </c>
      <c r="J556">
        <v>300</v>
      </c>
      <c r="K556">
        <v>1200</v>
      </c>
      <c r="N556" s="11" t="s">
        <v>359</v>
      </c>
      <c r="O556" s="11" t="s">
        <v>14</v>
      </c>
      <c r="P556" s="11">
        <f>K554/J554</f>
        <v>3</v>
      </c>
      <c r="Q556" s="11">
        <v>1000</v>
      </c>
      <c r="R556" s="11">
        <v>1000</v>
      </c>
    </row>
    <row r="557" spans="2:18" x14ac:dyDescent="0.35">
      <c r="B557">
        <v>554</v>
      </c>
      <c r="C557" s="1">
        <v>45242</v>
      </c>
      <c r="D557" t="s">
        <v>567</v>
      </c>
      <c r="E557" t="s">
        <v>13</v>
      </c>
      <c r="F557">
        <v>46</v>
      </c>
      <c r="G557" t="str">
        <f>IF(Table14[[#This Row],[Age]]&lt;=25,"Young",IF(Table14[[#This Row],[Age]]&gt;55,"Old",IF(Table14[[#This Row],[Age]]&gt;25,"Middle","Na")))</f>
        <v>Middle</v>
      </c>
      <c r="H557" t="s">
        <v>11</v>
      </c>
      <c r="I557">
        <v>3</v>
      </c>
      <c r="J557">
        <v>50</v>
      </c>
      <c r="K557">
        <v>150</v>
      </c>
      <c r="N557" s="11" t="s">
        <v>408</v>
      </c>
      <c r="O557" s="11" t="s">
        <v>16</v>
      </c>
      <c r="P557" s="11">
        <f>K555/J555</f>
        <v>3</v>
      </c>
      <c r="Q557" s="11">
        <v>1000</v>
      </c>
      <c r="R557" s="11">
        <v>1000</v>
      </c>
    </row>
    <row r="558" spans="2:18" x14ac:dyDescent="0.35">
      <c r="B558">
        <v>555</v>
      </c>
      <c r="C558" s="1">
        <v>45218</v>
      </c>
      <c r="D558" t="s">
        <v>568</v>
      </c>
      <c r="E558" t="s">
        <v>10</v>
      </c>
      <c r="F558">
        <v>25</v>
      </c>
      <c r="G558" t="str">
        <f>IF(Table14[[#This Row],[Age]]&lt;=25,"Young",IF(Table14[[#This Row],[Age]]&gt;55,"Old",IF(Table14[[#This Row],[Age]]&gt;25,"Middle","Na")))</f>
        <v>Young</v>
      </c>
      <c r="H558" t="s">
        <v>11</v>
      </c>
      <c r="I558">
        <v>1</v>
      </c>
      <c r="J558">
        <v>300</v>
      </c>
      <c r="K558">
        <v>300</v>
      </c>
      <c r="N558" s="11" t="s">
        <v>417</v>
      </c>
      <c r="O558" s="11" t="s">
        <v>16</v>
      </c>
      <c r="P558" s="11">
        <f>K556/J556</f>
        <v>4</v>
      </c>
      <c r="Q558" s="11">
        <v>1000</v>
      </c>
      <c r="R558" s="11">
        <v>1000</v>
      </c>
    </row>
    <row r="559" spans="2:18" x14ac:dyDescent="0.35">
      <c r="B559">
        <v>556</v>
      </c>
      <c r="C559" s="1">
        <v>45081</v>
      </c>
      <c r="D559" t="s">
        <v>569</v>
      </c>
      <c r="E559" t="s">
        <v>13</v>
      </c>
      <c r="F559">
        <v>18</v>
      </c>
      <c r="G559" t="str">
        <f>IF(Table14[[#This Row],[Age]]&lt;=25,"Young",IF(Table14[[#This Row],[Age]]&gt;55,"Old",IF(Table14[[#This Row],[Age]]&gt;25,"Middle","Na")))</f>
        <v>Young</v>
      </c>
      <c r="H559" t="s">
        <v>16</v>
      </c>
      <c r="I559">
        <v>1</v>
      </c>
      <c r="J559">
        <v>50</v>
      </c>
      <c r="K559">
        <v>50</v>
      </c>
      <c r="N559" s="11" t="s">
        <v>431</v>
      </c>
      <c r="O559" s="11" t="s">
        <v>16</v>
      </c>
      <c r="P559" s="11">
        <f>K557/J557</f>
        <v>3</v>
      </c>
      <c r="Q559" s="11">
        <v>1000</v>
      </c>
      <c r="R559" s="11">
        <v>1000</v>
      </c>
    </row>
    <row r="560" spans="2:18" x14ac:dyDescent="0.35">
      <c r="B560">
        <v>557</v>
      </c>
      <c r="C560" s="1">
        <v>45134</v>
      </c>
      <c r="D560" t="s">
        <v>570</v>
      </c>
      <c r="E560" t="s">
        <v>13</v>
      </c>
      <c r="F560">
        <v>20</v>
      </c>
      <c r="G560" t="str">
        <f>IF(Table14[[#This Row],[Age]]&lt;=25,"Young",IF(Table14[[#This Row],[Age]]&gt;55,"Old",IF(Table14[[#This Row],[Age]]&gt;25,"Middle","Na")))</f>
        <v>Young</v>
      </c>
      <c r="H560" t="s">
        <v>11</v>
      </c>
      <c r="I560">
        <v>3</v>
      </c>
      <c r="J560">
        <v>30</v>
      </c>
      <c r="K560">
        <v>90</v>
      </c>
      <c r="N560" s="11" t="s">
        <v>634</v>
      </c>
      <c r="O560" s="11" t="s">
        <v>11</v>
      </c>
      <c r="P560" s="11">
        <f>K558/J558</f>
        <v>1</v>
      </c>
      <c r="Q560" s="11">
        <v>1000</v>
      </c>
      <c r="R560" s="11">
        <v>1000</v>
      </c>
    </row>
    <row r="561" spans="2:18" x14ac:dyDescent="0.35">
      <c r="B561">
        <v>558</v>
      </c>
      <c r="C561" s="1">
        <v>45207</v>
      </c>
      <c r="D561" t="s">
        <v>571</v>
      </c>
      <c r="E561" t="s">
        <v>13</v>
      </c>
      <c r="F561">
        <v>41</v>
      </c>
      <c r="G561" t="str">
        <f>IF(Table14[[#This Row],[Age]]&lt;=25,"Young",IF(Table14[[#This Row],[Age]]&gt;55,"Old",IF(Table14[[#This Row],[Age]]&gt;25,"Middle","Na")))</f>
        <v>Middle</v>
      </c>
      <c r="H561" t="s">
        <v>14</v>
      </c>
      <c r="I561">
        <v>1</v>
      </c>
      <c r="J561">
        <v>25</v>
      </c>
      <c r="K561">
        <v>25</v>
      </c>
      <c r="N561" s="11" t="s">
        <v>722</v>
      </c>
      <c r="O561" s="11" t="s">
        <v>16</v>
      </c>
      <c r="P561" s="11">
        <f>K559/J559</f>
        <v>1</v>
      </c>
      <c r="Q561" s="11">
        <v>1000</v>
      </c>
      <c r="R561" s="11">
        <v>1000</v>
      </c>
    </row>
    <row r="562" spans="2:18" x14ac:dyDescent="0.35">
      <c r="B562">
        <v>559</v>
      </c>
      <c r="C562" s="1">
        <v>44927</v>
      </c>
      <c r="D562" t="s">
        <v>572</v>
      </c>
      <c r="E562" t="s">
        <v>13</v>
      </c>
      <c r="F562">
        <v>40</v>
      </c>
      <c r="G562" t="str">
        <f>IF(Table14[[#This Row],[Age]]&lt;=25,"Young",IF(Table14[[#This Row],[Age]]&gt;55,"Old",IF(Table14[[#This Row],[Age]]&gt;25,"Middle","Na")))</f>
        <v>Middle</v>
      </c>
      <c r="H562" t="s">
        <v>14</v>
      </c>
      <c r="I562">
        <v>4</v>
      </c>
      <c r="J562">
        <v>300</v>
      </c>
      <c r="K562">
        <v>1200</v>
      </c>
      <c r="N562" s="11" t="s">
        <v>33</v>
      </c>
      <c r="O562" s="11" t="s">
        <v>14</v>
      </c>
      <c r="P562" s="11">
        <f>K560/J560</f>
        <v>3</v>
      </c>
      <c r="Q562" s="11">
        <v>900</v>
      </c>
      <c r="R562" s="11">
        <v>900</v>
      </c>
    </row>
    <row r="563" spans="2:18" x14ac:dyDescent="0.35">
      <c r="B563">
        <v>560</v>
      </c>
      <c r="C563" s="1">
        <v>45082</v>
      </c>
      <c r="D563" t="s">
        <v>573</v>
      </c>
      <c r="E563" t="s">
        <v>13</v>
      </c>
      <c r="F563">
        <v>25</v>
      </c>
      <c r="G563" t="str">
        <f>IF(Table14[[#This Row],[Age]]&lt;=25,"Young",IF(Table14[[#This Row],[Age]]&gt;55,"Old",IF(Table14[[#This Row],[Age]]&gt;25,"Middle","Na")))</f>
        <v>Young</v>
      </c>
      <c r="H563" t="s">
        <v>16</v>
      </c>
      <c r="I563">
        <v>1</v>
      </c>
      <c r="J563">
        <v>50</v>
      </c>
      <c r="K563">
        <v>50</v>
      </c>
      <c r="N563" s="11" t="s">
        <v>55</v>
      </c>
      <c r="O563" s="11" t="s">
        <v>14</v>
      </c>
      <c r="P563" s="11">
        <f>K561/J561</f>
        <v>1</v>
      </c>
      <c r="Q563" s="11">
        <v>900</v>
      </c>
      <c r="R563" s="11">
        <v>900</v>
      </c>
    </row>
    <row r="564" spans="2:18" x14ac:dyDescent="0.35">
      <c r="B564">
        <v>561</v>
      </c>
      <c r="C564" s="1">
        <v>45073</v>
      </c>
      <c r="D564" t="s">
        <v>574</v>
      </c>
      <c r="E564" t="s">
        <v>13</v>
      </c>
      <c r="F564">
        <v>64</v>
      </c>
      <c r="G564" t="str">
        <f>IF(Table14[[#This Row],[Age]]&lt;=25,"Young",IF(Table14[[#This Row],[Age]]&gt;55,"Old",IF(Table14[[#This Row],[Age]]&gt;25,"Middle","Na")))</f>
        <v>Old</v>
      </c>
      <c r="H564" t="s">
        <v>14</v>
      </c>
      <c r="I564">
        <v>4</v>
      </c>
      <c r="J564">
        <v>500</v>
      </c>
      <c r="K564">
        <v>2000</v>
      </c>
      <c r="N564" s="11" t="s">
        <v>193</v>
      </c>
      <c r="O564" s="11" t="s">
        <v>14</v>
      </c>
      <c r="P564" s="11">
        <f>K562/J562</f>
        <v>4</v>
      </c>
      <c r="Q564" s="11">
        <v>900</v>
      </c>
      <c r="R564" s="11">
        <v>900</v>
      </c>
    </row>
    <row r="565" spans="2:18" x14ac:dyDescent="0.35">
      <c r="B565">
        <v>562</v>
      </c>
      <c r="C565" s="1">
        <v>45034</v>
      </c>
      <c r="D565" t="s">
        <v>575</v>
      </c>
      <c r="E565" t="s">
        <v>10</v>
      </c>
      <c r="F565">
        <v>54</v>
      </c>
      <c r="G565" t="str">
        <f>IF(Table14[[#This Row],[Age]]&lt;=25,"Young",IF(Table14[[#This Row],[Age]]&gt;55,"Old",IF(Table14[[#This Row],[Age]]&gt;25,"Middle","Na")))</f>
        <v>Middle</v>
      </c>
      <c r="H565" t="s">
        <v>16</v>
      </c>
      <c r="I565">
        <v>2</v>
      </c>
      <c r="J565">
        <v>25</v>
      </c>
      <c r="K565">
        <v>50</v>
      </c>
      <c r="N565" s="11" t="s">
        <v>209</v>
      </c>
      <c r="O565" s="11" t="s">
        <v>14</v>
      </c>
      <c r="P565" s="11">
        <f>K563/J563</f>
        <v>1</v>
      </c>
      <c r="Q565" s="11">
        <v>900</v>
      </c>
      <c r="R565" s="11">
        <v>900</v>
      </c>
    </row>
    <row r="566" spans="2:18" x14ac:dyDescent="0.35">
      <c r="B566">
        <v>563</v>
      </c>
      <c r="C566" s="1">
        <v>45147</v>
      </c>
      <c r="D566" t="s">
        <v>576</v>
      </c>
      <c r="E566" t="s">
        <v>10</v>
      </c>
      <c r="F566">
        <v>20</v>
      </c>
      <c r="G566" t="str">
        <f>IF(Table14[[#This Row],[Age]]&lt;=25,"Young",IF(Table14[[#This Row],[Age]]&gt;55,"Old",IF(Table14[[#This Row],[Age]]&gt;25,"Middle","Na")))</f>
        <v>Young</v>
      </c>
      <c r="H566" t="s">
        <v>14</v>
      </c>
      <c r="I566">
        <v>2</v>
      </c>
      <c r="J566">
        <v>30</v>
      </c>
      <c r="K566">
        <v>60</v>
      </c>
      <c r="N566" s="11" t="s">
        <v>278</v>
      </c>
      <c r="O566" s="11" t="s">
        <v>14</v>
      </c>
      <c r="P566" s="11">
        <f>K564/J564</f>
        <v>4</v>
      </c>
      <c r="Q566" s="11">
        <v>900</v>
      </c>
      <c r="R566" s="11">
        <v>900</v>
      </c>
    </row>
    <row r="567" spans="2:18" x14ac:dyDescent="0.35">
      <c r="B567">
        <v>564</v>
      </c>
      <c r="C567" s="1">
        <v>45223</v>
      </c>
      <c r="D567" t="s">
        <v>577</v>
      </c>
      <c r="E567" t="s">
        <v>10</v>
      </c>
      <c r="F567">
        <v>50</v>
      </c>
      <c r="G567" t="str">
        <f>IF(Table14[[#This Row],[Age]]&lt;=25,"Young",IF(Table14[[#This Row],[Age]]&gt;55,"Old",IF(Table14[[#This Row],[Age]]&gt;25,"Middle","Na")))</f>
        <v>Middle</v>
      </c>
      <c r="H567" t="s">
        <v>16</v>
      </c>
      <c r="I567">
        <v>2</v>
      </c>
      <c r="J567">
        <v>50</v>
      </c>
      <c r="K567">
        <v>100</v>
      </c>
      <c r="N567" s="11" t="s">
        <v>430</v>
      </c>
      <c r="O567" s="11" t="s">
        <v>16</v>
      </c>
      <c r="P567" s="11">
        <f>K565/J565</f>
        <v>2</v>
      </c>
      <c r="Q567" s="11">
        <v>900</v>
      </c>
      <c r="R567" s="11">
        <v>900</v>
      </c>
    </row>
    <row r="568" spans="2:18" x14ac:dyDescent="0.35">
      <c r="B568">
        <v>565</v>
      </c>
      <c r="C568" s="1">
        <v>45237</v>
      </c>
      <c r="D568" t="s">
        <v>578</v>
      </c>
      <c r="E568" t="s">
        <v>13</v>
      </c>
      <c r="F568">
        <v>45</v>
      </c>
      <c r="G568" t="str">
        <f>IF(Table14[[#This Row],[Age]]&lt;=25,"Young",IF(Table14[[#This Row],[Age]]&gt;55,"Old",IF(Table14[[#This Row],[Age]]&gt;25,"Middle","Na")))</f>
        <v>Middle</v>
      </c>
      <c r="H568" t="s">
        <v>11</v>
      </c>
      <c r="I568">
        <v>2</v>
      </c>
      <c r="J568">
        <v>30</v>
      </c>
      <c r="K568">
        <v>60</v>
      </c>
      <c r="N568" s="11" t="s">
        <v>443</v>
      </c>
      <c r="O568" s="11" t="s">
        <v>16</v>
      </c>
      <c r="P568" s="11">
        <f>K566/J566</f>
        <v>2</v>
      </c>
      <c r="Q568" s="11">
        <v>900</v>
      </c>
      <c r="R568" s="11">
        <v>900</v>
      </c>
    </row>
    <row r="569" spans="2:18" x14ac:dyDescent="0.35">
      <c r="B569">
        <v>566</v>
      </c>
      <c r="C569" s="1">
        <v>45262</v>
      </c>
      <c r="D569" t="s">
        <v>579</v>
      </c>
      <c r="E569" t="s">
        <v>13</v>
      </c>
      <c r="F569">
        <v>64</v>
      </c>
      <c r="G569" t="str">
        <f>IF(Table14[[#This Row],[Age]]&lt;=25,"Young",IF(Table14[[#This Row],[Age]]&gt;55,"Old",IF(Table14[[#This Row],[Age]]&gt;25,"Middle","Na")))</f>
        <v>Old</v>
      </c>
      <c r="H569" t="s">
        <v>14</v>
      </c>
      <c r="I569">
        <v>1</v>
      </c>
      <c r="J569">
        <v>30</v>
      </c>
      <c r="K569">
        <v>30</v>
      </c>
      <c r="N569" s="11" t="s">
        <v>504</v>
      </c>
      <c r="O569" s="11" t="s">
        <v>16</v>
      </c>
      <c r="P569" s="11">
        <f>K567/J567</f>
        <v>2</v>
      </c>
      <c r="Q569" s="11">
        <v>900</v>
      </c>
      <c r="R569" s="11">
        <v>900</v>
      </c>
    </row>
    <row r="570" spans="2:18" x14ac:dyDescent="0.35">
      <c r="B570">
        <v>567</v>
      </c>
      <c r="C570" s="1">
        <v>45091</v>
      </c>
      <c r="D570" t="s">
        <v>580</v>
      </c>
      <c r="E570" t="s">
        <v>13</v>
      </c>
      <c r="F570">
        <v>25</v>
      </c>
      <c r="G570" t="str">
        <f>IF(Table14[[#This Row],[Age]]&lt;=25,"Young",IF(Table14[[#This Row],[Age]]&gt;55,"Old",IF(Table14[[#This Row],[Age]]&gt;25,"Middle","Na")))</f>
        <v>Young</v>
      </c>
      <c r="H570" t="s">
        <v>14</v>
      </c>
      <c r="I570">
        <v>3</v>
      </c>
      <c r="J570">
        <v>300</v>
      </c>
      <c r="K570">
        <v>900</v>
      </c>
      <c r="N570" s="11" t="s">
        <v>522</v>
      </c>
      <c r="O570" s="11" t="s">
        <v>16</v>
      </c>
      <c r="P570" s="11">
        <f>K568/J568</f>
        <v>2</v>
      </c>
      <c r="Q570" s="11">
        <v>900</v>
      </c>
      <c r="R570" s="11">
        <v>900</v>
      </c>
    </row>
    <row r="571" spans="2:18" x14ac:dyDescent="0.35">
      <c r="B571">
        <v>568</v>
      </c>
      <c r="C571" s="1">
        <v>45165</v>
      </c>
      <c r="D571" t="s">
        <v>581</v>
      </c>
      <c r="E571" t="s">
        <v>13</v>
      </c>
      <c r="F571">
        <v>51</v>
      </c>
      <c r="G571" t="str">
        <f>IF(Table14[[#This Row],[Age]]&lt;=25,"Young",IF(Table14[[#This Row],[Age]]&gt;55,"Old",IF(Table14[[#This Row],[Age]]&gt;25,"Middle","Na")))</f>
        <v>Middle</v>
      </c>
      <c r="H571" t="s">
        <v>16</v>
      </c>
      <c r="I571">
        <v>1</v>
      </c>
      <c r="J571">
        <v>300</v>
      </c>
      <c r="K571">
        <v>300</v>
      </c>
      <c r="N571" s="11" t="s">
        <v>528</v>
      </c>
      <c r="O571" s="11" t="s">
        <v>14</v>
      </c>
      <c r="P571" s="11">
        <f>K569/J569</f>
        <v>1</v>
      </c>
      <c r="Q571" s="11">
        <v>900</v>
      </c>
      <c r="R571" s="11">
        <v>900</v>
      </c>
    </row>
    <row r="572" spans="2:18" x14ac:dyDescent="0.35">
      <c r="B572">
        <v>569</v>
      </c>
      <c r="C572" s="1">
        <v>45153</v>
      </c>
      <c r="D572" t="s">
        <v>582</v>
      </c>
      <c r="E572" t="s">
        <v>10</v>
      </c>
      <c r="F572">
        <v>52</v>
      </c>
      <c r="G572" t="str">
        <f>IF(Table14[[#This Row],[Age]]&lt;=25,"Young",IF(Table14[[#This Row],[Age]]&gt;55,"Old",IF(Table14[[#This Row],[Age]]&gt;25,"Middle","Na")))</f>
        <v>Middle</v>
      </c>
      <c r="H572" t="s">
        <v>16</v>
      </c>
      <c r="I572">
        <v>4</v>
      </c>
      <c r="J572">
        <v>50</v>
      </c>
      <c r="K572">
        <v>200</v>
      </c>
      <c r="N572" s="11" t="s">
        <v>563</v>
      </c>
      <c r="O572" s="11" t="s">
        <v>14</v>
      </c>
      <c r="P572" s="11">
        <f>K570/J570</f>
        <v>3</v>
      </c>
      <c r="Q572" s="11">
        <v>900</v>
      </c>
      <c r="R572" s="11">
        <v>900</v>
      </c>
    </row>
    <row r="573" spans="2:18" x14ac:dyDescent="0.35">
      <c r="B573">
        <v>570</v>
      </c>
      <c r="C573" s="1">
        <v>45153</v>
      </c>
      <c r="D573" t="s">
        <v>583</v>
      </c>
      <c r="E573" t="s">
        <v>10</v>
      </c>
      <c r="F573">
        <v>49</v>
      </c>
      <c r="G573" t="str">
        <f>IF(Table14[[#This Row],[Age]]&lt;=25,"Young",IF(Table14[[#This Row],[Age]]&gt;55,"Old",IF(Table14[[#This Row],[Age]]&gt;25,"Middle","Na")))</f>
        <v>Middle</v>
      </c>
      <c r="H573" t="s">
        <v>14</v>
      </c>
      <c r="I573">
        <v>1</v>
      </c>
      <c r="J573">
        <v>500</v>
      </c>
      <c r="K573">
        <v>500</v>
      </c>
      <c r="N573" s="11" t="s">
        <v>691</v>
      </c>
      <c r="O573" s="11" t="s">
        <v>16</v>
      </c>
      <c r="P573" s="11">
        <f>K571/J571</f>
        <v>1</v>
      </c>
      <c r="Q573" s="11">
        <v>900</v>
      </c>
      <c r="R573" s="11">
        <v>900</v>
      </c>
    </row>
    <row r="574" spans="2:18" x14ac:dyDescent="0.35">
      <c r="B574">
        <v>571</v>
      </c>
      <c r="C574" s="1">
        <v>45272</v>
      </c>
      <c r="D574" t="s">
        <v>584</v>
      </c>
      <c r="E574" t="s">
        <v>13</v>
      </c>
      <c r="F574">
        <v>41</v>
      </c>
      <c r="G574" t="str">
        <f>IF(Table14[[#This Row],[Age]]&lt;=25,"Young",IF(Table14[[#This Row],[Age]]&gt;55,"Old",IF(Table14[[#This Row],[Age]]&gt;25,"Middle","Na")))</f>
        <v>Middle</v>
      </c>
      <c r="H574" t="s">
        <v>16</v>
      </c>
      <c r="I574">
        <v>1</v>
      </c>
      <c r="J574">
        <v>50</v>
      </c>
      <c r="K574">
        <v>50</v>
      </c>
      <c r="N574" s="11" t="s">
        <v>703</v>
      </c>
      <c r="O574" s="11" t="s">
        <v>14</v>
      </c>
      <c r="P574" s="11">
        <f>K572/J572</f>
        <v>4</v>
      </c>
      <c r="Q574" s="11">
        <v>900</v>
      </c>
      <c r="R574" s="11">
        <v>900</v>
      </c>
    </row>
    <row r="575" spans="2:18" x14ac:dyDescent="0.35">
      <c r="B575">
        <v>572</v>
      </c>
      <c r="C575" s="1">
        <v>45036</v>
      </c>
      <c r="D575" t="s">
        <v>585</v>
      </c>
      <c r="E575" t="s">
        <v>10</v>
      </c>
      <c r="F575">
        <v>31</v>
      </c>
      <c r="G575" t="str">
        <f>IF(Table14[[#This Row],[Age]]&lt;=25,"Young",IF(Table14[[#This Row],[Age]]&gt;55,"Old",IF(Table14[[#This Row],[Age]]&gt;25,"Middle","Na")))</f>
        <v>Middle</v>
      </c>
      <c r="H575" t="s">
        <v>14</v>
      </c>
      <c r="I575">
        <v>4</v>
      </c>
      <c r="J575">
        <v>500</v>
      </c>
      <c r="K575">
        <v>2000</v>
      </c>
      <c r="N575" s="11" t="s">
        <v>721</v>
      </c>
      <c r="O575" s="11" t="s">
        <v>11</v>
      </c>
      <c r="P575" s="11">
        <f>K573/J573</f>
        <v>1</v>
      </c>
      <c r="Q575" s="11">
        <v>900</v>
      </c>
      <c r="R575" s="11">
        <v>900</v>
      </c>
    </row>
    <row r="576" spans="2:18" x14ac:dyDescent="0.35">
      <c r="B576">
        <v>573</v>
      </c>
      <c r="C576" s="1">
        <v>45188</v>
      </c>
      <c r="D576" t="s">
        <v>586</v>
      </c>
      <c r="E576" t="s">
        <v>10</v>
      </c>
      <c r="F576">
        <v>49</v>
      </c>
      <c r="G576" t="str">
        <f>IF(Table14[[#This Row],[Age]]&lt;=25,"Young",IF(Table14[[#This Row],[Age]]&gt;55,"Old",IF(Table14[[#This Row],[Age]]&gt;25,"Middle","Na")))</f>
        <v>Middle</v>
      </c>
      <c r="H576" t="s">
        <v>11</v>
      </c>
      <c r="I576">
        <v>2</v>
      </c>
      <c r="J576">
        <v>30</v>
      </c>
      <c r="K576">
        <v>60</v>
      </c>
      <c r="N576" s="11" t="s">
        <v>904</v>
      </c>
      <c r="O576" s="11" t="s">
        <v>16</v>
      </c>
      <c r="P576" s="11">
        <f>K574/J574</f>
        <v>1</v>
      </c>
      <c r="Q576" s="11">
        <v>900</v>
      </c>
      <c r="R576" s="11">
        <v>900</v>
      </c>
    </row>
    <row r="577" spans="2:18" x14ac:dyDescent="0.35">
      <c r="B577">
        <v>574</v>
      </c>
      <c r="C577" s="1">
        <v>45169</v>
      </c>
      <c r="D577" t="s">
        <v>587</v>
      </c>
      <c r="E577" t="s">
        <v>13</v>
      </c>
      <c r="F577">
        <v>63</v>
      </c>
      <c r="G577" t="str">
        <f>IF(Table14[[#This Row],[Age]]&lt;=25,"Young",IF(Table14[[#This Row],[Age]]&gt;55,"Old",IF(Table14[[#This Row],[Age]]&gt;25,"Middle","Na")))</f>
        <v>Old</v>
      </c>
      <c r="H577" t="s">
        <v>16</v>
      </c>
      <c r="I577">
        <v>2</v>
      </c>
      <c r="J577">
        <v>25</v>
      </c>
      <c r="K577">
        <v>50</v>
      </c>
      <c r="N577" s="11" t="s">
        <v>967</v>
      </c>
      <c r="O577" s="11" t="s">
        <v>16</v>
      </c>
      <c r="P577" s="11">
        <f>K575/J575</f>
        <v>4</v>
      </c>
      <c r="Q577" s="11">
        <v>900</v>
      </c>
      <c r="R577" s="11">
        <v>900</v>
      </c>
    </row>
    <row r="578" spans="2:18" x14ac:dyDescent="0.35">
      <c r="B578">
        <v>575</v>
      </c>
      <c r="C578" s="1">
        <v>45013</v>
      </c>
      <c r="D578" t="s">
        <v>588</v>
      </c>
      <c r="E578" t="s">
        <v>10</v>
      </c>
      <c r="F578">
        <v>60</v>
      </c>
      <c r="G578" t="str">
        <f>IF(Table14[[#This Row],[Age]]&lt;=25,"Young",IF(Table14[[#This Row],[Age]]&gt;55,"Old",IF(Table14[[#This Row],[Age]]&gt;25,"Middle","Na")))</f>
        <v>Old</v>
      </c>
      <c r="H578" t="s">
        <v>14</v>
      </c>
      <c r="I578">
        <v>2</v>
      </c>
      <c r="J578">
        <v>50</v>
      </c>
      <c r="K578">
        <v>100</v>
      </c>
      <c r="N578" s="11" t="s">
        <v>977</v>
      </c>
      <c r="O578" s="11" t="s">
        <v>14</v>
      </c>
      <c r="P578" s="11">
        <f>K576/J576</f>
        <v>2</v>
      </c>
      <c r="Q578" s="11">
        <v>900</v>
      </c>
      <c r="R578" s="11">
        <v>900</v>
      </c>
    </row>
    <row r="579" spans="2:18" x14ac:dyDescent="0.35">
      <c r="B579">
        <v>576</v>
      </c>
      <c r="C579" s="1">
        <v>45264</v>
      </c>
      <c r="D579" t="s">
        <v>589</v>
      </c>
      <c r="E579" t="s">
        <v>13</v>
      </c>
      <c r="F579">
        <v>33</v>
      </c>
      <c r="G579" t="str">
        <f>IF(Table14[[#This Row],[Age]]&lt;=25,"Young",IF(Table14[[#This Row],[Age]]&gt;55,"Old",IF(Table14[[#This Row],[Age]]&gt;25,"Middle","Na")))</f>
        <v>Middle</v>
      </c>
      <c r="H579" t="s">
        <v>11</v>
      </c>
      <c r="I579">
        <v>3</v>
      </c>
      <c r="J579">
        <v>50</v>
      </c>
      <c r="K579">
        <v>150</v>
      </c>
      <c r="N579" s="11" t="s">
        <v>982</v>
      </c>
      <c r="O579" s="11" t="s">
        <v>14</v>
      </c>
      <c r="P579" s="11">
        <f>K577/J577</f>
        <v>2</v>
      </c>
      <c r="Q579" s="11">
        <v>900</v>
      </c>
      <c r="R579" s="11">
        <v>900</v>
      </c>
    </row>
    <row r="580" spans="2:18" x14ac:dyDescent="0.35">
      <c r="B580">
        <v>577</v>
      </c>
      <c r="C580" s="1">
        <v>44970</v>
      </c>
      <c r="D580" t="s">
        <v>590</v>
      </c>
      <c r="E580" t="s">
        <v>10</v>
      </c>
      <c r="F580">
        <v>21</v>
      </c>
      <c r="G580" t="str">
        <f>IF(Table14[[#This Row],[Age]]&lt;=25,"Young",IF(Table14[[#This Row],[Age]]&gt;55,"Old",IF(Table14[[#This Row],[Age]]&gt;25,"Middle","Na")))</f>
        <v>Young</v>
      </c>
      <c r="H580" t="s">
        <v>11</v>
      </c>
      <c r="I580">
        <v>4</v>
      </c>
      <c r="J580">
        <v>500</v>
      </c>
      <c r="K580">
        <v>2000</v>
      </c>
      <c r="N580" s="11" t="s">
        <v>109</v>
      </c>
      <c r="O580" s="11" t="s">
        <v>14</v>
      </c>
      <c r="P580" s="11">
        <f>K578/J578</f>
        <v>2</v>
      </c>
      <c r="Q580" s="11">
        <v>600</v>
      </c>
      <c r="R580" s="11">
        <v>600</v>
      </c>
    </row>
    <row r="581" spans="2:18" x14ac:dyDescent="0.35">
      <c r="B581">
        <v>578</v>
      </c>
      <c r="C581" s="1">
        <v>45072</v>
      </c>
      <c r="D581" t="s">
        <v>591</v>
      </c>
      <c r="E581" t="s">
        <v>13</v>
      </c>
      <c r="F581">
        <v>54</v>
      </c>
      <c r="G581" t="str">
        <f>IF(Table14[[#This Row],[Age]]&lt;=25,"Young",IF(Table14[[#This Row],[Age]]&gt;55,"Old",IF(Table14[[#This Row],[Age]]&gt;25,"Middle","Na")))</f>
        <v>Middle</v>
      </c>
      <c r="H581" t="s">
        <v>14</v>
      </c>
      <c r="I581">
        <v>4</v>
      </c>
      <c r="J581">
        <v>30</v>
      </c>
      <c r="K581">
        <v>120</v>
      </c>
      <c r="N581" s="11" t="s">
        <v>234</v>
      </c>
      <c r="O581" s="11" t="s">
        <v>11</v>
      </c>
      <c r="P581" s="11">
        <f>K579/J579</f>
        <v>3</v>
      </c>
      <c r="Q581" s="11">
        <v>600</v>
      </c>
      <c r="R581" s="11">
        <v>600</v>
      </c>
    </row>
    <row r="582" spans="2:18" x14ac:dyDescent="0.35">
      <c r="B582">
        <v>579</v>
      </c>
      <c r="C582" s="1">
        <v>45190</v>
      </c>
      <c r="D582" t="s">
        <v>592</v>
      </c>
      <c r="E582" t="s">
        <v>13</v>
      </c>
      <c r="F582">
        <v>38</v>
      </c>
      <c r="G582" t="str">
        <f>IF(Table14[[#This Row],[Age]]&lt;=25,"Young",IF(Table14[[#This Row],[Age]]&gt;55,"Old",IF(Table14[[#This Row],[Age]]&gt;25,"Middle","Na")))</f>
        <v>Middle</v>
      </c>
      <c r="H582" t="s">
        <v>16</v>
      </c>
      <c r="I582">
        <v>1</v>
      </c>
      <c r="J582">
        <v>30</v>
      </c>
      <c r="K582">
        <v>30</v>
      </c>
      <c r="N582" s="11" t="s">
        <v>303</v>
      </c>
      <c r="O582" s="11" t="s">
        <v>11</v>
      </c>
      <c r="P582" s="11">
        <f>K580/J580</f>
        <v>4</v>
      </c>
      <c r="Q582" s="11">
        <v>600</v>
      </c>
      <c r="R582" s="11">
        <v>600</v>
      </c>
    </row>
    <row r="583" spans="2:18" x14ac:dyDescent="0.35">
      <c r="B583">
        <v>580</v>
      </c>
      <c r="C583" s="1">
        <v>45266</v>
      </c>
      <c r="D583" t="s">
        <v>593</v>
      </c>
      <c r="E583" t="s">
        <v>13</v>
      </c>
      <c r="F583">
        <v>31</v>
      </c>
      <c r="G583" t="str">
        <f>IF(Table14[[#This Row],[Age]]&lt;=25,"Young",IF(Table14[[#This Row],[Age]]&gt;55,"Old",IF(Table14[[#This Row],[Age]]&gt;25,"Middle","Na")))</f>
        <v>Middle</v>
      </c>
      <c r="H583" t="s">
        <v>14</v>
      </c>
      <c r="I583">
        <v>3</v>
      </c>
      <c r="J583">
        <v>500</v>
      </c>
      <c r="K583">
        <v>1500</v>
      </c>
      <c r="N583" s="11" t="s">
        <v>304</v>
      </c>
      <c r="O583" s="11" t="s">
        <v>14</v>
      </c>
      <c r="P583" s="11">
        <f>K581/J581</f>
        <v>4</v>
      </c>
      <c r="Q583" s="11">
        <v>600</v>
      </c>
      <c r="R583" s="11">
        <v>600</v>
      </c>
    </row>
    <row r="584" spans="2:18" x14ac:dyDescent="0.35">
      <c r="B584">
        <v>581</v>
      </c>
      <c r="C584" s="1">
        <v>45251</v>
      </c>
      <c r="D584" t="s">
        <v>594</v>
      </c>
      <c r="E584" t="s">
        <v>13</v>
      </c>
      <c r="F584">
        <v>48</v>
      </c>
      <c r="G584" t="str">
        <f>IF(Table14[[#This Row],[Age]]&lt;=25,"Young",IF(Table14[[#This Row],[Age]]&gt;55,"Old",IF(Table14[[#This Row],[Age]]&gt;25,"Middle","Na")))</f>
        <v>Middle</v>
      </c>
      <c r="H584" t="s">
        <v>11</v>
      </c>
      <c r="I584">
        <v>2</v>
      </c>
      <c r="J584">
        <v>30</v>
      </c>
      <c r="K584">
        <v>60</v>
      </c>
      <c r="N584" s="11" t="s">
        <v>456</v>
      </c>
      <c r="O584" s="11" t="s">
        <v>14</v>
      </c>
      <c r="P584" s="11">
        <f>K582/J582</f>
        <v>1</v>
      </c>
      <c r="Q584" s="11">
        <v>600</v>
      </c>
      <c r="R584" s="11">
        <v>600</v>
      </c>
    </row>
    <row r="585" spans="2:18" x14ac:dyDescent="0.35">
      <c r="B585">
        <v>582</v>
      </c>
      <c r="C585" s="1">
        <v>45244</v>
      </c>
      <c r="D585" t="s">
        <v>595</v>
      </c>
      <c r="E585" t="s">
        <v>10</v>
      </c>
      <c r="F585">
        <v>35</v>
      </c>
      <c r="G585" t="str">
        <f>IF(Table14[[#This Row],[Age]]&lt;=25,"Young",IF(Table14[[#This Row],[Age]]&gt;55,"Old",IF(Table14[[#This Row],[Age]]&gt;25,"Middle","Na")))</f>
        <v>Middle</v>
      </c>
      <c r="H585" t="s">
        <v>14</v>
      </c>
      <c r="I585">
        <v>3</v>
      </c>
      <c r="J585">
        <v>300</v>
      </c>
      <c r="K585">
        <v>900</v>
      </c>
      <c r="N585" s="11" t="s">
        <v>521</v>
      </c>
      <c r="O585" s="11" t="s">
        <v>11</v>
      </c>
      <c r="P585" s="11">
        <f>K583/J583</f>
        <v>3</v>
      </c>
      <c r="Q585" s="11">
        <v>600</v>
      </c>
      <c r="R585" s="11">
        <v>600</v>
      </c>
    </row>
    <row r="586" spans="2:18" x14ac:dyDescent="0.35">
      <c r="B586">
        <v>583</v>
      </c>
      <c r="C586" s="1">
        <v>45098</v>
      </c>
      <c r="D586" t="s">
        <v>596</v>
      </c>
      <c r="E586" t="s">
        <v>13</v>
      </c>
      <c r="F586">
        <v>24</v>
      </c>
      <c r="G586" t="str">
        <f>IF(Table14[[#This Row],[Age]]&lt;=25,"Young",IF(Table14[[#This Row],[Age]]&gt;55,"Old",IF(Table14[[#This Row],[Age]]&gt;25,"Middle","Na")))</f>
        <v>Young</v>
      </c>
      <c r="H586" t="s">
        <v>16</v>
      </c>
      <c r="I586">
        <v>4</v>
      </c>
      <c r="J586">
        <v>25</v>
      </c>
      <c r="K586">
        <v>100</v>
      </c>
      <c r="N586" s="11" t="s">
        <v>556</v>
      </c>
      <c r="O586" s="11" t="s">
        <v>11</v>
      </c>
      <c r="P586" s="11">
        <f>K584/J584</f>
        <v>2</v>
      </c>
      <c r="Q586" s="11">
        <v>600</v>
      </c>
      <c r="R586" s="11">
        <v>600</v>
      </c>
    </row>
    <row r="587" spans="2:18" x14ac:dyDescent="0.35">
      <c r="B587">
        <v>584</v>
      </c>
      <c r="C587" s="1">
        <v>44974</v>
      </c>
      <c r="D587" t="s">
        <v>597</v>
      </c>
      <c r="E587" t="s">
        <v>13</v>
      </c>
      <c r="F587">
        <v>27</v>
      </c>
      <c r="G587" t="str">
        <f>IF(Table14[[#This Row],[Age]]&lt;=25,"Young",IF(Table14[[#This Row],[Age]]&gt;55,"Old",IF(Table14[[#This Row],[Age]]&gt;25,"Middle","Na")))</f>
        <v>Middle</v>
      </c>
      <c r="H587" t="s">
        <v>11</v>
      </c>
      <c r="I587">
        <v>4</v>
      </c>
      <c r="J587">
        <v>50</v>
      </c>
      <c r="K587">
        <v>200</v>
      </c>
      <c r="N587" s="11" t="s">
        <v>607</v>
      </c>
      <c r="O587" s="11" t="s">
        <v>16</v>
      </c>
      <c r="P587" s="11">
        <f>K585/J585</f>
        <v>3</v>
      </c>
      <c r="Q587" s="11">
        <v>600</v>
      </c>
      <c r="R587" s="11">
        <v>600</v>
      </c>
    </row>
    <row r="588" spans="2:18" x14ac:dyDescent="0.35">
      <c r="B588">
        <v>585</v>
      </c>
      <c r="C588" s="1">
        <v>45047</v>
      </c>
      <c r="D588" t="s">
        <v>598</v>
      </c>
      <c r="E588" t="s">
        <v>13</v>
      </c>
      <c r="F588">
        <v>24</v>
      </c>
      <c r="G588" t="str">
        <f>IF(Table14[[#This Row],[Age]]&lt;=25,"Young",IF(Table14[[#This Row],[Age]]&gt;55,"Old",IF(Table14[[#This Row],[Age]]&gt;25,"Middle","Na")))</f>
        <v>Young</v>
      </c>
      <c r="H588" t="s">
        <v>14</v>
      </c>
      <c r="I588">
        <v>1</v>
      </c>
      <c r="J588">
        <v>25</v>
      </c>
      <c r="K588">
        <v>25</v>
      </c>
      <c r="N588" s="11" t="s">
        <v>855</v>
      </c>
      <c r="O588" s="11" t="s">
        <v>14</v>
      </c>
      <c r="P588" s="11">
        <f>K586/J586</f>
        <v>4</v>
      </c>
      <c r="Q588" s="11">
        <v>600</v>
      </c>
      <c r="R588" s="11">
        <v>600</v>
      </c>
    </row>
    <row r="589" spans="2:18" x14ac:dyDescent="0.35">
      <c r="B589">
        <v>586</v>
      </c>
      <c r="C589" s="1">
        <v>45271</v>
      </c>
      <c r="D589" t="s">
        <v>599</v>
      </c>
      <c r="E589" t="s">
        <v>10</v>
      </c>
      <c r="F589">
        <v>50</v>
      </c>
      <c r="G589" t="str">
        <f>IF(Table14[[#This Row],[Age]]&lt;=25,"Young",IF(Table14[[#This Row],[Age]]&gt;55,"Old",IF(Table14[[#This Row],[Age]]&gt;25,"Middle","Na")))</f>
        <v>Middle</v>
      </c>
      <c r="H589" t="s">
        <v>16</v>
      </c>
      <c r="I589">
        <v>1</v>
      </c>
      <c r="J589">
        <v>50</v>
      </c>
      <c r="K589">
        <v>50</v>
      </c>
      <c r="N589" s="11" t="s">
        <v>989</v>
      </c>
      <c r="O589" s="11" t="s">
        <v>11</v>
      </c>
      <c r="P589" s="11">
        <f>K587/J587</f>
        <v>4</v>
      </c>
      <c r="Q589" s="11">
        <v>600</v>
      </c>
      <c r="R589" s="11">
        <v>600</v>
      </c>
    </row>
    <row r="590" spans="2:18" x14ac:dyDescent="0.35">
      <c r="B590">
        <v>587</v>
      </c>
      <c r="C590" s="1">
        <v>45085</v>
      </c>
      <c r="D590" t="s">
        <v>600</v>
      </c>
      <c r="E590" t="s">
        <v>13</v>
      </c>
      <c r="F590">
        <v>40</v>
      </c>
      <c r="G590" t="str">
        <f>IF(Table14[[#This Row],[Age]]&lt;=25,"Young",IF(Table14[[#This Row],[Age]]&gt;55,"Old",IF(Table14[[#This Row],[Age]]&gt;25,"Middle","Na")))</f>
        <v>Middle</v>
      </c>
      <c r="H590" t="s">
        <v>11</v>
      </c>
      <c r="I590">
        <v>4</v>
      </c>
      <c r="J590">
        <v>300</v>
      </c>
      <c r="K590">
        <v>1200</v>
      </c>
      <c r="N590" s="11" t="s">
        <v>41</v>
      </c>
      <c r="O590" s="11" t="s">
        <v>11</v>
      </c>
      <c r="P590" s="11">
        <f>K588/J588</f>
        <v>1</v>
      </c>
      <c r="Q590" s="11">
        <v>500</v>
      </c>
      <c r="R590" s="11">
        <v>500</v>
      </c>
    </row>
    <row r="591" spans="2:18" x14ac:dyDescent="0.35">
      <c r="B591">
        <v>588</v>
      </c>
      <c r="C591" s="1">
        <v>45042</v>
      </c>
      <c r="D591" t="s">
        <v>601</v>
      </c>
      <c r="E591" t="s">
        <v>10</v>
      </c>
      <c r="F591">
        <v>38</v>
      </c>
      <c r="G591" t="str">
        <f>IF(Table14[[#This Row],[Age]]&lt;=25,"Young",IF(Table14[[#This Row],[Age]]&gt;55,"Old",IF(Table14[[#This Row],[Age]]&gt;25,"Middle","Na")))</f>
        <v>Middle</v>
      </c>
      <c r="H591" t="s">
        <v>16</v>
      </c>
      <c r="I591">
        <v>2</v>
      </c>
      <c r="J591">
        <v>30</v>
      </c>
      <c r="K591">
        <v>60</v>
      </c>
      <c r="N591" s="11" t="s">
        <v>104</v>
      </c>
      <c r="O591" s="11" t="s">
        <v>16</v>
      </c>
      <c r="P591" s="11">
        <f>K589/J589</f>
        <v>1</v>
      </c>
      <c r="Q591" s="11">
        <v>500</v>
      </c>
      <c r="R591" s="11">
        <v>500</v>
      </c>
    </row>
    <row r="592" spans="2:18" x14ac:dyDescent="0.35">
      <c r="B592">
        <v>589</v>
      </c>
      <c r="C592" s="1">
        <v>45028</v>
      </c>
      <c r="D592" t="s">
        <v>602</v>
      </c>
      <c r="E592" t="s">
        <v>13</v>
      </c>
      <c r="F592">
        <v>36</v>
      </c>
      <c r="G592" t="str">
        <f>IF(Table14[[#This Row],[Age]]&lt;=25,"Young",IF(Table14[[#This Row],[Age]]&gt;55,"Old",IF(Table14[[#This Row],[Age]]&gt;25,"Middle","Na")))</f>
        <v>Middle</v>
      </c>
      <c r="H592" t="s">
        <v>11</v>
      </c>
      <c r="I592">
        <v>2</v>
      </c>
      <c r="J592">
        <v>500</v>
      </c>
      <c r="K592">
        <v>1000</v>
      </c>
      <c r="N592" s="11" t="s">
        <v>143</v>
      </c>
      <c r="O592" s="11" t="s">
        <v>14</v>
      </c>
      <c r="P592" s="11">
        <f>K590/J590</f>
        <v>4</v>
      </c>
      <c r="Q592" s="11">
        <v>500</v>
      </c>
      <c r="R592" s="11">
        <v>500</v>
      </c>
    </row>
    <row r="593" spans="2:18" x14ac:dyDescent="0.35">
      <c r="B593">
        <v>590</v>
      </c>
      <c r="C593" s="1">
        <v>45002</v>
      </c>
      <c r="D593" t="s">
        <v>603</v>
      </c>
      <c r="E593" t="s">
        <v>10</v>
      </c>
      <c r="F593">
        <v>36</v>
      </c>
      <c r="G593" t="str">
        <f>IF(Table14[[#This Row],[Age]]&lt;=25,"Young",IF(Table14[[#This Row],[Age]]&gt;55,"Old",IF(Table14[[#This Row],[Age]]&gt;25,"Middle","Na")))</f>
        <v>Middle</v>
      </c>
      <c r="H593" t="s">
        <v>14</v>
      </c>
      <c r="I593">
        <v>3</v>
      </c>
      <c r="J593">
        <v>300</v>
      </c>
      <c r="K593">
        <v>900</v>
      </c>
      <c r="N593" s="11" t="s">
        <v>350</v>
      </c>
      <c r="O593" s="11" t="s">
        <v>14</v>
      </c>
      <c r="P593" s="11">
        <f>K591/J591</f>
        <v>2</v>
      </c>
      <c r="Q593" s="11">
        <v>500</v>
      </c>
      <c r="R593" s="11">
        <v>500</v>
      </c>
    </row>
    <row r="594" spans="2:18" x14ac:dyDescent="0.35">
      <c r="B594">
        <v>591</v>
      </c>
      <c r="C594" s="1">
        <v>44939</v>
      </c>
      <c r="D594" t="s">
        <v>604</v>
      </c>
      <c r="E594" t="s">
        <v>10</v>
      </c>
      <c r="F594">
        <v>53</v>
      </c>
      <c r="G594" t="str">
        <f>IF(Table14[[#This Row],[Age]]&lt;=25,"Young",IF(Table14[[#This Row],[Age]]&gt;55,"Old",IF(Table14[[#This Row],[Age]]&gt;25,"Middle","Na")))</f>
        <v>Middle</v>
      </c>
      <c r="H594" t="s">
        <v>16</v>
      </c>
      <c r="I594">
        <v>4</v>
      </c>
      <c r="J594">
        <v>25</v>
      </c>
      <c r="K594">
        <v>100</v>
      </c>
      <c r="N594" s="11" t="s">
        <v>366</v>
      </c>
      <c r="O594" s="11" t="s">
        <v>16</v>
      </c>
      <c r="P594" s="11">
        <f>K592/J592</f>
        <v>2</v>
      </c>
      <c r="Q594" s="11">
        <v>500</v>
      </c>
      <c r="R594" s="11">
        <v>500</v>
      </c>
    </row>
    <row r="595" spans="2:18" x14ac:dyDescent="0.35">
      <c r="B595">
        <v>592</v>
      </c>
      <c r="C595" s="1">
        <v>44950</v>
      </c>
      <c r="D595" t="s">
        <v>605</v>
      </c>
      <c r="E595" t="s">
        <v>13</v>
      </c>
      <c r="F595">
        <v>46</v>
      </c>
      <c r="G595" t="str">
        <f>IF(Table14[[#This Row],[Age]]&lt;=25,"Young",IF(Table14[[#This Row],[Age]]&gt;55,"Old",IF(Table14[[#This Row],[Age]]&gt;25,"Middle","Na")))</f>
        <v>Middle</v>
      </c>
      <c r="H595" t="s">
        <v>11</v>
      </c>
      <c r="I595">
        <v>4</v>
      </c>
      <c r="J595">
        <v>500</v>
      </c>
      <c r="K595">
        <v>2000</v>
      </c>
      <c r="N595" s="11" t="s">
        <v>421</v>
      </c>
      <c r="O595" s="11" t="s">
        <v>11</v>
      </c>
      <c r="P595" s="11">
        <f>K593/J593</f>
        <v>3</v>
      </c>
      <c r="Q595" s="11">
        <v>500</v>
      </c>
      <c r="R595" s="11">
        <v>500</v>
      </c>
    </row>
    <row r="596" spans="2:18" x14ac:dyDescent="0.35">
      <c r="B596">
        <v>593</v>
      </c>
      <c r="C596" s="1">
        <v>45052</v>
      </c>
      <c r="D596" t="s">
        <v>606</v>
      </c>
      <c r="E596" t="s">
        <v>10</v>
      </c>
      <c r="F596">
        <v>35</v>
      </c>
      <c r="G596" t="str">
        <f>IF(Table14[[#This Row],[Age]]&lt;=25,"Young",IF(Table14[[#This Row],[Age]]&gt;55,"Old",IF(Table14[[#This Row],[Age]]&gt;25,"Middle","Na")))</f>
        <v>Middle</v>
      </c>
      <c r="H596" t="s">
        <v>16</v>
      </c>
      <c r="I596">
        <v>2</v>
      </c>
      <c r="J596">
        <v>30</v>
      </c>
      <c r="K596">
        <v>60</v>
      </c>
      <c r="N596" s="11" t="s">
        <v>554</v>
      </c>
      <c r="O596" s="11" t="s">
        <v>11</v>
      </c>
      <c r="P596" s="11">
        <f>K594/J594</f>
        <v>4</v>
      </c>
      <c r="Q596" s="11">
        <v>500</v>
      </c>
      <c r="R596" s="11">
        <v>500</v>
      </c>
    </row>
    <row r="597" spans="2:18" x14ac:dyDescent="0.35">
      <c r="B597">
        <v>594</v>
      </c>
      <c r="C597" s="1">
        <v>45170</v>
      </c>
      <c r="D597" t="s">
        <v>607</v>
      </c>
      <c r="E597" t="s">
        <v>13</v>
      </c>
      <c r="F597">
        <v>19</v>
      </c>
      <c r="G597" t="str">
        <f>IF(Table14[[#This Row],[Age]]&lt;=25,"Young",IF(Table14[[#This Row],[Age]]&gt;55,"Old",IF(Table14[[#This Row],[Age]]&gt;25,"Middle","Na")))</f>
        <v>Young</v>
      </c>
      <c r="H597" t="s">
        <v>16</v>
      </c>
      <c r="I597">
        <v>2</v>
      </c>
      <c r="J597">
        <v>300</v>
      </c>
      <c r="K597">
        <v>600</v>
      </c>
      <c r="N597" s="11" t="s">
        <v>651</v>
      </c>
      <c r="O597" s="11" t="s">
        <v>16</v>
      </c>
      <c r="P597" s="11">
        <f>K595/J595</f>
        <v>4</v>
      </c>
      <c r="Q597" s="11">
        <v>500</v>
      </c>
      <c r="R597" s="11">
        <v>500</v>
      </c>
    </row>
    <row r="598" spans="2:18" x14ac:dyDescent="0.35">
      <c r="B598">
        <v>595</v>
      </c>
      <c r="C598" s="1">
        <v>45239</v>
      </c>
      <c r="D598" t="s">
        <v>608</v>
      </c>
      <c r="E598" t="s">
        <v>13</v>
      </c>
      <c r="F598">
        <v>18</v>
      </c>
      <c r="G598" t="str">
        <f>IF(Table14[[#This Row],[Age]]&lt;=25,"Young",IF(Table14[[#This Row],[Age]]&gt;55,"Old",IF(Table14[[#This Row],[Age]]&gt;25,"Middle","Na")))</f>
        <v>Young</v>
      </c>
      <c r="H598" t="s">
        <v>14</v>
      </c>
      <c r="I598">
        <v>4</v>
      </c>
      <c r="J598">
        <v>500</v>
      </c>
      <c r="K598">
        <v>2000</v>
      </c>
      <c r="N598" s="11" t="s">
        <v>794</v>
      </c>
      <c r="O598" s="11" t="s">
        <v>11</v>
      </c>
      <c r="P598" s="11">
        <f>K596/J596</f>
        <v>2</v>
      </c>
      <c r="Q598" s="11">
        <v>500</v>
      </c>
      <c r="R598" s="11">
        <v>500</v>
      </c>
    </row>
    <row r="599" spans="2:18" x14ac:dyDescent="0.35">
      <c r="B599">
        <v>596</v>
      </c>
      <c r="C599" s="1">
        <v>44964</v>
      </c>
      <c r="D599" t="s">
        <v>609</v>
      </c>
      <c r="E599" t="s">
        <v>13</v>
      </c>
      <c r="F599">
        <v>64</v>
      </c>
      <c r="G599" t="str">
        <f>IF(Table14[[#This Row],[Age]]&lt;=25,"Young",IF(Table14[[#This Row],[Age]]&gt;55,"Old",IF(Table14[[#This Row],[Age]]&gt;25,"Middle","Na")))</f>
        <v>Old</v>
      </c>
      <c r="H599" t="s">
        <v>16</v>
      </c>
      <c r="I599">
        <v>1</v>
      </c>
      <c r="J599">
        <v>300</v>
      </c>
      <c r="K599">
        <v>300</v>
      </c>
      <c r="N599" s="11" t="s">
        <v>797</v>
      </c>
      <c r="O599" s="11" t="s">
        <v>16</v>
      </c>
      <c r="P599" s="11">
        <f>K597/J597</f>
        <v>2</v>
      </c>
      <c r="Q599" s="11">
        <v>500</v>
      </c>
      <c r="R599" s="11">
        <v>500</v>
      </c>
    </row>
    <row r="600" spans="2:18" x14ac:dyDescent="0.35">
      <c r="B600">
        <v>597</v>
      </c>
      <c r="C600" s="1">
        <v>45160</v>
      </c>
      <c r="D600" t="s">
        <v>610</v>
      </c>
      <c r="E600" t="s">
        <v>10</v>
      </c>
      <c r="F600">
        <v>22</v>
      </c>
      <c r="G600" t="str">
        <f>IF(Table14[[#This Row],[Age]]&lt;=25,"Young",IF(Table14[[#This Row],[Age]]&gt;55,"Old",IF(Table14[[#This Row],[Age]]&gt;25,"Middle","Na")))</f>
        <v>Young</v>
      </c>
      <c r="H600" t="s">
        <v>11</v>
      </c>
      <c r="I600">
        <v>4</v>
      </c>
      <c r="J600">
        <v>300</v>
      </c>
      <c r="K600">
        <v>1200</v>
      </c>
      <c r="N600" s="11" t="s">
        <v>877</v>
      </c>
      <c r="O600" s="11" t="s">
        <v>16</v>
      </c>
      <c r="P600" s="11">
        <f>K598/J598</f>
        <v>4</v>
      </c>
      <c r="Q600" s="11">
        <v>500</v>
      </c>
      <c r="R600" s="11">
        <v>500</v>
      </c>
    </row>
    <row r="601" spans="2:18" x14ac:dyDescent="0.35">
      <c r="B601">
        <v>598</v>
      </c>
      <c r="C601" s="1">
        <v>45139</v>
      </c>
      <c r="D601" t="s">
        <v>611</v>
      </c>
      <c r="E601" t="s">
        <v>10</v>
      </c>
      <c r="F601">
        <v>37</v>
      </c>
      <c r="G601" t="str">
        <f>IF(Table14[[#This Row],[Age]]&lt;=25,"Young",IF(Table14[[#This Row],[Age]]&gt;55,"Old",IF(Table14[[#This Row],[Age]]&gt;25,"Middle","Na")))</f>
        <v>Middle</v>
      </c>
      <c r="H601" t="s">
        <v>11</v>
      </c>
      <c r="I601">
        <v>4</v>
      </c>
      <c r="J601">
        <v>30</v>
      </c>
      <c r="K601">
        <v>120</v>
      </c>
      <c r="N601" s="11" t="s">
        <v>917</v>
      </c>
      <c r="O601" s="11" t="s">
        <v>14</v>
      </c>
      <c r="P601" s="11">
        <f>K599/J599</f>
        <v>1</v>
      </c>
      <c r="Q601" s="11">
        <v>500</v>
      </c>
      <c r="R601" s="11">
        <v>500</v>
      </c>
    </row>
    <row r="602" spans="2:18" x14ac:dyDescent="0.35">
      <c r="B602">
        <v>599</v>
      </c>
      <c r="C602" s="1">
        <v>45249</v>
      </c>
      <c r="D602" t="s">
        <v>612</v>
      </c>
      <c r="E602" t="s">
        <v>13</v>
      </c>
      <c r="F602">
        <v>28</v>
      </c>
      <c r="G602" t="str">
        <f>IF(Table14[[#This Row],[Age]]&lt;=25,"Young",IF(Table14[[#This Row],[Age]]&gt;55,"Old",IF(Table14[[#This Row],[Age]]&gt;25,"Middle","Na")))</f>
        <v>Middle</v>
      </c>
      <c r="H602" t="s">
        <v>11</v>
      </c>
      <c r="I602">
        <v>2</v>
      </c>
      <c r="J602">
        <v>50</v>
      </c>
      <c r="K602">
        <v>100</v>
      </c>
      <c r="N602" s="11" t="s">
        <v>947</v>
      </c>
      <c r="O602" s="11" t="s">
        <v>11</v>
      </c>
      <c r="P602" s="11">
        <f>K600/J600</f>
        <v>4</v>
      </c>
      <c r="Q602" s="11">
        <v>500</v>
      </c>
      <c r="R602" s="11">
        <v>500</v>
      </c>
    </row>
    <row r="603" spans="2:18" x14ac:dyDescent="0.35">
      <c r="B603">
        <v>600</v>
      </c>
      <c r="C603" s="1">
        <v>45221</v>
      </c>
      <c r="D603" t="s">
        <v>613</v>
      </c>
      <c r="E603" t="s">
        <v>13</v>
      </c>
      <c r="F603">
        <v>59</v>
      </c>
      <c r="G603" t="str">
        <f>IF(Table14[[#This Row],[Age]]&lt;=25,"Young",IF(Table14[[#This Row],[Age]]&gt;55,"Old",IF(Table14[[#This Row],[Age]]&gt;25,"Middle","Na")))</f>
        <v>Old</v>
      </c>
      <c r="H603" t="s">
        <v>11</v>
      </c>
      <c r="I603">
        <v>2</v>
      </c>
      <c r="J603">
        <v>500</v>
      </c>
      <c r="K603">
        <v>1000</v>
      </c>
      <c r="N603" s="11" t="s">
        <v>56</v>
      </c>
      <c r="O603" s="11" t="s">
        <v>14</v>
      </c>
      <c r="P603" s="11">
        <f>K601/J601</f>
        <v>4</v>
      </c>
      <c r="Q603" s="11">
        <v>300</v>
      </c>
      <c r="R603" s="11">
        <v>300</v>
      </c>
    </row>
    <row r="604" spans="2:18" x14ac:dyDescent="0.35">
      <c r="B604">
        <v>601</v>
      </c>
      <c r="C604" s="1">
        <v>45026</v>
      </c>
      <c r="D604" t="s">
        <v>614</v>
      </c>
      <c r="E604" t="s">
        <v>10</v>
      </c>
      <c r="F604">
        <v>19</v>
      </c>
      <c r="G604" t="str">
        <f>IF(Table14[[#This Row],[Age]]&lt;=25,"Young",IF(Table14[[#This Row],[Age]]&gt;55,"Old",IF(Table14[[#This Row],[Age]]&gt;25,"Middle","Na")))</f>
        <v>Young</v>
      </c>
      <c r="H604" t="s">
        <v>14</v>
      </c>
      <c r="I604">
        <v>1</v>
      </c>
      <c r="J604">
        <v>30</v>
      </c>
      <c r="K604">
        <v>30</v>
      </c>
      <c r="N604" s="11" t="s">
        <v>391</v>
      </c>
      <c r="O604" s="11" t="s">
        <v>11</v>
      </c>
      <c r="P604" s="11">
        <f>K602/J602</f>
        <v>2</v>
      </c>
      <c r="Q604" s="11">
        <v>300</v>
      </c>
      <c r="R604" s="11">
        <v>300</v>
      </c>
    </row>
    <row r="605" spans="2:18" x14ac:dyDescent="0.35">
      <c r="B605">
        <v>602</v>
      </c>
      <c r="C605" s="1">
        <v>45283</v>
      </c>
      <c r="D605" t="s">
        <v>615</v>
      </c>
      <c r="E605" t="s">
        <v>13</v>
      </c>
      <c r="F605">
        <v>20</v>
      </c>
      <c r="G605" t="str">
        <f>IF(Table14[[#This Row],[Age]]&lt;=25,"Young",IF(Table14[[#This Row],[Age]]&gt;55,"Old",IF(Table14[[#This Row],[Age]]&gt;25,"Middle","Na")))</f>
        <v>Young</v>
      </c>
      <c r="H605" t="s">
        <v>16</v>
      </c>
      <c r="I605">
        <v>1</v>
      </c>
      <c r="J605">
        <v>300</v>
      </c>
      <c r="K605">
        <v>300</v>
      </c>
      <c r="N605" s="11" t="s">
        <v>536</v>
      </c>
      <c r="O605" s="11" t="s">
        <v>16</v>
      </c>
      <c r="P605" s="11">
        <f>K603/J603</f>
        <v>2</v>
      </c>
      <c r="Q605" s="11">
        <v>300</v>
      </c>
      <c r="R605" s="11">
        <v>300</v>
      </c>
    </row>
    <row r="606" spans="2:18" x14ac:dyDescent="0.35">
      <c r="B606">
        <v>603</v>
      </c>
      <c r="C606" s="1">
        <v>45123</v>
      </c>
      <c r="D606" t="s">
        <v>616</v>
      </c>
      <c r="E606" t="s">
        <v>13</v>
      </c>
      <c r="F606">
        <v>40</v>
      </c>
      <c r="G606" t="str">
        <f>IF(Table14[[#This Row],[Age]]&lt;=25,"Young",IF(Table14[[#This Row],[Age]]&gt;55,"Old",IF(Table14[[#This Row],[Age]]&gt;25,"Middle","Na")))</f>
        <v>Middle</v>
      </c>
      <c r="H606" t="s">
        <v>14</v>
      </c>
      <c r="I606">
        <v>3</v>
      </c>
      <c r="J606">
        <v>30</v>
      </c>
      <c r="K606">
        <v>90</v>
      </c>
      <c r="N606" s="11" t="s">
        <v>609</v>
      </c>
      <c r="O606" s="11" t="s">
        <v>16</v>
      </c>
      <c r="P606" s="11">
        <f>K604/J604</f>
        <v>1</v>
      </c>
      <c r="Q606" s="11">
        <v>300</v>
      </c>
      <c r="R606" s="11">
        <v>300</v>
      </c>
    </row>
    <row r="607" spans="2:18" x14ac:dyDescent="0.35">
      <c r="B607">
        <v>604</v>
      </c>
      <c r="C607" s="1">
        <v>45180</v>
      </c>
      <c r="D607" t="s">
        <v>617</v>
      </c>
      <c r="E607" t="s">
        <v>13</v>
      </c>
      <c r="F607">
        <v>29</v>
      </c>
      <c r="G607" t="str">
        <f>IF(Table14[[#This Row],[Age]]&lt;=25,"Young",IF(Table14[[#This Row],[Age]]&gt;55,"Old",IF(Table14[[#This Row],[Age]]&gt;25,"Middle","Na")))</f>
        <v>Middle</v>
      </c>
      <c r="H607" t="s">
        <v>16</v>
      </c>
      <c r="I607">
        <v>4</v>
      </c>
      <c r="J607">
        <v>50</v>
      </c>
      <c r="K607">
        <v>200</v>
      </c>
      <c r="N607" s="11" t="s">
        <v>738</v>
      </c>
      <c r="O607" s="11" t="s">
        <v>16</v>
      </c>
      <c r="P607" s="11">
        <f>K605/J605</f>
        <v>1</v>
      </c>
      <c r="Q607" s="11">
        <v>300</v>
      </c>
      <c r="R607" s="11">
        <v>300</v>
      </c>
    </row>
    <row r="608" spans="2:18" x14ac:dyDescent="0.35">
      <c r="B608">
        <v>605</v>
      </c>
      <c r="C608" s="1">
        <v>45131</v>
      </c>
      <c r="D608" t="s">
        <v>618</v>
      </c>
      <c r="E608" t="s">
        <v>10</v>
      </c>
      <c r="F608">
        <v>37</v>
      </c>
      <c r="G608" t="str">
        <f>IF(Table14[[#This Row],[Age]]&lt;=25,"Young",IF(Table14[[#This Row],[Age]]&gt;55,"Old",IF(Table14[[#This Row],[Age]]&gt;25,"Middle","Na")))</f>
        <v>Middle</v>
      </c>
      <c r="H608" t="s">
        <v>16</v>
      </c>
      <c r="I608">
        <v>2</v>
      </c>
      <c r="J608">
        <v>500</v>
      </c>
      <c r="K608">
        <v>1000</v>
      </c>
      <c r="N608" s="11" t="s">
        <v>796</v>
      </c>
      <c r="O608" s="11" t="s">
        <v>14</v>
      </c>
      <c r="P608" s="11">
        <f>K606/J606</f>
        <v>3</v>
      </c>
      <c r="Q608" s="11">
        <v>300</v>
      </c>
      <c r="R608" s="11">
        <v>300</v>
      </c>
    </row>
    <row r="609" spans="2:18" x14ac:dyDescent="0.35">
      <c r="B609">
        <v>606</v>
      </c>
      <c r="C609" s="1">
        <v>45051</v>
      </c>
      <c r="D609" t="s">
        <v>619</v>
      </c>
      <c r="E609" t="s">
        <v>10</v>
      </c>
      <c r="F609">
        <v>22</v>
      </c>
      <c r="G609" t="str">
        <f>IF(Table14[[#This Row],[Age]]&lt;=25,"Young",IF(Table14[[#This Row],[Age]]&gt;55,"Old",IF(Table14[[#This Row],[Age]]&gt;25,"Middle","Na")))</f>
        <v>Young</v>
      </c>
      <c r="H609" t="s">
        <v>16</v>
      </c>
      <c r="I609">
        <v>1</v>
      </c>
      <c r="J609">
        <v>50</v>
      </c>
      <c r="K609">
        <v>50</v>
      </c>
      <c r="N609" s="11" t="s">
        <v>839</v>
      </c>
      <c r="O609" s="11" t="s">
        <v>14</v>
      </c>
      <c r="P609" s="11">
        <f>K607/J607</f>
        <v>4</v>
      </c>
      <c r="Q609" s="11">
        <v>300</v>
      </c>
      <c r="R609" s="11">
        <v>300</v>
      </c>
    </row>
    <row r="610" spans="2:18" x14ac:dyDescent="0.35">
      <c r="B610">
        <v>607</v>
      </c>
      <c r="C610" s="1">
        <v>45002</v>
      </c>
      <c r="D610" t="s">
        <v>620</v>
      </c>
      <c r="E610" t="s">
        <v>10</v>
      </c>
      <c r="F610">
        <v>54</v>
      </c>
      <c r="G610" t="str">
        <f>IF(Table14[[#This Row],[Age]]&lt;=25,"Young",IF(Table14[[#This Row],[Age]]&gt;55,"Old",IF(Table14[[#This Row],[Age]]&gt;25,"Middle","Na")))</f>
        <v>Middle</v>
      </c>
      <c r="H610" t="s">
        <v>14</v>
      </c>
      <c r="I610">
        <v>3</v>
      </c>
      <c r="J610">
        <v>25</v>
      </c>
      <c r="K610">
        <v>75</v>
      </c>
      <c r="N610" s="11" t="s">
        <v>881</v>
      </c>
      <c r="O610" s="11" t="s">
        <v>16</v>
      </c>
      <c r="P610" s="11">
        <f>K608/J608</f>
        <v>2</v>
      </c>
      <c r="Q610" s="11">
        <v>300</v>
      </c>
      <c r="R610" s="11">
        <v>300</v>
      </c>
    </row>
    <row r="611" spans="2:18" x14ac:dyDescent="0.35">
      <c r="B611">
        <v>608</v>
      </c>
      <c r="C611" s="1">
        <v>45262</v>
      </c>
      <c r="D611" t="s">
        <v>621</v>
      </c>
      <c r="E611" t="s">
        <v>13</v>
      </c>
      <c r="F611">
        <v>55</v>
      </c>
      <c r="G611" t="str">
        <f>IF(Table14[[#This Row],[Age]]&lt;=25,"Young",IF(Table14[[#This Row],[Age]]&gt;55,"Old",IF(Table14[[#This Row],[Age]]&gt;25,"Middle","Na")))</f>
        <v>Middle</v>
      </c>
      <c r="H611" t="s">
        <v>16</v>
      </c>
      <c r="I611">
        <v>3</v>
      </c>
      <c r="J611">
        <v>500</v>
      </c>
      <c r="K611">
        <v>1500</v>
      </c>
      <c r="N611" s="11" t="s">
        <v>894</v>
      </c>
      <c r="O611" s="11" t="s">
        <v>16</v>
      </c>
      <c r="P611" s="11">
        <f>K609/J609</f>
        <v>1</v>
      </c>
      <c r="Q611" s="11">
        <v>300</v>
      </c>
      <c r="R611" s="11">
        <v>300</v>
      </c>
    </row>
    <row r="612" spans="2:18" x14ac:dyDescent="0.35">
      <c r="B612">
        <v>609</v>
      </c>
      <c r="C612" s="1">
        <v>45279</v>
      </c>
      <c r="D612" t="s">
        <v>622</v>
      </c>
      <c r="E612" t="s">
        <v>13</v>
      </c>
      <c r="F612">
        <v>47</v>
      </c>
      <c r="G612" t="str">
        <f>IF(Table14[[#This Row],[Age]]&lt;=25,"Young",IF(Table14[[#This Row],[Age]]&gt;55,"Old",IF(Table14[[#This Row],[Age]]&gt;25,"Middle","Na")))</f>
        <v>Middle</v>
      </c>
      <c r="H612" t="s">
        <v>14</v>
      </c>
      <c r="I612">
        <v>2</v>
      </c>
      <c r="J612">
        <v>50</v>
      </c>
      <c r="K612">
        <v>100</v>
      </c>
      <c r="N612" s="11" t="s">
        <v>918</v>
      </c>
      <c r="O612" s="11" t="s">
        <v>11</v>
      </c>
      <c r="P612" s="11">
        <f>K610/J610</f>
        <v>3</v>
      </c>
      <c r="Q612" s="11">
        <v>300</v>
      </c>
      <c r="R612" s="11">
        <v>300</v>
      </c>
    </row>
    <row r="613" spans="2:18" x14ac:dyDescent="0.35">
      <c r="B613">
        <v>610</v>
      </c>
      <c r="C613" s="1">
        <v>44929</v>
      </c>
      <c r="D613" t="s">
        <v>623</v>
      </c>
      <c r="E613" t="s">
        <v>13</v>
      </c>
      <c r="F613">
        <v>26</v>
      </c>
      <c r="G613" t="str">
        <f>IF(Table14[[#This Row],[Age]]&lt;=25,"Young",IF(Table14[[#This Row],[Age]]&gt;55,"Old",IF(Table14[[#This Row],[Age]]&gt;25,"Middle","Na")))</f>
        <v>Middle</v>
      </c>
      <c r="H613" t="s">
        <v>11</v>
      </c>
      <c r="I613">
        <v>2</v>
      </c>
      <c r="J613">
        <v>300</v>
      </c>
      <c r="K613">
        <v>600</v>
      </c>
      <c r="N613" s="11" t="s">
        <v>922</v>
      </c>
      <c r="O613" s="11" t="s">
        <v>16</v>
      </c>
      <c r="P613" s="11">
        <f>K611/J611</f>
        <v>3</v>
      </c>
      <c r="Q613" s="11">
        <v>300</v>
      </c>
      <c r="R613" s="11">
        <v>300</v>
      </c>
    </row>
    <row r="614" spans="2:18" x14ac:dyDescent="0.35">
      <c r="B614">
        <v>611</v>
      </c>
      <c r="C614" s="1">
        <v>44981</v>
      </c>
      <c r="D614" t="s">
        <v>624</v>
      </c>
      <c r="E614" t="s">
        <v>10</v>
      </c>
      <c r="F614">
        <v>51</v>
      </c>
      <c r="G614" t="str">
        <f>IF(Table14[[#This Row],[Age]]&lt;=25,"Young",IF(Table14[[#This Row],[Age]]&gt;55,"Old",IF(Table14[[#This Row],[Age]]&gt;25,"Middle","Na")))</f>
        <v>Middle</v>
      </c>
      <c r="H614" t="s">
        <v>11</v>
      </c>
      <c r="I614">
        <v>3</v>
      </c>
      <c r="J614">
        <v>500</v>
      </c>
      <c r="K614">
        <v>1500</v>
      </c>
      <c r="N614" s="11" t="s">
        <v>938</v>
      </c>
      <c r="O614" s="11" t="s">
        <v>16</v>
      </c>
      <c r="P614" s="11">
        <f>K612/J612</f>
        <v>2</v>
      </c>
      <c r="Q614" s="11">
        <v>300</v>
      </c>
      <c r="R614" s="11">
        <v>300</v>
      </c>
    </row>
    <row r="615" spans="2:18" x14ac:dyDescent="0.35">
      <c r="B615">
        <v>612</v>
      </c>
      <c r="C615" s="1">
        <v>45144</v>
      </c>
      <c r="D615" t="s">
        <v>625</v>
      </c>
      <c r="E615" t="s">
        <v>13</v>
      </c>
      <c r="F615">
        <v>61</v>
      </c>
      <c r="G615" t="str">
        <f>IF(Table14[[#This Row],[Age]]&lt;=25,"Young",IF(Table14[[#This Row],[Age]]&gt;55,"Old",IF(Table14[[#This Row],[Age]]&gt;25,"Middle","Na")))</f>
        <v>Old</v>
      </c>
      <c r="H615" t="s">
        <v>16</v>
      </c>
      <c r="I615">
        <v>1</v>
      </c>
      <c r="J615">
        <v>500</v>
      </c>
      <c r="K615">
        <v>500</v>
      </c>
      <c r="N615" s="11" t="s">
        <v>960</v>
      </c>
      <c r="O615" s="11" t="s">
        <v>11</v>
      </c>
      <c r="P615" s="11">
        <f>K613/J613</f>
        <v>2</v>
      </c>
      <c r="Q615" s="11">
        <v>300</v>
      </c>
      <c r="R615" s="11">
        <v>300</v>
      </c>
    </row>
    <row r="616" spans="2:18" x14ac:dyDescent="0.35">
      <c r="B616">
        <v>613</v>
      </c>
      <c r="C616" s="1">
        <v>45039</v>
      </c>
      <c r="D616" t="s">
        <v>626</v>
      </c>
      <c r="E616" t="s">
        <v>13</v>
      </c>
      <c r="F616">
        <v>52</v>
      </c>
      <c r="G616" t="str">
        <f>IF(Table14[[#This Row],[Age]]&lt;=25,"Young",IF(Table14[[#This Row],[Age]]&gt;55,"Old",IF(Table14[[#This Row],[Age]]&gt;25,"Middle","Na")))</f>
        <v>Middle</v>
      </c>
      <c r="H616" t="s">
        <v>14</v>
      </c>
      <c r="I616">
        <v>3</v>
      </c>
      <c r="J616">
        <v>30</v>
      </c>
      <c r="K616">
        <v>90</v>
      </c>
      <c r="N616" s="11" t="s">
        <v>51</v>
      </c>
      <c r="O616" s="11" t="s">
        <v>11</v>
      </c>
      <c r="P616" s="11">
        <f>K614/J614</f>
        <v>3</v>
      </c>
      <c r="Q616" s="11">
        <v>200</v>
      </c>
      <c r="R616" s="11">
        <v>200</v>
      </c>
    </row>
    <row r="617" spans="2:18" x14ac:dyDescent="0.35">
      <c r="B617">
        <v>614</v>
      </c>
      <c r="C617" s="1">
        <v>45017</v>
      </c>
      <c r="D617" t="s">
        <v>627</v>
      </c>
      <c r="E617" t="s">
        <v>13</v>
      </c>
      <c r="F617">
        <v>39</v>
      </c>
      <c r="G617" t="str">
        <f>IF(Table14[[#This Row],[Age]]&lt;=25,"Young",IF(Table14[[#This Row],[Age]]&gt;55,"Old",IF(Table14[[#This Row],[Age]]&gt;25,"Middle","Na")))</f>
        <v>Middle</v>
      </c>
      <c r="H617" t="s">
        <v>11</v>
      </c>
      <c r="I617">
        <v>4</v>
      </c>
      <c r="J617">
        <v>300</v>
      </c>
      <c r="K617">
        <v>1200</v>
      </c>
      <c r="N617" s="11" t="s">
        <v>74</v>
      </c>
      <c r="O617" s="11" t="s">
        <v>11</v>
      </c>
      <c r="P617" s="11">
        <f>K615/J615</f>
        <v>1</v>
      </c>
      <c r="Q617" s="11">
        <v>200</v>
      </c>
      <c r="R617" s="11">
        <v>200</v>
      </c>
    </row>
    <row r="618" spans="2:18" x14ac:dyDescent="0.35">
      <c r="B618">
        <v>615</v>
      </c>
      <c r="C618" s="1">
        <v>45283</v>
      </c>
      <c r="D618" t="s">
        <v>628</v>
      </c>
      <c r="E618" t="s">
        <v>13</v>
      </c>
      <c r="F618">
        <v>61</v>
      </c>
      <c r="G618" t="str">
        <f>IF(Table14[[#This Row],[Age]]&lt;=25,"Young",IF(Table14[[#This Row],[Age]]&gt;55,"Old",IF(Table14[[#This Row],[Age]]&gt;25,"Middle","Na")))</f>
        <v>Old</v>
      </c>
      <c r="H618" t="s">
        <v>14</v>
      </c>
      <c r="I618">
        <v>4</v>
      </c>
      <c r="J618">
        <v>25</v>
      </c>
      <c r="K618">
        <v>100</v>
      </c>
      <c r="N618" s="11" t="s">
        <v>134</v>
      </c>
      <c r="O618" s="11" t="s">
        <v>16</v>
      </c>
      <c r="P618" s="11">
        <f>K616/J616</f>
        <v>3</v>
      </c>
      <c r="Q618" s="11">
        <v>200</v>
      </c>
      <c r="R618" s="11">
        <v>200</v>
      </c>
    </row>
    <row r="619" spans="2:18" x14ac:dyDescent="0.35">
      <c r="B619">
        <v>616</v>
      </c>
      <c r="C619" s="1">
        <v>45192</v>
      </c>
      <c r="D619" t="s">
        <v>629</v>
      </c>
      <c r="E619" t="s">
        <v>10</v>
      </c>
      <c r="F619">
        <v>41</v>
      </c>
      <c r="G619" t="str">
        <f>IF(Table14[[#This Row],[Age]]&lt;=25,"Young",IF(Table14[[#This Row],[Age]]&gt;55,"Old",IF(Table14[[#This Row],[Age]]&gt;25,"Middle","Na")))</f>
        <v>Middle</v>
      </c>
      <c r="H619" t="s">
        <v>14</v>
      </c>
      <c r="I619">
        <v>2</v>
      </c>
      <c r="J619">
        <v>50</v>
      </c>
      <c r="K619">
        <v>100</v>
      </c>
      <c r="N619" s="11" t="s">
        <v>145</v>
      </c>
      <c r="O619" s="11" t="s">
        <v>16</v>
      </c>
      <c r="P619" s="11">
        <f>K617/J617</f>
        <v>4</v>
      </c>
      <c r="Q619" s="11">
        <v>200</v>
      </c>
      <c r="R619" s="11">
        <v>200</v>
      </c>
    </row>
    <row r="620" spans="2:18" x14ac:dyDescent="0.35">
      <c r="B620">
        <v>617</v>
      </c>
      <c r="C620" s="1">
        <v>45164</v>
      </c>
      <c r="D620" t="s">
        <v>630</v>
      </c>
      <c r="E620" t="s">
        <v>10</v>
      </c>
      <c r="F620">
        <v>34</v>
      </c>
      <c r="G620" t="str">
        <f>IF(Table14[[#This Row],[Age]]&lt;=25,"Young",IF(Table14[[#This Row],[Age]]&gt;55,"Old",IF(Table14[[#This Row],[Age]]&gt;25,"Middle","Na")))</f>
        <v>Middle</v>
      </c>
      <c r="H620" t="s">
        <v>16</v>
      </c>
      <c r="I620">
        <v>1</v>
      </c>
      <c r="J620">
        <v>30</v>
      </c>
      <c r="K620">
        <v>30</v>
      </c>
      <c r="N620" s="11" t="s">
        <v>151</v>
      </c>
      <c r="O620" s="11" t="s">
        <v>14</v>
      </c>
      <c r="P620" s="11">
        <f>K618/J618</f>
        <v>4</v>
      </c>
      <c r="Q620" s="11">
        <v>200</v>
      </c>
      <c r="R620" s="11">
        <v>200</v>
      </c>
    </row>
    <row r="621" spans="2:18" x14ac:dyDescent="0.35">
      <c r="B621">
        <v>618</v>
      </c>
      <c r="C621" s="1">
        <v>44952</v>
      </c>
      <c r="D621" t="s">
        <v>631</v>
      </c>
      <c r="E621" t="s">
        <v>13</v>
      </c>
      <c r="F621">
        <v>27</v>
      </c>
      <c r="G621" t="str">
        <f>IF(Table14[[#This Row],[Age]]&lt;=25,"Young",IF(Table14[[#This Row],[Age]]&gt;55,"Old",IF(Table14[[#This Row],[Age]]&gt;25,"Middle","Na")))</f>
        <v>Middle</v>
      </c>
      <c r="H621" t="s">
        <v>11</v>
      </c>
      <c r="I621">
        <v>1</v>
      </c>
      <c r="J621">
        <v>50</v>
      </c>
      <c r="K621">
        <v>50</v>
      </c>
      <c r="N621" s="11" t="s">
        <v>210</v>
      </c>
      <c r="O621" s="11" t="s">
        <v>14</v>
      </c>
      <c r="P621" s="11">
        <f>K619/J619</f>
        <v>2</v>
      </c>
      <c r="Q621" s="11">
        <v>200</v>
      </c>
      <c r="R621" s="11">
        <v>200</v>
      </c>
    </row>
    <row r="622" spans="2:18" x14ac:dyDescent="0.35">
      <c r="B622">
        <v>619</v>
      </c>
      <c r="C622" s="1">
        <v>45212</v>
      </c>
      <c r="D622" t="s">
        <v>632</v>
      </c>
      <c r="E622" t="s">
        <v>10</v>
      </c>
      <c r="F622">
        <v>47</v>
      </c>
      <c r="G622" t="str">
        <f>IF(Table14[[#This Row],[Age]]&lt;=25,"Young",IF(Table14[[#This Row],[Age]]&gt;55,"Old",IF(Table14[[#This Row],[Age]]&gt;25,"Middle","Na")))</f>
        <v>Middle</v>
      </c>
      <c r="H622" t="s">
        <v>16</v>
      </c>
      <c r="I622">
        <v>4</v>
      </c>
      <c r="J622">
        <v>25</v>
      </c>
      <c r="K622">
        <v>100</v>
      </c>
      <c r="N622" s="11" t="s">
        <v>264</v>
      </c>
      <c r="O622" s="11" t="s">
        <v>11</v>
      </c>
      <c r="P622" s="11">
        <f>K620/J620</f>
        <v>1</v>
      </c>
      <c r="Q622" s="11">
        <v>200</v>
      </c>
      <c r="R622" s="11">
        <v>200</v>
      </c>
    </row>
    <row r="623" spans="2:18" x14ac:dyDescent="0.35">
      <c r="B623">
        <v>620</v>
      </c>
      <c r="C623" s="1">
        <v>45054</v>
      </c>
      <c r="D623" t="s">
        <v>633</v>
      </c>
      <c r="E623" t="s">
        <v>10</v>
      </c>
      <c r="F623">
        <v>63</v>
      </c>
      <c r="G623" t="str">
        <f>IF(Table14[[#This Row],[Age]]&lt;=25,"Young",IF(Table14[[#This Row],[Age]]&gt;55,"Old",IF(Table14[[#This Row],[Age]]&gt;25,"Middle","Na")))</f>
        <v>Old</v>
      </c>
      <c r="H623" t="s">
        <v>16</v>
      </c>
      <c r="I623">
        <v>3</v>
      </c>
      <c r="J623">
        <v>25</v>
      </c>
      <c r="K623">
        <v>75</v>
      </c>
      <c r="N623" s="11" t="s">
        <v>297</v>
      </c>
      <c r="O623" s="11" t="s">
        <v>14</v>
      </c>
      <c r="P623" s="11">
        <f>K621/J621</f>
        <v>1</v>
      </c>
      <c r="Q623" s="11">
        <v>200</v>
      </c>
      <c r="R623" s="11">
        <v>200</v>
      </c>
    </row>
    <row r="624" spans="2:18" x14ac:dyDescent="0.35">
      <c r="B624">
        <v>621</v>
      </c>
      <c r="C624" s="1">
        <v>44989</v>
      </c>
      <c r="D624" t="s">
        <v>634</v>
      </c>
      <c r="E624" t="s">
        <v>13</v>
      </c>
      <c r="F624">
        <v>40</v>
      </c>
      <c r="G624" t="str">
        <f>IF(Table14[[#This Row],[Age]]&lt;=25,"Young",IF(Table14[[#This Row],[Age]]&gt;55,"Old",IF(Table14[[#This Row],[Age]]&gt;25,"Middle","Na")))</f>
        <v>Middle</v>
      </c>
      <c r="H624" t="s">
        <v>11</v>
      </c>
      <c r="I624">
        <v>2</v>
      </c>
      <c r="J624">
        <v>500</v>
      </c>
      <c r="K624">
        <v>1000</v>
      </c>
      <c r="N624" s="11" t="s">
        <v>507</v>
      </c>
      <c r="O624" s="11" t="s">
        <v>11</v>
      </c>
      <c r="P624" s="11">
        <f>K622/J622</f>
        <v>4</v>
      </c>
      <c r="Q624" s="11">
        <v>200</v>
      </c>
      <c r="R624" s="11">
        <v>200</v>
      </c>
    </row>
    <row r="625" spans="2:18" x14ac:dyDescent="0.35">
      <c r="B625">
        <v>622</v>
      </c>
      <c r="C625" s="1">
        <v>45160</v>
      </c>
      <c r="D625" t="s">
        <v>635</v>
      </c>
      <c r="E625" t="s">
        <v>13</v>
      </c>
      <c r="F625">
        <v>49</v>
      </c>
      <c r="G625" t="str">
        <f>IF(Table14[[#This Row],[Age]]&lt;=25,"Young",IF(Table14[[#This Row],[Age]]&gt;55,"Old",IF(Table14[[#This Row],[Age]]&gt;25,"Middle","Na")))</f>
        <v>Middle</v>
      </c>
      <c r="H625" t="s">
        <v>11</v>
      </c>
      <c r="I625">
        <v>3</v>
      </c>
      <c r="J625">
        <v>25</v>
      </c>
      <c r="K625">
        <v>75</v>
      </c>
      <c r="N625" s="11" t="s">
        <v>582</v>
      </c>
      <c r="O625" s="11" t="s">
        <v>16</v>
      </c>
      <c r="P625" s="11">
        <f>K623/J623</f>
        <v>3</v>
      </c>
      <c r="Q625" s="11">
        <v>200</v>
      </c>
      <c r="R625" s="11">
        <v>200</v>
      </c>
    </row>
    <row r="626" spans="2:18" x14ac:dyDescent="0.35">
      <c r="B626">
        <v>623</v>
      </c>
      <c r="C626" s="1">
        <v>44995</v>
      </c>
      <c r="D626" t="s">
        <v>636</v>
      </c>
      <c r="E626" t="s">
        <v>10</v>
      </c>
      <c r="F626">
        <v>34</v>
      </c>
      <c r="G626" t="str">
        <f>IF(Table14[[#This Row],[Age]]&lt;=25,"Young",IF(Table14[[#This Row],[Age]]&gt;55,"Old",IF(Table14[[#This Row],[Age]]&gt;25,"Middle","Na")))</f>
        <v>Middle</v>
      </c>
      <c r="H626" t="s">
        <v>14</v>
      </c>
      <c r="I626">
        <v>3</v>
      </c>
      <c r="J626">
        <v>50</v>
      </c>
      <c r="K626">
        <v>150</v>
      </c>
      <c r="N626" s="11" t="s">
        <v>617</v>
      </c>
      <c r="O626" s="11" t="s">
        <v>16</v>
      </c>
      <c r="P626" s="11">
        <f>K624/J624</f>
        <v>2</v>
      </c>
      <c r="Q626" s="11">
        <v>200</v>
      </c>
      <c r="R626" s="11">
        <v>200</v>
      </c>
    </row>
    <row r="627" spans="2:18" x14ac:dyDescent="0.35">
      <c r="B627">
        <v>624</v>
      </c>
      <c r="C627" s="1">
        <v>45164</v>
      </c>
      <c r="D627" t="s">
        <v>637</v>
      </c>
      <c r="E627" t="s">
        <v>13</v>
      </c>
      <c r="F627">
        <v>34</v>
      </c>
      <c r="G627" t="str">
        <f>IF(Table14[[#This Row],[Age]]&lt;=25,"Young",IF(Table14[[#This Row],[Age]]&gt;55,"Old",IF(Table14[[#This Row],[Age]]&gt;25,"Middle","Na")))</f>
        <v>Middle</v>
      </c>
      <c r="H627" t="s">
        <v>11</v>
      </c>
      <c r="I627">
        <v>3</v>
      </c>
      <c r="J627">
        <v>300</v>
      </c>
      <c r="K627">
        <v>900</v>
      </c>
      <c r="N627" s="11" t="s">
        <v>753</v>
      </c>
      <c r="O627" s="11" t="s">
        <v>11</v>
      </c>
      <c r="P627" s="11">
        <f>K625/J625</f>
        <v>3</v>
      </c>
      <c r="Q627" s="11">
        <v>200</v>
      </c>
      <c r="R627" s="11">
        <v>200</v>
      </c>
    </row>
    <row r="628" spans="2:18" x14ac:dyDescent="0.35">
      <c r="B628">
        <v>625</v>
      </c>
      <c r="C628" s="1">
        <v>45268</v>
      </c>
      <c r="D628" t="s">
        <v>638</v>
      </c>
      <c r="E628" t="s">
        <v>10</v>
      </c>
      <c r="F628">
        <v>31</v>
      </c>
      <c r="G628" t="str">
        <f>IF(Table14[[#This Row],[Age]]&lt;=25,"Young",IF(Table14[[#This Row],[Age]]&gt;55,"Old",IF(Table14[[#This Row],[Age]]&gt;25,"Middle","Na")))</f>
        <v>Middle</v>
      </c>
      <c r="H628" t="s">
        <v>14</v>
      </c>
      <c r="I628">
        <v>1</v>
      </c>
      <c r="J628">
        <v>300</v>
      </c>
      <c r="K628">
        <v>300</v>
      </c>
      <c r="N628" s="11" t="s">
        <v>814</v>
      </c>
      <c r="O628" s="11" t="s">
        <v>14</v>
      </c>
      <c r="P628" s="11">
        <f>K626/J626</f>
        <v>3</v>
      </c>
      <c r="Q628" s="11">
        <v>200</v>
      </c>
      <c r="R628" s="11">
        <v>200</v>
      </c>
    </row>
    <row r="629" spans="2:18" x14ac:dyDescent="0.35">
      <c r="B629">
        <v>626</v>
      </c>
      <c r="C629" s="1">
        <v>45198</v>
      </c>
      <c r="D629" t="s">
        <v>639</v>
      </c>
      <c r="E629" t="s">
        <v>13</v>
      </c>
      <c r="F629">
        <v>26</v>
      </c>
      <c r="G629" t="str">
        <f>IF(Table14[[#This Row],[Age]]&lt;=25,"Young",IF(Table14[[#This Row],[Age]]&gt;55,"Old",IF(Table14[[#This Row],[Age]]&gt;25,"Middle","Na")))</f>
        <v>Middle</v>
      </c>
      <c r="H629" t="s">
        <v>14</v>
      </c>
      <c r="I629">
        <v>4</v>
      </c>
      <c r="J629">
        <v>500</v>
      </c>
      <c r="K629">
        <v>2000</v>
      </c>
      <c r="N629" s="11" t="s">
        <v>848</v>
      </c>
      <c r="O629" s="11" t="s">
        <v>14</v>
      </c>
      <c r="P629" s="11">
        <f>K627/J627</f>
        <v>3</v>
      </c>
      <c r="Q629" s="11">
        <v>200</v>
      </c>
      <c r="R629" s="11">
        <v>200</v>
      </c>
    </row>
    <row r="630" spans="2:18" x14ac:dyDescent="0.35">
      <c r="B630">
        <v>627</v>
      </c>
      <c r="C630" s="1">
        <v>45213</v>
      </c>
      <c r="D630" t="s">
        <v>640</v>
      </c>
      <c r="E630" t="s">
        <v>10</v>
      </c>
      <c r="F630">
        <v>57</v>
      </c>
      <c r="G630" t="str">
        <f>IF(Table14[[#This Row],[Age]]&lt;=25,"Young",IF(Table14[[#This Row],[Age]]&gt;55,"Old",IF(Table14[[#This Row],[Age]]&gt;25,"Middle","Na")))</f>
        <v>Old</v>
      </c>
      <c r="H630" t="s">
        <v>14</v>
      </c>
      <c r="I630">
        <v>1</v>
      </c>
      <c r="J630">
        <v>50</v>
      </c>
      <c r="K630">
        <v>50</v>
      </c>
      <c r="N630" s="11" t="s">
        <v>916</v>
      </c>
      <c r="O630" s="11" t="s">
        <v>11</v>
      </c>
      <c r="P630" s="11">
        <f>K628/J628</f>
        <v>1</v>
      </c>
      <c r="Q630" s="11">
        <v>200</v>
      </c>
      <c r="R630" s="11">
        <v>200</v>
      </c>
    </row>
    <row r="631" spans="2:18" x14ac:dyDescent="0.35">
      <c r="B631">
        <v>628</v>
      </c>
      <c r="C631" s="1">
        <v>45231</v>
      </c>
      <c r="D631" t="s">
        <v>641</v>
      </c>
      <c r="E631" t="s">
        <v>13</v>
      </c>
      <c r="F631">
        <v>19</v>
      </c>
      <c r="G631" t="str">
        <f>IF(Table14[[#This Row],[Age]]&lt;=25,"Young",IF(Table14[[#This Row],[Age]]&gt;55,"Old",IF(Table14[[#This Row],[Age]]&gt;25,"Middle","Na")))</f>
        <v>Young</v>
      </c>
      <c r="H631" t="s">
        <v>11</v>
      </c>
      <c r="I631">
        <v>4</v>
      </c>
      <c r="J631">
        <v>50</v>
      </c>
      <c r="K631">
        <v>200</v>
      </c>
      <c r="N631" s="11" t="s">
        <v>949</v>
      </c>
      <c r="O631" s="11" t="s">
        <v>11</v>
      </c>
      <c r="P631" s="11">
        <f>K629/J629</f>
        <v>4</v>
      </c>
      <c r="Q631" s="11">
        <v>200</v>
      </c>
      <c r="R631" s="11">
        <v>200</v>
      </c>
    </row>
    <row r="632" spans="2:18" x14ac:dyDescent="0.35">
      <c r="B632">
        <v>629</v>
      </c>
      <c r="C632" s="1">
        <v>45089</v>
      </c>
      <c r="D632" t="s">
        <v>642</v>
      </c>
      <c r="E632" t="s">
        <v>10</v>
      </c>
      <c r="F632">
        <v>62</v>
      </c>
      <c r="G632" t="str">
        <f>IF(Table14[[#This Row],[Age]]&lt;=25,"Young",IF(Table14[[#This Row],[Age]]&gt;55,"Old",IF(Table14[[#This Row],[Age]]&gt;25,"Middle","Na")))</f>
        <v>Old</v>
      </c>
      <c r="H632" t="s">
        <v>16</v>
      </c>
      <c r="I632">
        <v>2</v>
      </c>
      <c r="J632">
        <v>25</v>
      </c>
      <c r="K632">
        <v>50</v>
      </c>
      <c r="N632" s="11" t="s">
        <v>978</v>
      </c>
      <c r="O632" s="11" t="s">
        <v>14</v>
      </c>
      <c r="P632" s="11">
        <f>K630/J630</f>
        <v>1</v>
      </c>
      <c r="Q632" s="11">
        <v>200</v>
      </c>
      <c r="R632" s="11">
        <v>200</v>
      </c>
    </row>
    <row r="633" spans="2:18" x14ac:dyDescent="0.35">
      <c r="B633">
        <v>630</v>
      </c>
      <c r="C633" s="1">
        <v>45153</v>
      </c>
      <c r="D633" t="s">
        <v>643</v>
      </c>
      <c r="E633" t="s">
        <v>10</v>
      </c>
      <c r="F633">
        <v>42</v>
      </c>
      <c r="G633" t="str">
        <f>IF(Table14[[#This Row],[Age]]&lt;=25,"Young",IF(Table14[[#This Row],[Age]]&gt;55,"Old",IF(Table14[[#This Row],[Age]]&gt;25,"Middle","Na")))</f>
        <v>Middle</v>
      </c>
      <c r="H633" t="s">
        <v>14</v>
      </c>
      <c r="I633">
        <v>2</v>
      </c>
      <c r="J633">
        <v>50</v>
      </c>
      <c r="K633">
        <v>100</v>
      </c>
      <c r="N633" s="11" t="s">
        <v>73</v>
      </c>
      <c r="O633" s="11" t="s">
        <v>11</v>
      </c>
      <c r="P633" s="11">
        <f>K631/J631</f>
        <v>4</v>
      </c>
      <c r="Q633" s="11">
        <v>150</v>
      </c>
      <c r="R633" s="11">
        <v>150</v>
      </c>
    </row>
    <row r="634" spans="2:18" x14ac:dyDescent="0.35">
      <c r="B634">
        <v>631</v>
      </c>
      <c r="C634" s="1">
        <v>45240</v>
      </c>
      <c r="D634" t="s">
        <v>644</v>
      </c>
      <c r="E634" t="s">
        <v>10</v>
      </c>
      <c r="F634">
        <v>56</v>
      </c>
      <c r="G634" t="str">
        <f>IF(Table14[[#This Row],[Age]]&lt;=25,"Young",IF(Table14[[#This Row],[Age]]&gt;55,"Old",IF(Table14[[#This Row],[Age]]&gt;25,"Middle","Na")))</f>
        <v>Old</v>
      </c>
      <c r="H634" t="s">
        <v>16</v>
      </c>
      <c r="I634">
        <v>3</v>
      </c>
      <c r="J634">
        <v>30</v>
      </c>
      <c r="K634">
        <v>90</v>
      </c>
      <c r="N634" s="11" t="s">
        <v>176</v>
      </c>
      <c r="O634" s="11" t="s">
        <v>14</v>
      </c>
      <c r="P634" s="11">
        <f>K632/J632</f>
        <v>2</v>
      </c>
      <c r="Q634" s="11">
        <v>150</v>
      </c>
      <c r="R634" s="11">
        <v>150</v>
      </c>
    </row>
    <row r="635" spans="2:18" x14ac:dyDescent="0.35">
      <c r="B635">
        <v>632</v>
      </c>
      <c r="C635" s="1">
        <v>45185</v>
      </c>
      <c r="D635" t="s">
        <v>645</v>
      </c>
      <c r="E635" t="s">
        <v>13</v>
      </c>
      <c r="F635">
        <v>26</v>
      </c>
      <c r="G635" t="str">
        <f>IF(Table14[[#This Row],[Age]]&lt;=25,"Young",IF(Table14[[#This Row],[Age]]&gt;55,"Old",IF(Table14[[#This Row],[Age]]&gt;25,"Middle","Na")))</f>
        <v>Middle</v>
      </c>
      <c r="H635" t="s">
        <v>16</v>
      </c>
      <c r="I635">
        <v>4</v>
      </c>
      <c r="J635">
        <v>25</v>
      </c>
      <c r="K635">
        <v>100</v>
      </c>
      <c r="N635" s="11" t="s">
        <v>349</v>
      </c>
      <c r="O635" s="11" t="s">
        <v>11</v>
      </c>
      <c r="P635" s="11">
        <f>K633/J633</f>
        <v>2</v>
      </c>
      <c r="Q635" s="11">
        <v>150</v>
      </c>
      <c r="R635" s="11">
        <v>150</v>
      </c>
    </row>
    <row r="636" spans="2:18" x14ac:dyDescent="0.35">
      <c r="B636">
        <v>633</v>
      </c>
      <c r="C636" s="1">
        <v>45145</v>
      </c>
      <c r="D636" t="s">
        <v>646</v>
      </c>
      <c r="E636" t="s">
        <v>10</v>
      </c>
      <c r="F636">
        <v>39</v>
      </c>
      <c r="G636" t="str">
        <f>IF(Table14[[#This Row],[Age]]&lt;=25,"Young",IF(Table14[[#This Row],[Age]]&gt;55,"Old",IF(Table14[[#This Row],[Age]]&gt;25,"Middle","Na")))</f>
        <v>Middle</v>
      </c>
      <c r="H636" t="s">
        <v>11</v>
      </c>
      <c r="I636">
        <v>4</v>
      </c>
      <c r="J636">
        <v>30</v>
      </c>
      <c r="K636">
        <v>120</v>
      </c>
      <c r="N636" s="11" t="s">
        <v>542</v>
      </c>
      <c r="O636" s="11" t="s">
        <v>14</v>
      </c>
      <c r="P636" s="11">
        <f>K634/J634</f>
        <v>3</v>
      </c>
      <c r="Q636" s="11">
        <v>150</v>
      </c>
      <c r="R636" s="11">
        <v>150</v>
      </c>
    </row>
    <row r="637" spans="2:18" x14ac:dyDescent="0.35">
      <c r="B637">
        <v>634</v>
      </c>
      <c r="C637" s="1">
        <v>45207</v>
      </c>
      <c r="D637" t="s">
        <v>647</v>
      </c>
      <c r="E637" t="s">
        <v>10</v>
      </c>
      <c r="F637">
        <v>60</v>
      </c>
      <c r="G637" t="str">
        <f>IF(Table14[[#This Row],[Age]]&lt;=25,"Young",IF(Table14[[#This Row],[Age]]&gt;55,"Old",IF(Table14[[#This Row],[Age]]&gt;25,"Middle","Na")))</f>
        <v>Old</v>
      </c>
      <c r="H637" t="s">
        <v>16</v>
      </c>
      <c r="I637">
        <v>4</v>
      </c>
      <c r="J637">
        <v>500</v>
      </c>
      <c r="K637">
        <v>2000</v>
      </c>
      <c r="N637" s="11" t="s">
        <v>835</v>
      </c>
      <c r="O637" s="11" t="s">
        <v>11</v>
      </c>
      <c r="P637" s="11">
        <f>K635/J635</f>
        <v>4</v>
      </c>
      <c r="Q637" s="11">
        <v>150</v>
      </c>
      <c r="R637" s="11">
        <v>150</v>
      </c>
    </row>
    <row r="638" spans="2:18" x14ac:dyDescent="0.35">
      <c r="B638">
        <v>635</v>
      </c>
      <c r="C638" s="1">
        <v>45155</v>
      </c>
      <c r="D638" t="s">
        <v>648</v>
      </c>
      <c r="E638" t="s">
        <v>13</v>
      </c>
      <c r="F638">
        <v>63</v>
      </c>
      <c r="G638" t="str">
        <f>IF(Table14[[#This Row],[Age]]&lt;=25,"Young",IF(Table14[[#This Row],[Age]]&gt;55,"Old",IF(Table14[[#This Row],[Age]]&gt;25,"Middle","Na")))</f>
        <v>Old</v>
      </c>
      <c r="H638" t="s">
        <v>16</v>
      </c>
      <c r="I638">
        <v>3</v>
      </c>
      <c r="J638">
        <v>300</v>
      </c>
      <c r="K638">
        <v>900</v>
      </c>
      <c r="N638" s="11" t="s">
        <v>857</v>
      </c>
      <c r="O638" s="11" t="s">
        <v>14</v>
      </c>
      <c r="P638" s="11">
        <f>K636/J636</f>
        <v>4</v>
      </c>
      <c r="Q638" s="11">
        <v>150</v>
      </c>
      <c r="R638" s="11">
        <v>150</v>
      </c>
    </row>
    <row r="639" spans="2:18" x14ac:dyDescent="0.35">
      <c r="B639">
        <v>636</v>
      </c>
      <c r="C639" s="1">
        <v>45008</v>
      </c>
      <c r="D639" t="s">
        <v>649</v>
      </c>
      <c r="E639" t="s">
        <v>13</v>
      </c>
      <c r="F639">
        <v>21</v>
      </c>
      <c r="G639" t="str">
        <f>IF(Table14[[#This Row],[Age]]&lt;=25,"Young",IF(Table14[[#This Row],[Age]]&gt;55,"Old",IF(Table14[[#This Row],[Age]]&gt;25,"Middle","Na")))</f>
        <v>Young</v>
      </c>
      <c r="H639" t="s">
        <v>11</v>
      </c>
      <c r="I639">
        <v>3</v>
      </c>
      <c r="J639">
        <v>500</v>
      </c>
      <c r="K639">
        <v>1500</v>
      </c>
      <c r="N639" s="11" t="s">
        <v>923</v>
      </c>
      <c r="O639" s="11" t="s">
        <v>11</v>
      </c>
      <c r="P639" s="11">
        <f>K637/J637</f>
        <v>4</v>
      </c>
      <c r="Q639" s="11">
        <v>150</v>
      </c>
      <c r="R639" s="11">
        <v>150</v>
      </c>
    </row>
    <row r="640" spans="2:18" x14ac:dyDescent="0.35">
      <c r="B640">
        <v>637</v>
      </c>
      <c r="C640" s="1">
        <v>45170</v>
      </c>
      <c r="D640" t="s">
        <v>650</v>
      </c>
      <c r="E640" t="s">
        <v>10</v>
      </c>
      <c r="F640">
        <v>43</v>
      </c>
      <c r="G640" t="str">
        <f>IF(Table14[[#This Row],[Age]]&lt;=25,"Young",IF(Table14[[#This Row],[Age]]&gt;55,"Old",IF(Table14[[#This Row],[Age]]&gt;25,"Middle","Na")))</f>
        <v>Middle</v>
      </c>
      <c r="H640" t="s">
        <v>14</v>
      </c>
      <c r="I640">
        <v>2</v>
      </c>
      <c r="J640">
        <v>300</v>
      </c>
      <c r="K640">
        <v>600</v>
      </c>
      <c r="N640" s="11" t="s">
        <v>1006</v>
      </c>
      <c r="O640" s="11" t="s">
        <v>16</v>
      </c>
      <c r="P640" s="11">
        <f>K638/J638</f>
        <v>3</v>
      </c>
      <c r="Q640" s="11">
        <v>150</v>
      </c>
      <c r="R640" s="11">
        <v>150</v>
      </c>
    </row>
    <row r="641" spans="2:18" x14ac:dyDescent="0.35">
      <c r="B641">
        <v>638</v>
      </c>
      <c r="C641" s="1">
        <v>45157</v>
      </c>
      <c r="D641" t="s">
        <v>651</v>
      </c>
      <c r="E641" t="s">
        <v>10</v>
      </c>
      <c r="F641">
        <v>46</v>
      </c>
      <c r="G641" t="str">
        <f>IF(Table14[[#This Row],[Age]]&lt;=25,"Young",IF(Table14[[#This Row],[Age]]&gt;55,"Old",IF(Table14[[#This Row],[Age]]&gt;25,"Middle","Na")))</f>
        <v>Middle</v>
      </c>
      <c r="H641" t="s">
        <v>16</v>
      </c>
      <c r="I641">
        <v>1</v>
      </c>
      <c r="J641">
        <v>500</v>
      </c>
      <c r="K641">
        <v>500</v>
      </c>
      <c r="N641" s="11" t="s">
        <v>27</v>
      </c>
      <c r="O641" s="11" t="s">
        <v>14</v>
      </c>
      <c r="P641" s="11">
        <f>K639/J639</f>
        <v>3</v>
      </c>
      <c r="Q641" s="11">
        <v>120</v>
      </c>
      <c r="R641" s="11">
        <v>120</v>
      </c>
    </row>
    <row r="642" spans="2:18" x14ac:dyDescent="0.35">
      <c r="B642">
        <v>639</v>
      </c>
      <c r="C642" s="1">
        <v>45059</v>
      </c>
      <c r="D642" t="s">
        <v>652</v>
      </c>
      <c r="E642" t="s">
        <v>13</v>
      </c>
      <c r="F642">
        <v>62</v>
      </c>
      <c r="G642" t="str">
        <f>IF(Table14[[#This Row],[Age]]&lt;=25,"Young",IF(Table14[[#This Row],[Age]]&gt;55,"Old",IF(Table14[[#This Row],[Age]]&gt;25,"Middle","Na")))</f>
        <v>Old</v>
      </c>
      <c r="H642" t="s">
        <v>11</v>
      </c>
      <c r="I642">
        <v>4</v>
      </c>
      <c r="J642">
        <v>50</v>
      </c>
      <c r="K642">
        <v>200</v>
      </c>
      <c r="N642" s="11" t="s">
        <v>186</v>
      </c>
      <c r="O642" s="11" t="s">
        <v>16</v>
      </c>
      <c r="P642" s="11">
        <f>K640/J640</f>
        <v>2</v>
      </c>
      <c r="Q642" s="11">
        <v>120</v>
      </c>
      <c r="R642" s="11">
        <v>120</v>
      </c>
    </row>
    <row r="643" spans="2:18" x14ac:dyDescent="0.35">
      <c r="B643">
        <v>640</v>
      </c>
      <c r="C643" s="1">
        <v>45053</v>
      </c>
      <c r="D643" t="s">
        <v>653</v>
      </c>
      <c r="E643" t="s">
        <v>13</v>
      </c>
      <c r="F643">
        <v>51</v>
      </c>
      <c r="G643" t="str">
        <f>IF(Table14[[#This Row],[Age]]&lt;=25,"Young",IF(Table14[[#This Row],[Age]]&gt;55,"Old",IF(Table14[[#This Row],[Age]]&gt;25,"Middle","Na")))</f>
        <v>Middle</v>
      </c>
      <c r="H643" t="s">
        <v>16</v>
      </c>
      <c r="I643">
        <v>4</v>
      </c>
      <c r="J643">
        <v>30</v>
      </c>
      <c r="K643">
        <v>120</v>
      </c>
      <c r="N643" s="11" t="s">
        <v>275</v>
      </c>
      <c r="O643" s="11" t="s">
        <v>11</v>
      </c>
      <c r="P643" s="11">
        <f>K641/J641</f>
        <v>1</v>
      </c>
      <c r="Q643" s="11">
        <v>120</v>
      </c>
      <c r="R643" s="11">
        <v>120</v>
      </c>
    </row>
    <row r="644" spans="2:18" x14ac:dyDescent="0.35">
      <c r="B644">
        <v>641</v>
      </c>
      <c r="C644" s="1">
        <v>45253</v>
      </c>
      <c r="D644" t="s">
        <v>654</v>
      </c>
      <c r="E644" t="s">
        <v>13</v>
      </c>
      <c r="F644">
        <v>40</v>
      </c>
      <c r="G644" t="str">
        <f>IF(Table14[[#This Row],[Age]]&lt;=25,"Young",IF(Table14[[#This Row],[Age]]&gt;55,"Old",IF(Table14[[#This Row],[Age]]&gt;25,"Middle","Na")))</f>
        <v>Middle</v>
      </c>
      <c r="H644" t="s">
        <v>16</v>
      </c>
      <c r="I644">
        <v>1</v>
      </c>
      <c r="J644">
        <v>300</v>
      </c>
      <c r="K644">
        <v>300</v>
      </c>
      <c r="N644" s="11" t="s">
        <v>545</v>
      </c>
      <c r="O644" s="11" t="s">
        <v>14</v>
      </c>
      <c r="P644" s="11">
        <f>K642/J642</f>
        <v>4</v>
      </c>
      <c r="Q644" s="11">
        <v>120</v>
      </c>
      <c r="R644" s="11">
        <v>120</v>
      </c>
    </row>
    <row r="645" spans="2:18" x14ac:dyDescent="0.35">
      <c r="B645">
        <v>642</v>
      </c>
      <c r="C645" s="1">
        <v>45068</v>
      </c>
      <c r="D645" t="s">
        <v>655</v>
      </c>
      <c r="E645" t="s">
        <v>13</v>
      </c>
      <c r="F645">
        <v>54</v>
      </c>
      <c r="G645" t="str">
        <f>IF(Table14[[#This Row],[Age]]&lt;=25,"Young",IF(Table14[[#This Row],[Age]]&gt;55,"Old",IF(Table14[[#This Row],[Age]]&gt;25,"Middle","Na")))</f>
        <v>Middle</v>
      </c>
      <c r="H645" t="s">
        <v>14</v>
      </c>
      <c r="I645">
        <v>4</v>
      </c>
      <c r="J645">
        <v>25</v>
      </c>
      <c r="K645">
        <v>100</v>
      </c>
      <c r="N645" s="11" t="s">
        <v>549</v>
      </c>
      <c r="O645" s="11" t="s">
        <v>11</v>
      </c>
      <c r="P645" s="11">
        <f>K643/J643</f>
        <v>4</v>
      </c>
      <c r="Q645" s="11">
        <v>120</v>
      </c>
      <c r="R645" s="11">
        <v>120</v>
      </c>
    </row>
    <row r="646" spans="2:18" x14ac:dyDescent="0.35">
      <c r="B646">
        <v>643</v>
      </c>
      <c r="C646" s="1">
        <v>45193</v>
      </c>
      <c r="D646" t="s">
        <v>656</v>
      </c>
      <c r="E646" t="s">
        <v>13</v>
      </c>
      <c r="F646">
        <v>28</v>
      </c>
      <c r="G646" t="str">
        <f>IF(Table14[[#This Row],[Age]]&lt;=25,"Young",IF(Table14[[#This Row],[Age]]&gt;55,"Old",IF(Table14[[#This Row],[Age]]&gt;25,"Middle","Na")))</f>
        <v>Middle</v>
      </c>
      <c r="H646" t="s">
        <v>16</v>
      </c>
      <c r="I646">
        <v>3</v>
      </c>
      <c r="J646">
        <v>30</v>
      </c>
      <c r="K646">
        <v>90</v>
      </c>
      <c r="N646" s="11" t="s">
        <v>591</v>
      </c>
      <c r="O646" s="11" t="s">
        <v>14</v>
      </c>
      <c r="P646" s="11">
        <f>K644/J644</f>
        <v>1</v>
      </c>
      <c r="Q646" s="11">
        <v>120</v>
      </c>
      <c r="R646" s="11">
        <v>120</v>
      </c>
    </row>
    <row r="647" spans="2:18" x14ac:dyDescent="0.35">
      <c r="B647">
        <v>644</v>
      </c>
      <c r="C647" s="1">
        <v>45175</v>
      </c>
      <c r="D647" t="s">
        <v>657</v>
      </c>
      <c r="E647" t="s">
        <v>10</v>
      </c>
      <c r="F647">
        <v>23</v>
      </c>
      <c r="G647" t="str">
        <f>IF(Table14[[#This Row],[Age]]&lt;=25,"Young",IF(Table14[[#This Row],[Age]]&gt;55,"Old",IF(Table14[[#This Row],[Age]]&gt;25,"Middle","Na")))</f>
        <v>Young</v>
      </c>
      <c r="H647" t="s">
        <v>11</v>
      </c>
      <c r="I647">
        <v>3</v>
      </c>
      <c r="J647">
        <v>25</v>
      </c>
      <c r="K647">
        <v>75</v>
      </c>
      <c r="N647" s="11" t="s">
        <v>611</v>
      </c>
      <c r="O647" s="11" t="s">
        <v>11</v>
      </c>
      <c r="P647" s="11">
        <f>K645/J645</f>
        <v>4</v>
      </c>
      <c r="Q647" s="11">
        <v>120</v>
      </c>
      <c r="R647" s="11">
        <v>120</v>
      </c>
    </row>
    <row r="648" spans="2:18" x14ac:dyDescent="0.35">
      <c r="B648">
        <v>645</v>
      </c>
      <c r="C648" s="1">
        <v>45247</v>
      </c>
      <c r="D648" t="s">
        <v>658</v>
      </c>
      <c r="E648" t="s">
        <v>13</v>
      </c>
      <c r="F648">
        <v>35</v>
      </c>
      <c r="G648" t="str">
        <f>IF(Table14[[#This Row],[Age]]&lt;=25,"Young",IF(Table14[[#This Row],[Age]]&gt;55,"Old",IF(Table14[[#This Row],[Age]]&gt;25,"Middle","Na")))</f>
        <v>Middle</v>
      </c>
      <c r="H648" t="s">
        <v>16</v>
      </c>
      <c r="I648">
        <v>4</v>
      </c>
      <c r="J648">
        <v>30</v>
      </c>
      <c r="K648">
        <v>120</v>
      </c>
      <c r="N648" s="11" t="s">
        <v>809</v>
      </c>
      <c r="O648" s="11" t="s">
        <v>11</v>
      </c>
      <c r="P648" s="11">
        <f>K646/J646</f>
        <v>3</v>
      </c>
      <c r="Q648" s="11">
        <v>120</v>
      </c>
      <c r="R648" s="11">
        <v>120</v>
      </c>
    </row>
    <row r="649" spans="2:18" x14ac:dyDescent="0.35">
      <c r="B649">
        <v>646</v>
      </c>
      <c r="C649" s="1">
        <v>45049</v>
      </c>
      <c r="D649" t="s">
        <v>659</v>
      </c>
      <c r="E649" t="s">
        <v>10</v>
      </c>
      <c r="F649">
        <v>38</v>
      </c>
      <c r="G649" t="str">
        <f>IF(Table14[[#This Row],[Age]]&lt;=25,"Young",IF(Table14[[#This Row],[Age]]&gt;55,"Old",IF(Table14[[#This Row],[Age]]&gt;25,"Middle","Na")))</f>
        <v>Middle</v>
      </c>
      <c r="H649" t="s">
        <v>14</v>
      </c>
      <c r="I649">
        <v>3</v>
      </c>
      <c r="J649">
        <v>30</v>
      </c>
      <c r="K649">
        <v>90</v>
      </c>
      <c r="N649" s="11" t="s">
        <v>1013</v>
      </c>
      <c r="O649" s="11" t="s">
        <v>16</v>
      </c>
      <c r="P649" s="11">
        <f>K647/J647</f>
        <v>3</v>
      </c>
      <c r="Q649" s="11">
        <v>120</v>
      </c>
      <c r="R649" s="11">
        <v>120</v>
      </c>
    </row>
    <row r="650" spans="2:18" x14ac:dyDescent="0.35">
      <c r="B650">
        <v>647</v>
      </c>
      <c r="C650" s="1">
        <v>45067</v>
      </c>
      <c r="D650" t="s">
        <v>660</v>
      </c>
      <c r="E650" t="s">
        <v>10</v>
      </c>
      <c r="F650">
        <v>59</v>
      </c>
      <c r="G650" t="str">
        <f>IF(Table14[[#This Row],[Age]]&lt;=25,"Young",IF(Table14[[#This Row],[Age]]&gt;55,"Old",IF(Table14[[#This Row],[Age]]&gt;25,"Middle","Na")))</f>
        <v>Old</v>
      </c>
      <c r="H650" t="s">
        <v>14</v>
      </c>
      <c r="I650">
        <v>3</v>
      </c>
      <c r="J650">
        <v>500</v>
      </c>
      <c r="K650">
        <v>1500</v>
      </c>
      <c r="N650" s="11" t="s">
        <v>30</v>
      </c>
      <c r="O650" s="11" t="s">
        <v>14</v>
      </c>
      <c r="P650" s="11">
        <f>K648/J648</f>
        <v>4</v>
      </c>
      <c r="Q650" s="11">
        <v>100</v>
      </c>
      <c r="R650" s="11">
        <v>100</v>
      </c>
    </row>
    <row r="651" spans="2:18" x14ac:dyDescent="0.35">
      <c r="B651">
        <v>648</v>
      </c>
      <c r="C651" s="1">
        <v>45152</v>
      </c>
      <c r="D651" t="s">
        <v>661</v>
      </c>
      <c r="E651" t="s">
        <v>10</v>
      </c>
      <c r="F651">
        <v>53</v>
      </c>
      <c r="G651" t="str">
        <f>IF(Table14[[#This Row],[Age]]&lt;=25,"Young",IF(Table14[[#This Row],[Age]]&gt;55,"Old",IF(Table14[[#This Row],[Age]]&gt;25,"Middle","Na")))</f>
        <v>Middle</v>
      </c>
      <c r="H651" t="s">
        <v>11</v>
      </c>
      <c r="I651">
        <v>4</v>
      </c>
      <c r="J651">
        <v>300</v>
      </c>
      <c r="K651">
        <v>1200</v>
      </c>
      <c r="N651" s="11" t="s">
        <v>127</v>
      </c>
      <c r="O651" s="11" t="s">
        <v>11</v>
      </c>
      <c r="P651" s="11">
        <f>K649/J649</f>
        <v>3</v>
      </c>
      <c r="Q651" s="11">
        <v>100</v>
      </c>
      <c r="R651" s="11">
        <v>100</v>
      </c>
    </row>
    <row r="652" spans="2:18" x14ac:dyDescent="0.35">
      <c r="B652">
        <v>649</v>
      </c>
      <c r="C652" s="1">
        <v>44966</v>
      </c>
      <c r="D652" t="s">
        <v>662</v>
      </c>
      <c r="E652" t="s">
        <v>13</v>
      </c>
      <c r="F652">
        <v>58</v>
      </c>
      <c r="G652" t="str">
        <f>IF(Table14[[#This Row],[Age]]&lt;=25,"Young",IF(Table14[[#This Row],[Age]]&gt;55,"Old",IF(Table14[[#This Row],[Age]]&gt;25,"Middle","Na")))</f>
        <v>Old</v>
      </c>
      <c r="H652" t="s">
        <v>14</v>
      </c>
      <c r="I652">
        <v>2</v>
      </c>
      <c r="J652">
        <v>300</v>
      </c>
      <c r="K652">
        <v>600</v>
      </c>
      <c r="N652" s="11" t="s">
        <v>169</v>
      </c>
      <c r="O652" s="11" t="s">
        <v>14</v>
      </c>
      <c r="P652" s="11">
        <f>K650/J650</f>
        <v>3</v>
      </c>
      <c r="Q652" s="11">
        <v>100</v>
      </c>
      <c r="R652" s="11">
        <v>100</v>
      </c>
    </row>
    <row r="653" spans="2:18" x14ac:dyDescent="0.35">
      <c r="B653">
        <v>650</v>
      </c>
      <c r="C653" s="1">
        <v>45292</v>
      </c>
      <c r="D653" t="s">
        <v>663</v>
      </c>
      <c r="E653" t="s">
        <v>10</v>
      </c>
      <c r="F653">
        <v>55</v>
      </c>
      <c r="G653" t="str">
        <f>IF(Table14[[#This Row],[Age]]&lt;=25,"Young",IF(Table14[[#This Row],[Age]]&gt;55,"Old",IF(Table14[[#This Row],[Age]]&gt;25,"Middle","Na")))</f>
        <v>Middle</v>
      </c>
      <c r="H653" t="s">
        <v>16</v>
      </c>
      <c r="I653">
        <v>1</v>
      </c>
      <c r="J653">
        <v>30</v>
      </c>
      <c r="K653">
        <v>30</v>
      </c>
      <c r="N653" s="11" t="s">
        <v>455</v>
      </c>
      <c r="O653" s="11" t="s">
        <v>14</v>
      </c>
      <c r="P653" s="11">
        <f>K651/J651</f>
        <v>4</v>
      </c>
      <c r="Q653" s="11">
        <v>100</v>
      </c>
      <c r="R653" s="11">
        <v>100</v>
      </c>
    </row>
    <row r="654" spans="2:18" x14ac:dyDescent="0.35">
      <c r="B654">
        <v>651</v>
      </c>
      <c r="C654" s="1">
        <v>45073</v>
      </c>
      <c r="D654" t="s">
        <v>664</v>
      </c>
      <c r="E654" t="s">
        <v>10</v>
      </c>
      <c r="F654">
        <v>51</v>
      </c>
      <c r="G654" t="str">
        <f>IF(Table14[[#This Row],[Age]]&lt;=25,"Young",IF(Table14[[#This Row],[Age]]&gt;55,"Old",IF(Table14[[#This Row],[Age]]&gt;25,"Middle","Na")))</f>
        <v>Middle</v>
      </c>
      <c r="H654" t="s">
        <v>14</v>
      </c>
      <c r="I654">
        <v>3</v>
      </c>
      <c r="J654">
        <v>50</v>
      </c>
      <c r="K654">
        <v>150</v>
      </c>
      <c r="N654" s="11" t="s">
        <v>468</v>
      </c>
      <c r="O654" s="11" t="s">
        <v>16</v>
      </c>
      <c r="P654" s="11">
        <f>K652/J652</f>
        <v>2</v>
      </c>
      <c r="Q654" s="11">
        <v>100</v>
      </c>
      <c r="R654" s="11">
        <v>100</v>
      </c>
    </row>
    <row r="655" spans="2:18" x14ac:dyDescent="0.35">
      <c r="B655">
        <v>652</v>
      </c>
      <c r="C655" s="1">
        <v>45047</v>
      </c>
      <c r="D655" t="s">
        <v>665</v>
      </c>
      <c r="E655" t="s">
        <v>13</v>
      </c>
      <c r="F655">
        <v>34</v>
      </c>
      <c r="G655" t="str">
        <f>IF(Table14[[#This Row],[Age]]&lt;=25,"Young",IF(Table14[[#This Row],[Age]]&gt;55,"Old",IF(Table14[[#This Row],[Age]]&gt;25,"Middle","Na")))</f>
        <v>Middle</v>
      </c>
      <c r="H655" t="s">
        <v>11</v>
      </c>
      <c r="I655">
        <v>2</v>
      </c>
      <c r="J655">
        <v>50</v>
      </c>
      <c r="K655">
        <v>100</v>
      </c>
      <c r="N655" s="11" t="s">
        <v>471</v>
      </c>
      <c r="O655" s="11" t="s">
        <v>16</v>
      </c>
      <c r="P655" s="11">
        <f>K653/J653</f>
        <v>1</v>
      </c>
      <c r="Q655" s="11">
        <v>100</v>
      </c>
      <c r="R655" s="11">
        <v>100</v>
      </c>
    </row>
    <row r="656" spans="2:18" x14ac:dyDescent="0.35">
      <c r="B656">
        <v>653</v>
      </c>
      <c r="C656" s="1">
        <v>45066</v>
      </c>
      <c r="D656" t="s">
        <v>666</v>
      </c>
      <c r="E656" t="s">
        <v>10</v>
      </c>
      <c r="F656">
        <v>54</v>
      </c>
      <c r="G656" t="str">
        <f>IF(Table14[[#This Row],[Age]]&lt;=25,"Young",IF(Table14[[#This Row],[Age]]&gt;55,"Old",IF(Table14[[#This Row],[Age]]&gt;25,"Middle","Na")))</f>
        <v>Middle</v>
      </c>
      <c r="H656" t="s">
        <v>14</v>
      </c>
      <c r="I656">
        <v>3</v>
      </c>
      <c r="J656">
        <v>25</v>
      </c>
      <c r="K656">
        <v>75</v>
      </c>
      <c r="N656" s="11" t="s">
        <v>479</v>
      </c>
      <c r="O656" s="11" t="s">
        <v>16</v>
      </c>
      <c r="P656" s="11">
        <f>K654/J654</f>
        <v>3</v>
      </c>
      <c r="Q656" s="11">
        <v>100</v>
      </c>
      <c r="R656" s="11">
        <v>100</v>
      </c>
    </row>
    <row r="657" spans="2:18" x14ac:dyDescent="0.35">
      <c r="B657">
        <v>654</v>
      </c>
      <c r="C657" s="1">
        <v>45098</v>
      </c>
      <c r="D657" t="s">
        <v>667</v>
      </c>
      <c r="E657" t="s">
        <v>10</v>
      </c>
      <c r="F657">
        <v>42</v>
      </c>
      <c r="G657" t="str">
        <f>IF(Table14[[#This Row],[Age]]&lt;=25,"Young",IF(Table14[[#This Row],[Age]]&gt;55,"Old",IF(Table14[[#This Row],[Age]]&gt;25,"Middle","Na")))</f>
        <v>Middle</v>
      </c>
      <c r="H657" t="s">
        <v>14</v>
      </c>
      <c r="I657">
        <v>3</v>
      </c>
      <c r="J657">
        <v>25</v>
      </c>
      <c r="K657">
        <v>75</v>
      </c>
      <c r="N657" s="11" t="s">
        <v>596</v>
      </c>
      <c r="O657" s="11" t="s">
        <v>16</v>
      </c>
      <c r="P657" s="11">
        <f>K655/J655</f>
        <v>2</v>
      </c>
      <c r="Q657" s="11">
        <v>100</v>
      </c>
      <c r="R657" s="11">
        <v>100</v>
      </c>
    </row>
    <row r="658" spans="2:18" x14ac:dyDescent="0.35">
      <c r="B658">
        <v>655</v>
      </c>
      <c r="C658" s="1">
        <v>45090</v>
      </c>
      <c r="D658" t="s">
        <v>668</v>
      </c>
      <c r="E658" t="s">
        <v>13</v>
      </c>
      <c r="F658">
        <v>55</v>
      </c>
      <c r="G658" t="str">
        <f>IF(Table14[[#This Row],[Age]]&lt;=25,"Young",IF(Table14[[#This Row],[Age]]&gt;55,"Old",IF(Table14[[#This Row],[Age]]&gt;25,"Middle","Na")))</f>
        <v>Middle</v>
      </c>
      <c r="H658" t="s">
        <v>14</v>
      </c>
      <c r="I658">
        <v>1</v>
      </c>
      <c r="J658">
        <v>500</v>
      </c>
      <c r="K658">
        <v>500</v>
      </c>
      <c r="N658" s="11" t="s">
        <v>604</v>
      </c>
      <c r="O658" s="11" t="s">
        <v>16</v>
      </c>
      <c r="P658" s="11">
        <f>K656/J656</f>
        <v>3</v>
      </c>
      <c r="Q658" s="11">
        <v>100</v>
      </c>
      <c r="R658" s="11">
        <v>100</v>
      </c>
    </row>
    <row r="659" spans="2:18" x14ac:dyDescent="0.35">
      <c r="B659">
        <v>656</v>
      </c>
      <c r="C659" s="1">
        <v>45203</v>
      </c>
      <c r="D659" t="s">
        <v>669</v>
      </c>
      <c r="E659" t="s">
        <v>10</v>
      </c>
      <c r="F659">
        <v>29</v>
      </c>
      <c r="G659" t="str">
        <f>IF(Table14[[#This Row],[Age]]&lt;=25,"Young",IF(Table14[[#This Row],[Age]]&gt;55,"Old",IF(Table14[[#This Row],[Age]]&gt;25,"Middle","Na")))</f>
        <v>Middle</v>
      </c>
      <c r="H659" t="s">
        <v>11</v>
      </c>
      <c r="I659">
        <v>3</v>
      </c>
      <c r="J659">
        <v>30</v>
      </c>
      <c r="K659">
        <v>90</v>
      </c>
      <c r="N659" s="11" t="s">
        <v>628</v>
      </c>
      <c r="O659" s="11" t="s">
        <v>14</v>
      </c>
      <c r="P659" s="11">
        <f>K657/J657</f>
        <v>3</v>
      </c>
      <c r="Q659" s="11">
        <v>100</v>
      </c>
      <c r="R659" s="11">
        <v>100</v>
      </c>
    </row>
    <row r="660" spans="2:18" x14ac:dyDescent="0.35">
      <c r="B660">
        <v>657</v>
      </c>
      <c r="C660" s="1">
        <v>44968</v>
      </c>
      <c r="D660" t="s">
        <v>670</v>
      </c>
      <c r="E660" t="s">
        <v>10</v>
      </c>
      <c r="F660">
        <v>40</v>
      </c>
      <c r="G660" t="str">
        <f>IF(Table14[[#This Row],[Age]]&lt;=25,"Young",IF(Table14[[#This Row],[Age]]&gt;55,"Old",IF(Table14[[#This Row],[Age]]&gt;25,"Middle","Na")))</f>
        <v>Middle</v>
      </c>
      <c r="H660" t="s">
        <v>14</v>
      </c>
      <c r="I660">
        <v>1</v>
      </c>
      <c r="J660">
        <v>25</v>
      </c>
      <c r="K660">
        <v>25</v>
      </c>
      <c r="N660" s="11" t="s">
        <v>719</v>
      </c>
      <c r="O660" s="11" t="s">
        <v>16</v>
      </c>
      <c r="P660" s="11">
        <f>K658/J658</f>
        <v>1</v>
      </c>
      <c r="Q660" s="11">
        <v>100</v>
      </c>
      <c r="R660" s="11">
        <v>100</v>
      </c>
    </row>
    <row r="661" spans="2:18" x14ac:dyDescent="0.35">
      <c r="B661">
        <v>658</v>
      </c>
      <c r="C661" s="1">
        <v>44997</v>
      </c>
      <c r="D661" t="s">
        <v>671</v>
      </c>
      <c r="E661" t="s">
        <v>10</v>
      </c>
      <c r="F661">
        <v>59</v>
      </c>
      <c r="G661" t="str">
        <f>IF(Table14[[#This Row],[Age]]&lt;=25,"Young",IF(Table14[[#This Row],[Age]]&gt;55,"Old",IF(Table14[[#This Row],[Age]]&gt;25,"Middle","Na")))</f>
        <v>Old</v>
      </c>
      <c r="H661" t="s">
        <v>14</v>
      </c>
      <c r="I661">
        <v>1</v>
      </c>
      <c r="J661">
        <v>25</v>
      </c>
      <c r="K661">
        <v>25</v>
      </c>
      <c r="N661" s="11" t="s">
        <v>799</v>
      </c>
      <c r="O661" s="11" t="s">
        <v>14</v>
      </c>
      <c r="P661" s="11">
        <f>K659/J659</f>
        <v>3</v>
      </c>
      <c r="Q661" s="11">
        <v>100</v>
      </c>
      <c r="R661" s="11">
        <v>100</v>
      </c>
    </row>
    <row r="662" spans="2:18" x14ac:dyDescent="0.35">
      <c r="B662">
        <v>659</v>
      </c>
      <c r="C662" s="1">
        <v>45004</v>
      </c>
      <c r="D662" t="s">
        <v>672</v>
      </c>
      <c r="E662" t="s">
        <v>13</v>
      </c>
      <c r="F662">
        <v>39</v>
      </c>
      <c r="G662" t="str">
        <f>IF(Table14[[#This Row],[Age]]&lt;=25,"Young",IF(Table14[[#This Row],[Age]]&gt;55,"Old",IF(Table14[[#This Row],[Age]]&gt;25,"Middle","Na")))</f>
        <v>Middle</v>
      </c>
      <c r="H662" t="s">
        <v>16</v>
      </c>
      <c r="I662">
        <v>1</v>
      </c>
      <c r="J662">
        <v>30</v>
      </c>
      <c r="K662">
        <v>30</v>
      </c>
      <c r="N662" s="11" t="s">
        <v>816</v>
      </c>
      <c r="O662" s="11" t="s">
        <v>14</v>
      </c>
      <c r="P662" s="11">
        <f>K660/J660</f>
        <v>1</v>
      </c>
      <c r="Q662" s="11">
        <v>100</v>
      </c>
      <c r="R662" s="11">
        <v>100</v>
      </c>
    </row>
    <row r="663" spans="2:18" x14ac:dyDescent="0.35">
      <c r="B663">
        <v>660</v>
      </c>
      <c r="C663" s="1">
        <v>45045</v>
      </c>
      <c r="D663" t="s">
        <v>673</v>
      </c>
      <c r="E663" t="s">
        <v>13</v>
      </c>
      <c r="F663">
        <v>38</v>
      </c>
      <c r="G663" t="str">
        <f>IF(Table14[[#This Row],[Age]]&lt;=25,"Young",IF(Table14[[#This Row],[Age]]&gt;55,"Old",IF(Table14[[#This Row],[Age]]&gt;25,"Middle","Na")))</f>
        <v>Middle</v>
      </c>
      <c r="H663" t="s">
        <v>11</v>
      </c>
      <c r="I663">
        <v>2</v>
      </c>
      <c r="J663">
        <v>500</v>
      </c>
      <c r="K663">
        <v>1000</v>
      </c>
      <c r="N663" s="11" t="s">
        <v>886</v>
      </c>
      <c r="O663" s="11" t="s">
        <v>16</v>
      </c>
      <c r="P663" s="11">
        <f>K661/J661</f>
        <v>1</v>
      </c>
      <c r="Q663" s="11">
        <v>100</v>
      </c>
      <c r="R663" s="11">
        <v>100</v>
      </c>
    </row>
    <row r="664" spans="2:18" x14ac:dyDescent="0.35">
      <c r="B664">
        <v>661</v>
      </c>
      <c r="C664" s="1">
        <v>45123</v>
      </c>
      <c r="D664" t="s">
        <v>674</v>
      </c>
      <c r="E664" t="s">
        <v>13</v>
      </c>
      <c r="F664">
        <v>44</v>
      </c>
      <c r="G664" t="str">
        <f>IF(Table14[[#This Row],[Age]]&lt;=25,"Young",IF(Table14[[#This Row],[Age]]&gt;55,"Old",IF(Table14[[#This Row],[Age]]&gt;25,"Middle","Na")))</f>
        <v>Middle</v>
      </c>
      <c r="H664" t="s">
        <v>14</v>
      </c>
      <c r="I664">
        <v>4</v>
      </c>
      <c r="J664">
        <v>25</v>
      </c>
      <c r="K664">
        <v>100</v>
      </c>
      <c r="N664" s="11" t="s">
        <v>900</v>
      </c>
      <c r="O664" s="11" t="s">
        <v>14</v>
      </c>
      <c r="P664" s="11">
        <f>K662/J662</f>
        <v>1</v>
      </c>
      <c r="Q664" s="11">
        <v>100</v>
      </c>
      <c r="R664" s="11">
        <v>100</v>
      </c>
    </row>
    <row r="665" spans="2:18" x14ac:dyDescent="0.35">
      <c r="B665">
        <v>662</v>
      </c>
      <c r="C665" s="1">
        <v>45282</v>
      </c>
      <c r="D665" t="s">
        <v>675</v>
      </c>
      <c r="E665" t="s">
        <v>10</v>
      </c>
      <c r="F665">
        <v>48</v>
      </c>
      <c r="G665" t="str">
        <f>IF(Table14[[#This Row],[Age]]&lt;=25,"Young",IF(Table14[[#This Row],[Age]]&gt;55,"Old",IF(Table14[[#This Row],[Age]]&gt;25,"Middle","Na")))</f>
        <v>Middle</v>
      </c>
      <c r="H665" t="s">
        <v>11</v>
      </c>
      <c r="I665">
        <v>2</v>
      </c>
      <c r="J665">
        <v>500</v>
      </c>
      <c r="K665">
        <v>1000</v>
      </c>
      <c r="N665" s="11" t="s">
        <v>18</v>
      </c>
      <c r="O665" s="11" t="s">
        <v>11</v>
      </c>
      <c r="P665" s="11">
        <f>K663/J663</f>
        <v>2</v>
      </c>
      <c r="Q665" s="11">
        <v>100</v>
      </c>
      <c r="R665" s="11">
        <v>100</v>
      </c>
    </row>
    <row r="666" spans="2:18" x14ac:dyDescent="0.35">
      <c r="B666">
        <v>663</v>
      </c>
      <c r="C666" s="1">
        <v>45005</v>
      </c>
      <c r="D666" t="s">
        <v>676</v>
      </c>
      <c r="E666" t="s">
        <v>10</v>
      </c>
      <c r="F666">
        <v>23</v>
      </c>
      <c r="G666" t="str">
        <f>IF(Table14[[#This Row],[Age]]&lt;=25,"Young",IF(Table14[[#This Row],[Age]]&gt;55,"Old",IF(Table14[[#This Row],[Age]]&gt;25,"Middle","Na")))</f>
        <v>Young</v>
      </c>
      <c r="H666" t="s">
        <v>14</v>
      </c>
      <c r="I666">
        <v>4</v>
      </c>
      <c r="J666">
        <v>300</v>
      </c>
      <c r="K666">
        <v>1200</v>
      </c>
      <c r="N666" s="11" t="s">
        <v>24</v>
      </c>
      <c r="O666" s="11" t="s">
        <v>14</v>
      </c>
      <c r="P666" s="11">
        <f>K664/J664</f>
        <v>4</v>
      </c>
      <c r="Q666" s="11">
        <v>100</v>
      </c>
      <c r="R666" s="11">
        <v>100</v>
      </c>
    </row>
    <row r="667" spans="2:18" x14ac:dyDescent="0.35">
      <c r="B667">
        <v>664</v>
      </c>
      <c r="C667" s="1">
        <v>45288</v>
      </c>
      <c r="D667" t="s">
        <v>677</v>
      </c>
      <c r="E667" t="s">
        <v>13</v>
      </c>
      <c r="F667">
        <v>44</v>
      </c>
      <c r="G667" t="str">
        <f>IF(Table14[[#This Row],[Age]]&lt;=25,"Young",IF(Table14[[#This Row],[Age]]&gt;55,"Old",IF(Table14[[#This Row],[Age]]&gt;25,"Middle","Na")))</f>
        <v>Middle</v>
      </c>
      <c r="H667" t="s">
        <v>14</v>
      </c>
      <c r="I667">
        <v>4</v>
      </c>
      <c r="J667">
        <v>500</v>
      </c>
      <c r="K667">
        <v>2000</v>
      </c>
      <c r="N667" s="11" t="s">
        <v>89</v>
      </c>
      <c r="O667" s="11" t="s">
        <v>16</v>
      </c>
      <c r="P667" s="11">
        <f>K665/J665</f>
        <v>2</v>
      </c>
      <c r="Q667" s="11">
        <v>100</v>
      </c>
      <c r="R667" s="11">
        <v>100</v>
      </c>
    </row>
    <row r="668" spans="2:18" x14ac:dyDescent="0.35">
      <c r="B668">
        <v>665</v>
      </c>
      <c r="C668" s="1">
        <v>45036</v>
      </c>
      <c r="D668" t="s">
        <v>678</v>
      </c>
      <c r="E668" t="s">
        <v>10</v>
      </c>
      <c r="F668">
        <v>57</v>
      </c>
      <c r="G668" t="str">
        <f>IF(Table14[[#This Row],[Age]]&lt;=25,"Young",IF(Table14[[#This Row],[Age]]&gt;55,"Old",IF(Table14[[#This Row],[Age]]&gt;25,"Middle","Na")))</f>
        <v>Old</v>
      </c>
      <c r="H668" t="s">
        <v>14</v>
      </c>
      <c r="I668">
        <v>1</v>
      </c>
      <c r="J668">
        <v>50</v>
      </c>
      <c r="K668">
        <v>50</v>
      </c>
      <c r="N668" s="11" t="s">
        <v>111</v>
      </c>
      <c r="O668" s="11" t="s">
        <v>11</v>
      </c>
      <c r="P668" s="11">
        <f>K666/J666</f>
        <v>4</v>
      </c>
      <c r="Q668" s="11">
        <v>100</v>
      </c>
      <c r="R668" s="11">
        <v>100</v>
      </c>
    </row>
    <row r="669" spans="2:18" x14ac:dyDescent="0.35">
      <c r="B669">
        <v>666</v>
      </c>
      <c r="C669" s="1">
        <v>44959</v>
      </c>
      <c r="D669" t="s">
        <v>679</v>
      </c>
      <c r="E669" t="s">
        <v>10</v>
      </c>
      <c r="F669">
        <v>51</v>
      </c>
      <c r="G669" t="str">
        <f>IF(Table14[[#This Row],[Age]]&lt;=25,"Young",IF(Table14[[#This Row],[Age]]&gt;55,"Old",IF(Table14[[#This Row],[Age]]&gt;25,"Middle","Na")))</f>
        <v>Middle</v>
      </c>
      <c r="H669" t="s">
        <v>16</v>
      </c>
      <c r="I669">
        <v>3</v>
      </c>
      <c r="J669">
        <v>50</v>
      </c>
      <c r="K669">
        <v>150</v>
      </c>
      <c r="N669" s="11" t="s">
        <v>138</v>
      </c>
      <c r="O669" s="11" t="s">
        <v>14</v>
      </c>
      <c r="P669" s="11">
        <f>K667/J667</f>
        <v>4</v>
      </c>
      <c r="Q669" s="11">
        <v>100</v>
      </c>
      <c r="R669" s="11">
        <v>100</v>
      </c>
    </row>
    <row r="670" spans="2:18" x14ac:dyDescent="0.35">
      <c r="B670">
        <v>667</v>
      </c>
      <c r="C670" s="1">
        <v>45139</v>
      </c>
      <c r="D670" t="s">
        <v>680</v>
      </c>
      <c r="E670" t="s">
        <v>13</v>
      </c>
      <c r="F670">
        <v>29</v>
      </c>
      <c r="G670" t="str">
        <f>IF(Table14[[#This Row],[Age]]&lt;=25,"Young",IF(Table14[[#This Row],[Age]]&gt;55,"Old",IF(Table14[[#This Row],[Age]]&gt;25,"Middle","Na")))</f>
        <v>Middle</v>
      </c>
      <c r="H670" t="s">
        <v>16</v>
      </c>
      <c r="I670">
        <v>1</v>
      </c>
      <c r="J670">
        <v>500</v>
      </c>
      <c r="K670">
        <v>500</v>
      </c>
      <c r="N670" s="11" t="s">
        <v>229</v>
      </c>
      <c r="O670" s="11" t="s">
        <v>16</v>
      </c>
      <c r="P670" s="11">
        <f>K668/J668</f>
        <v>1</v>
      </c>
      <c r="Q670" s="11">
        <v>100</v>
      </c>
      <c r="R670" s="11">
        <v>100</v>
      </c>
    </row>
    <row r="671" spans="2:18" x14ac:dyDescent="0.35">
      <c r="B671">
        <v>668</v>
      </c>
      <c r="C671" s="1">
        <v>45135</v>
      </c>
      <c r="D671" t="s">
        <v>681</v>
      </c>
      <c r="E671" t="s">
        <v>13</v>
      </c>
      <c r="F671">
        <v>62</v>
      </c>
      <c r="G671" t="str">
        <f>IF(Table14[[#This Row],[Age]]&lt;=25,"Young",IF(Table14[[#This Row],[Age]]&gt;55,"Old",IF(Table14[[#This Row],[Age]]&gt;25,"Middle","Na")))</f>
        <v>Old</v>
      </c>
      <c r="H671" t="s">
        <v>16</v>
      </c>
      <c r="I671">
        <v>3</v>
      </c>
      <c r="J671">
        <v>50</v>
      </c>
      <c r="K671">
        <v>150</v>
      </c>
      <c r="N671" s="11" t="s">
        <v>351</v>
      </c>
      <c r="O671" s="11" t="s">
        <v>11</v>
      </c>
      <c r="P671" s="11">
        <f>K669/J669</f>
        <v>3</v>
      </c>
      <c r="Q671" s="11">
        <v>100</v>
      </c>
      <c r="R671" s="11">
        <v>100</v>
      </c>
    </row>
    <row r="672" spans="2:18" x14ac:dyDescent="0.35">
      <c r="B672">
        <v>669</v>
      </c>
      <c r="C672" s="1">
        <v>45096</v>
      </c>
      <c r="D672" t="s">
        <v>682</v>
      </c>
      <c r="E672" t="s">
        <v>10</v>
      </c>
      <c r="F672">
        <v>24</v>
      </c>
      <c r="G672" t="str">
        <f>IF(Table14[[#This Row],[Age]]&lt;=25,"Young",IF(Table14[[#This Row],[Age]]&gt;55,"Old",IF(Table14[[#This Row],[Age]]&gt;25,"Middle","Na")))</f>
        <v>Young</v>
      </c>
      <c r="H672" t="s">
        <v>11</v>
      </c>
      <c r="I672">
        <v>4</v>
      </c>
      <c r="J672">
        <v>300</v>
      </c>
      <c r="K672">
        <v>1200</v>
      </c>
      <c r="N672" s="11" t="s">
        <v>588</v>
      </c>
      <c r="O672" s="11" t="s">
        <v>14</v>
      </c>
      <c r="P672" s="11">
        <f>K670/J670</f>
        <v>1</v>
      </c>
      <c r="Q672" s="11">
        <v>100</v>
      </c>
      <c r="R672" s="11">
        <v>100</v>
      </c>
    </row>
    <row r="673" spans="2:18" x14ac:dyDescent="0.35">
      <c r="B673">
        <v>670</v>
      </c>
      <c r="C673" s="1">
        <v>45204</v>
      </c>
      <c r="D673" t="s">
        <v>683</v>
      </c>
      <c r="E673" t="s">
        <v>10</v>
      </c>
      <c r="F673">
        <v>27</v>
      </c>
      <c r="G673" t="str">
        <f>IF(Table14[[#This Row],[Age]]&lt;=25,"Young",IF(Table14[[#This Row],[Age]]&gt;55,"Old",IF(Table14[[#This Row],[Age]]&gt;25,"Middle","Na")))</f>
        <v>Middle</v>
      </c>
      <c r="H673" t="s">
        <v>11</v>
      </c>
      <c r="I673">
        <v>1</v>
      </c>
      <c r="J673">
        <v>30</v>
      </c>
      <c r="K673">
        <v>30</v>
      </c>
      <c r="N673" s="11" t="s">
        <v>612</v>
      </c>
      <c r="O673" s="11" t="s">
        <v>11</v>
      </c>
      <c r="P673" s="11">
        <f>K671/J671</f>
        <v>3</v>
      </c>
      <c r="Q673" s="11">
        <v>100</v>
      </c>
      <c r="R673" s="11">
        <v>100</v>
      </c>
    </row>
    <row r="674" spans="2:18" x14ac:dyDescent="0.35">
      <c r="B674">
        <v>671</v>
      </c>
      <c r="C674" s="1">
        <v>45165</v>
      </c>
      <c r="D674" t="s">
        <v>684</v>
      </c>
      <c r="E674" t="s">
        <v>10</v>
      </c>
      <c r="F674">
        <v>62</v>
      </c>
      <c r="G674" t="str">
        <f>IF(Table14[[#This Row],[Age]]&lt;=25,"Young",IF(Table14[[#This Row],[Age]]&gt;55,"Old",IF(Table14[[#This Row],[Age]]&gt;25,"Middle","Na")))</f>
        <v>Old</v>
      </c>
      <c r="H674" t="s">
        <v>16</v>
      </c>
      <c r="I674">
        <v>3</v>
      </c>
      <c r="J674">
        <v>50</v>
      </c>
      <c r="K674">
        <v>150</v>
      </c>
      <c r="N674" s="11" t="s">
        <v>705</v>
      </c>
      <c r="O674" s="11" t="s">
        <v>14</v>
      </c>
      <c r="P674" s="11">
        <f>K672/J672</f>
        <v>4</v>
      </c>
      <c r="Q674" s="11">
        <v>100</v>
      </c>
      <c r="R674" s="11">
        <v>100</v>
      </c>
    </row>
    <row r="675" spans="2:18" x14ac:dyDescent="0.35">
      <c r="B675">
        <v>672</v>
      </c>
      <c r="C675" s="1">
        <v>45139</v>
      </c>
      <c r="D675" t="s">
        <v>685</v>
      </c>
      <c r="E675" t="s">
        <v>13</v>
      </c>
      <c r="F675">
        <v>34</v>
      </c>
      <c r="G675" t="str">
        <f>IF(Table14[[#This Row],[Age]]&lt;=25,"Young",IF(Table14[[#This Row],[Age]]&gt;55,"Old",IF(Table14[[#This Row],[Age]]&gt;25,"Middle","Na")))</f>
        <v>Middle</v>
      </c>
      <c r="H675" t="s">
        <v>11</v>
      </c>
      <c r="I675">
        <v>2</v>
      </c>
      <c r="J675">
        <v>50</v>
      </c>
      <c r="K675">
        <v>100</v>
      </c>
      <c r="N675" s="11" t="s">
        <v>937</v>
      </c>
      <c r="O675" s="11" t="s">
        <v>11</v>
      </c>
      <c r="P675" s="11">
        <f>K673/J673</f>
        <v>1</v>
      </c>
      <c r="Q675" s="11">
        <v>100</v>
      </c>
      <c r="R675" s="11">
        <v>100</v>
      </c>
    </row>
    <row r="676" spans="2:18" x14ac:dyDescent="0.35">
      <c r="B676">
        <v>673</v>
      </c>
      <c r="C676" s="1">
        <v>44958</v>
      </c>
      <c r="D676" t="s">
        <v>686</v>
      </c>
      <c r="E676" t="s">
        <v>13</v>
      </c>
      <c r="F676">
        <v>43</v>
      </c>
      <c r="G676" t="str">
        <f>IF(Table14[[#This Row],[Age]]&lt;=25,"Young",IF(Table14[[#This Row],[Age]]&gt;55,"Old",IF(Table14[[#This Row],[Age]]&gt;25,"Middle","Na")))</f>
        <v>Middle</v>
      </c>
      <c r="H676" t="s">
        <v>14</v>
      </c>
      <c r="I676">
        <v>3</v>
      </c>
      <c r="J676">
        <v>500</v>
      </c>
      <c r="K676">
        <v>1500</v>
      </c>
      <c r="N676" s="11" t="s">
        <v>45</v>
      </c>
      <c r="O676" s="11" t="s">
        <v>11</v>
      </c>
      <c r="P676" s="11">
        <f>K674/J674</f>
        <v>3</v>
      </c>
      <c r="Q676" s="11">
        <v>90</v>
      </c>
      <c r="R676" s="11">
        <v>90</v>
      </c>
    </row>
    <row r="677" spans="2:18" x14ac:dyDescent="0.35">
      <c r="B677">
        <v>674</v>
      </c>
      <c r="C677" s="1">
        <v>45032</v>
      </c>
      <c r="D677" t="s">
        <v>687</v>
      </c>
      <c r="E677" t="s">
        <v>13</v>
      </c>
      <c r="F677">
        <v>38</v>
      </c>
      <c r="G677" t="str">
        <f>IF(Table14[[#This Row],[Age]]&lt;=25,"Young",IF(Table14[[#This Row],[Age]]&gt;55,"Old",IF(Table14[[#This Row],[Age]]&gt;25,"Middle","Na")))</f>
        <v>Middle</v>
      </c>
      <c r="H677" t="s">
        <v>14</v>
      </c>
      <c r="I677">
        <v>1</v>
      </c>
      <c r="J677">
        <v>300</v>
      </c>
      <c r="K677">
        <v>300</v>
      </c>
      <c r="N677" s="11" t="s">
        <v>242</v>
      </c>
      <c r="O677" s="11" t="s">
        <v>11</v>
      </c>
      <c r="P677" s="11">
        <f>K675/J675</f>
        <v>2</v>
      </c>
      <c r="Q677" s="11">
        <v>90</v>
      </c>
      <c r="R677" s="11">
        <v>90</v>
      </c>
    </row>
    <row r="678" spans="2:18" x14ac:dyDescent="0.35">
      <c r="B678">
        <v>675</v>
      </c>
      <c r="C678" s="1">
        <v>45142</v>
      </c>
      <c r="D678" t="s">
        <v>688</v>
      </c>
      <c r="E678" t="s">
        <v>13</v>
      </c>
      <c r="F678">
        <v>45</v>
      </c>
      <c r="G678" t="str">
        <f>IF(Table14[[#This Row],[Age]]&lt;=25,"Young",IF(Table14[[#This Row],[Age]]&gt;55,"Old",IF(Table14[[#This Row],[Age]]&gt;25,"Middle","Na")))</f>
        <v>Middle</v>
      </c>
      <c r="H678" t="s">
        <v>14</v>
      </c>
      <c r="I678">
        <v>2</v>
      </c>
      <c r="J678">
        <v>30</v>
      </c>
      <c r="K678">
        <v>60</v>
      </c>
      <c r="N678" s="11" t="s">
        <v>280</v>
      </c>
      <c r="O678" s="11" t="s">
        <v>11</v>
      </c>
      <c r="P678" s="11">
        <f>K676/J676</f>
        <v>3</v>
      </c>
      <c r="Q678" s="11">
        <v>90</v>
      </c>
      <c r="R678" s="11">
        <v>90</v>
      </c>
    </row>
    <row r="679" spans="2:18" x14ac:dyDescent="0.35">
      <c r="B679">
        <v>676</v>
      </c>
      <c r="C679" s="1">
        <v>45126</v>
      </c>
      <c r="D679" t="s">
        <v>689</v>
      </c>
      <c r="E679" t="s">
        <v>10</v>
      </c>
      <c r="F679">
        <v>63</v>
      </c>
      <c r="G679" t="str">
        <f>IF(Table14[[#This Row],[Age]]&lt;=25,"Young",IF(Table14[[#This Row],[Age]]&gt;55,"Old",IF(Table14[[#This Row],[Age]]&gt;25,"Middle","Na")))</f>
        <v>Old</v>
      </c>
      <c r="H679" t="s">
        <v>16</v>
      </c>
      <c r="I679">
        <v>3</v>
      </c>
      <c r="J679">
        <v>500</v>
      </c>
      <c r="K679">
        <v>1500</v>
      </c>
      <c r="N679" s="11" t="s">
        <v>457</v>
      </c>
      <c r="O679" s="11" t="s">
        <v>14</v>
      </c>
      <c r="P679" s="11">
        <f>K677/J677</f>
        <v>1</v>
      </c>
      <c r="Q679" s="11">
        <v>90</v>
      </c>
      <c r="R679" s="11">
        <v>90</v>
      </c>
    </row>
    <row r="680" spans="2:18" x14ac:dyDescent="0.35">
      <c r="B680">
        <v>677</v>
      </c>
      <c r="C680" s="1">
        <v>45226</v>
      </c>
      <c r="D680" t="s">
        <v>690</v>
      </c>
      <c r="E680" t="s">
        <v>13</v>
      </c>
      <c r="F680">
        <v>19</v>
      </c>
      <c r="G680" t="str">
        <f>IF(Table14[[#This Row],[Age]]&lt;=25,"Young",IF(Table14[[#This Row],[Age]]&gt;55,"Old",IF(Table14[[#This Row],[Age]]&gt;25,"Middle","Na")))</f>
        <v>Young</v>
      </c>
      <c r="H680" t="s">
        <v>11</v>
      </c>
      <c r="I680">
        <v>3</v>
      </c>
      <c r="J680">
        <v>500</v>
      </c>
      <c r="K680">
        <v>1500</v>
      </c>
      <c r="N680" s="11" t="s">
        <v>616</v>
      </c>
      <c r="O680" s="11" t="s">
        <v>14</v>
      </c>
      <c r="P680" s="11">
        <f>K678/J678</f>
        <v>2</v>
      </c>
      <c r="Q680" s="11">
        <v>90</v>
      </c>
      <c r="R680" s="11">
        <v>90</v>
      </c>
    </row>
    <row r="681" spans="2:18" x14ac:dyDescent="0.35">
      <c r="B681">
        <v>678</v>
      </c>
      <c r="C681" s="1">
        <v>45283</v>
      </c>
      <c r="D681" t="s">
        <v>691</v>
      </c>
      <c r="E681" t="s">
        <v>13</v>
      </c>
      <c r="F681">
        <v>60</v>
      </c>
      <c r="G681" t="str">
        <f>IF(Table14[[#This Row],[Age]]&lt;=25,"Young",IF(Table14[[#This Row],[Age]]&gt;55,"Old",IF(Table14[[#This Row],[Age]]&gt;25,"Middle","Na")))</f>
        <v>Old</v>
      </c>
      <c r="H681" t="s">
        <v>16</v>
      </c>
      <c r="I681">
        <v>3</v>
      </c>
      <c r="J681">
        <v>300</v>
      </c>
      <c r="K681">
        <v>900</v>
      </c>
      <c r="N681" s="11" t="s">
        <v>692</v>
      </c>
      <c r="O681" s="11" t="s">
        <v>11</v>
      </c>
      <c r="P681" s="11">
        <f>K679/J679</f>
        <v>3</v>
      </c>
      <c r="Q681" s="11">
        <v>90</v>
      </c>
      <c r="R681" s="11">
        <v>90</v>
      </c>
    </row>
    <row r="682" spans="2:18" x14ac:dyDescent="0.35">
      <c r="B682">
        <v>679</v>
      </c>
      <c r="C682" s="1">
        <v>44937</v>
      </c>
      <c r="D682" t="s">
        <v>692</v>
      </c>
      <c r="E682" t="s">
        <v>13</v>
      </c>
      <c r="F682">
        <v>18</v>
      </c>
      <c r="G682" t="str">
        <f>IF(Table14[[#This Row],[Age]]&lt;=25,"Young",IF(Table14[[#This Row],[Age]]&gt;55,"Old",IF(Table14[[#This Row],[Age]]&gt;25,"Middle","Na")))</f>
        <v>Young</v>
      </c>
      <c r="H682" t="s">
        <v>11</v>
      </c>
      <c r="I682">
        <v>3</v>
      </c>
      <c r="J682">
        <v>30</v>
      </c>
      <c r="K682">
        <v>90</v>
      </c>
      <c r="N682" s="11" t="s">
        <v>717</v>
      </c>
      <c r="O682" s="11" t="s">
        <v>14</v>
      </c>
      <c r="P682" s="11">
        <f>K680/J680</f>
        <v>3</v>
      </c>
      <c r="Q682" s="11">
        <v>90</v>
      </c>
      <c r="R682" s="11">
        <v>90</v>
      </c>
    </row>
    <row r="683" spans="2:18" x14ac:dyDescent="0.35">
      <c r="B683">
        <v>680</v>
      </c>
      <c r="C683" s="1">
        <v>45221</v>
      </c>
      <c r="D683" t="s">
        <v>693</v>
      </c>
      <c r="E683" t="s">
        <v>13</v>
      </c>
      <c r="F683">
        <v>53</v>
      </c>
      <c r="G683" t="str">
        <f>IF(Table14[[#This Row],[Age]]&lt;=25,"Young",IF(Table14[[#This Row],[Age]]&gt;55,"Old",IF(Table14[[#This Row],[Age]]&gt;25,"Middle","Na")))</f>
        <v>Middle</v>
      </c>
      <c r="H683" t="s">
        <v>14</v>
      </c>
      <c r="I683">
        <v>3</v>
      </c>
      <c r="J683">
        <v>300</v>
      </c>
      <c r="K683">
        <v>900</v>
      </c>
      <c r="N683" s="11" t="s">
        <v>759</v>
      </c>
      <c r="O683" s="11" t="s">
        <v>14</v>
      </c>
      <c r="P683" s="11">
        <f>K681/J681</f>
        <v>3</v>
      </c>
      <c r="Q683" s="11">
        <v>90</v>
      </c>
      <c r="R683" s="11">
        <v>90</v>
      </c>
    </row>
    <row r="684" spans="2:18" x14ac:dyDescent="0.35">
      <c r="B684">
        <v>681</v>
      </c>
      <c r="C684" s="1">
        <v>45121</v>
      </c>
      <c r="D684" t="s">
        <v>694</v>
      </c>
      <c r="E684" t="s">
        <v>13</v>
      </c>
      <c r="F684">
        <v>43</v>
      </c>
      <c r="G684" t="str">
        <f>IF(Table14[[#This Row],[Age]]&lt;=25,"Young",IF(Table14[[#This Row],[Age]]&gt;55,"Old",IF(Table14[[#This Row],[Age]]&gt;25,"Middle","Na")))</f>
        <v>Middle</v>
      </c>
      <c r="H684" t="s">
        <v>16</v>
      </c>
      <c r="I684">
        <v>2</v>
      </c>
      <c r="J684">
        <v>30</v>
      </c>
      <c r="K684">
        <v>60</v>
      </c>
      <c r="N684" s="11" t="s">
        <v>789</v>
      </c>
      <c r="O684" s="11" t="s">
        <v>14</v>
      </c>
      <c r="P684" s="11">
        <f>K682/J682</f>
        <v>3</v>
      </c>
      <c r="Q684" s="11">
        <v>90</v>
      </c>
      <c r="R684" s="11">
        <v>90</v>
      </c>
    </row>
    <row r="685" spans="2:18" x14ac:dyDescent="0.35">
      <c r="B685">
        <v>682</v>
      </c>
      <c r="C685" s="1">
        <v>45171</v>
      </c>
      <c r="D685" t="s">
        <v>695</v>
      </c>
      <c r="E685" t="s">
        <v>10</v>
      </c>
      <c r="F685">
        <v>46</v>
      </c>
      <c r="G685" t="str">
        <f>IF(Table14[[#This Row],[Age]]&lt;=25,"Young",IF(Table14[[#This Row],[Age]]&gt;55,"Old",IF(Table14[[#This Row],[Age]]&gt;25,"Middle","Na")))</f>
        <v>Middle</v>
      </c>
      <c r="H685" t="s">
        <v>11</v>
      </c>
      <c r="I685">
        <v>4</v>
      </c>
      <c r="J685">
        <v>300</v>
      </c>
      <c r="K685">
        <v>1200</v>
      </c>
      <c r="N685" s="11" t="s">
        <v>911</v>
      </c>
      <c r="O685" s="11" t="s">
        <v>14</v>
      </c>
      <c r="P685" s="11">
        <f>K683/J683</f>
        <v>3</v>
      </c>
      <c r="Q685" s="11">
        <v>90</v>
      </c>
      <c r="R685" s="11">
        <v>90</v>
      </c>
    </row>
    <row r="686" spans="2:18" x14ac:dyDescent="0.35">
      <c r="B686">
        <v>683</v>
      </c>
      <c r="C686" s="1">
        <v>44930</v>
      </c>
      <c r="D686" t="s">
        <v>696</v>
      </c>
      <c r="E686" t="s">
        <v>10</v>
      </c>
      <c r="F686">
        <v>38</v>
      </c>
      <c r="G686" t="str">
        <f>IF(Table14[[#This Row],[Age]]&lt;=25,"Young",IF(Table14[[#This Row],[Age]]&gt;55,"Old",IF(Table14[[#This Row],[Age]]&gt;25,"Middle","Na")))</f>
        <v>Middle</v>
      </c>
      <c r="H686" t="s">
        <v>11</v>
      </c>
      <c r="I686">
        <v>2</v>
      </c>
      <c r="J686">
        <v>500</v>
      </c>
      <c r="K686">
        <v>1000</v>
      </c>
      <c r="N686" s="11" t="s">
        <v>931</v>
      </c>
      <c r="O686" s="11" t="s">
        <v>16</v>
      </c>
      <c r="P686" s="11">
        <f>K684/J684</f>
        <v>2</v>
      </c>
      <c r="Q686" s="11">
        <v>90</v>
      </c>
      <c r="R686" s="11">
        <v>90</v>
      </c>
    </row>
    <row r="687" spans="2:18" x14ac:dyDescent="0.35">
      <c r="B687">
        <v>684</v>
      </c>
      <c r="C687" s="1">
        <v>45107</v>
      </c>
      <c r="D687" t="s">
        <v>697</v>
      </c>
      <c r="E687" t="s">
        <v>13</v>
      </c>
      <c r="F687">
        <v>28</v>
      </c>
      <c r="G687" t="str">
        <f>IF(Table14[[#This Row],[Age]]&lt;=25,"Young",IF(Table14[[#This Row],[Age]]&gt;55,"Old",IF(Table14[[#This Row],[Age]]&gt;25,"Middle","Na")))</f>
        <v>Middle</v>
      </c>
      <c r="H687" t="s">
        <v>14</v>
      </c>
      <c r="I687">
        <v>2</v>
      </c>
      <c r="J687">
        <v>500</v>
      </c>
      <c r="K687">
        <v>1000</v>
      </c>
      <c r="N687" s="11" t="s">
        <v>995</v>
      </c>
      <c r="O687" s="11" t="s">
        <v>11</v>
      </c>
      <c r="P687" s="11">
        <f>K685/J685</f>
        <v>4</v>
      </c>
      <c r="Q687" s="11">
        <v>90</v>
      </c>
      <c r="R687" s="11">
        <v>90</v>
      </c>
    </row>
    <row r="688" spans="2:18" x14ac:dyDescent="0.35">
      <c r="B688">
        <v>685</v>
      </c>
      <c r="C688" s="1">
        <v>45079</v>
      </c>
      <c r="D688" t="s">
        <v>698</v>
      </c>
      <c r="E688" t="s">
        <v>10</v>
      </c>
      <c r="F688">
        <v>57</v>
      </c>
      <c r="G688" t="str">
        <f>IF(Table14[[#This Row],[Age]]&lt;=25,"Young",IF(Table14[[#This Row],[Age]]&gt;55,"Old",IF(Table14[[#This Row],[Age]]&gt;25,"Middle","Na")))</f>
        <v>Old</v>
      </c>
      <c r="H688" t="s">
        <v>16</v>
      </c>
      <c r="I688">
        <v>2</v>
      </c>
      <c r="J688">
        <v>25</v>
      </c>
      <c r="K688">
        <v>50</v>
      </c>
      <c r="N688" s="11" t="s">
        <v>121</v>
      </c>
      <c r="O688" s="11" t="s">
        <v>11</v>
      </c>
      <c r="P688" s="11">
        <f>K686/J686</f>
        <v>2</v>
      </c>
      <c r="Q688" s="11">
        <v>75</v>
      </c>
      <c r="R688" s="11">
        <v>75</v>
      </c>
    </row>
    <row r="689" spans="2:18" x14ac:dyDescent="0.35">
      <c r="B689">
        <v>686</v>
      </c>
      <c r="C689" s="1">
        <v>45126</v>
      </c>
      <c r="D689" t="s">
        <v>699</v>
      </c>
      <c r="E689" t="s">
        <v>13</v>
      </c>
      <c r="F689">
        <v>28</v>
      </c>
      <c r="G689" t="str">
        <f>IF(Table14[[#This Row],[Age]]&lt;=25,"Young",IF(Table14[[#This Row],[Age]]&gt;55,"Old",IF(Table14[[#This Row],[Age]]&gt;25,"Middle","Na")))</f>
        <v>Middle</v>
      </c>
      <c r="H689" t="s">
        <v>16</v>
      </c>
      <c r="I689">
        <v>4</v>
      </c>
      <c r="J689">
        <v>50</v>
      </c>
      <c r="K689">
        <v>200</v>
      </c>
      <c r="N689" s="11" t="s">
        <v>158</v>
      </c>
      <c r="O689" s="11" t="s">
        <v>14</v>
      </c>
      <c r="P689" s="11">
        <f>K687/J687</f>
        <v>2</v>
      </c>
      <c r="Q689" s="11">
        <v>75</v>
      </c>
      <c r="R689" s="11">
        <v>75</v>
      </c>
    </row>
    <row r="690" spans="2:18" x14ac:dyDescent="0.35">
      <c r="B690">
        <v>687</v>
      </c>
      <c r="C690" s="1">
        <v>45141</v>
      </c>
      <c r="D690" t="s">
        <v>700</v>
      </c>
      <c r="E690" t="s">
        <v>13</v>
      </c>
      <c r="F690">
        <v>53</v>
      </c>
      <c r="G690" t="str">
        <f>IF(Table14[[#This Row],[Age]]&lt;=25,"Young",IF(Table14[[#This Row],[Age]]&gt;55,"Old",IF(Table14[[#This Row],[Age]]&gt;25,"Middle","Na")))</f>
        <v>Middle</v>
      </c>
      <c r="H690" t="s">
        <v>16</v>
      </c>
      <c r="I690">
        <v>1</v>
      </c>
      <c r="J690">
        <v>300</v>
      </c>
      <c r="K690">
        <v>300</v>
      </c>
      <c r="N690" s="11" t="s">
        <v>162</v>
      </c>
      <c r="O690" s="11" t="s">
        <v>14</v>
      </c>
      <c r="P690" s="11">
        <f>K688/J688</f>
        <v>2</v>
      </c>
      <c r="Q690" s="11">
        <v>75</v>
      </c>
      <c r="R690" s="11">
        <v>75</v>
      </c>
    </row>
    <row r="691" spans="2:18" x14ac:dyDescent="0.35">
      <c r="B691">
        <v>688</v>
      </c>
      <c r="C691" s="1">
        <v>45202</v>
      </c>
      <c r="D691" t="s">
        <v>701</v>
      </c>
      <c r="E691" t="s">
        <v>10</v>
      </c>
      <c r="F691">
        <v>56</v>
      </c>
      <c r="G691" t="str">
        <f>IF(Table14[[#This Row],[Age]]&lt;=25,"Young",IF(Table14[[#This Row],[Age]]&gt;55,"Old",IF(Table14[[#This Row],[Age]]&gt;25,"Middle","Na")))</f>
        <v>Old</v>
      </c>
      <c r="H691" t="s">
        <v>14</v>
      </c>
      <c r="I691">
        <v>4</v>
      </c>
      <c r="J691">
        <v>25</v>
      </c>
      <c r="K691">
        <v>100</v>
      </c>
      <c r="N691" s="11" t="s">
        <v>254</v>
      </c>
      <c r="O691" s="11" t="s">
        <v>16</v>
      </c>
      <c r="P691" s="11">
        <f>K689/J689</f>
        <v>4</v>
      </c>
      <c r="Q691" s="11">
        <v>75</v>
      </c>
      <c r="R691" s="11">
        <v>75</v>
      </c>
    </row>
    <row r="692" spans="2:18" x14ac:dyDescent="0.35">
      <c r="B692">
        <v>689</v>
      </c>
      <c r="C692" s="1">
        <v>45206</v>
      </c>
      <c r="D692" t="s">
        <v>702</v>
      </c>
      <c r="E692" t="s">
        <v>10</v>
      </c>
      <c r="F692">
        <v>57</v>
      </c>
      <c r="G692" t="str">
        <f>IF(Table14[[#This Row],[Age]]&lt;=25,"Young",IF(Table14[[#This Row],[Age]]&gt;55,"Old",IF(Table14[[#This Row],[Age]]&gt;25,"Middle","Na")))</f>
        <v>Old</v>
      </c>
      <c r="H692" t="s">
        <v>16</v>
      </c>
      <c r="I692">
        <v>2</v>
      </c>
      <c r="J692">
        <v>50</v>
      </c>
      <c r="K692">
        <v>100</v>
      </c>
      <c r="N692" s="11" t="s">
        <v>387</v>
      </c>
      <c r="O692" s="11" t="s">
        <v>11</v>
      </c>
      <c r="P692" s="11">
        <f>K690/J690</f>
        <v>1</v>
      </c>
      <c r="Q692" s="11">
        <v>75</v>
      </c>
      <c r="R692" s="11">
        <v>75</v>
      </c>
    </row>
    <row r="693" spans="2:18" x14ac:dyDescent="0.35">
      <c r="B693">
        <v>690</v>
      </c>
      <c r="C693" s="1">
        <v>45235</v>
      </c>
      <c r="D693" t="s">
        <v>703</v>
      </c>
      <c r="E693" t="s">
        <v>13</v>
      </c>
      <c r="F693">
        <v>52</v>
      </c>
      <c r="G693" t="str">
        <f>IF(Table14[[#This Row],[Age]]&lt;=25,"Young",IF(Table14[[#This Row],[Age]]&gt;55,"Old",IF(Table14[[#This Row],[Age]]&gt;25,"Middle","Na")))</f>
        <v>Middle</v>
      </c>
      <c r="H693" t="s">
        <v>14</v>
      </c>
      <c r="I693">
        <v>3</v>
      </c>
      <c r="J693">
        <v>300</v>
      </c>
      <c r="K693">
        <v>900</v>
      </c>
      <c r="N693" s="11" t="s">
        <v>482</v>
      </c>
      <c r="O693" s="11" t="s">
        <v>11</v>
      </c>
      <c r="P693" s="11">
        <f>K691/J691</f>
        <v>4</v>
      </c>
      <c r="Q693" s="11">
        <v>75</v>
      </c>
      <c r="R693" s="11">
        <v>75</v>
      </c>
    </row>
    <row r="694" spans="2:18" x14ac:dyDescent="0.35">
      <c r="B694">
        <v>691</v>
      </c>
      <c r="C694" s="1">
        <v>45039</v>
      </c>
      <c r="D694" t="s">
        <v>704</v>
      </c>
      <c r="E694" t="s">
        <v>13</v>
      </c>
      <c r="F694">
        <v>51</v>
      </c>
      <c r="G694" t="str">
        <f>IF(Table14[[#This Row],[Age]]&lt;=25,"Young",IF(Table14[[#This Row],[Age]]&gt;55,"Old",IF(Table14[[#This Row],[Age]]&gt;25,"Middle","Na")))</f>
        <v>Middle</v>
      </c>
      <c r="H694" t="s">
        <v>14</v>
      </c>
      <c r="I694">
        <v>3</v>
      </c>
      <c r="J694">
        <v>30</v>
      </c>
      <c r="K694">
        <v>90</v>
      </c>
      <c r="N694" s="11" t="s">
        <v>666</v>
      </c>
      <c r="O694" s="11" t="s">
        <v>14</v>
      </c>
      <c r="P694" s="11">
        <f>K692/J692</f>
        <v>2</v>
      </c>
      <c r="Q694" s="11">
        <v>75</v>
      </c>
      <c r="R694" s="11">
        <v>75</v>
      </c>
    </row>
    <row r="695" spans="2:18" x14ac:dyDescent="0.35">
      <c r="B695">
        <v>692</v>
      </c>
      <c r="C695" s="1">
        <v>45176</v>
      </c>
      <c r="D695" t="s">
        <v>705</v>
      </c>
      <c r="E695" t="s">
        <v>13</v>
      </c>
      <c r="F695">
        <v>64</v>
      </c>
      <c r="G695" t="str">
        <f>IF(Table14[[#This Row],[Age]]&lt;=25,"Young",IF(Table14[[#This Row],[Age]]&gt;55,"Old",IF(Table14[[#This Row],[Age]]&gt;25,"Middle","Na")))</f>
        <v>Old</v>
      </c>
      <c r="H695" t="s">
        <v>14</v>
      </c>
      <c r="I695">
        <v>2</v>
      </c>
      <c r="J695">
        <v>50</v>
      </c>
      <c r="K695">
        <v>100</v>
      </c>
      <c r="N695" s="11" t="s">
        <v>861</v>
      </c>
      <c r="O695" s="11" t="s">
        <v>14</v>
      </c>
      <c r="P695" s="11">
        <f>K693/J693</f>
        <v>3</v>
      </c>
      <c r="Q695" s="11">
        <v>75</v>
      </c>
      <c r="R695" s="11">
        <v>75</v>
      </c>
    </row>
    <row r="696" spans="2:18" x14ac:dyDescent="0.35">
      <c r="B696">
        <v>693</v>
      </c>
      <c r="C696" s="1">
        <v>45039</v>
      </c>
      <c r="D696" t="s">
        <v>706</v>
      </c>
      <c r="E696" t="s">
        <v>10</v>
      </c>
      <c r="F696">
        <v>41</v>
      </c>
      <c r="G696" t="str">
        <f>IF(Table14[[#This Row],[Age]]&lt;=25,"Young",IF(Table14[[#This Row],[Age]]&gt;55,"Old",IF(Table14[[#This Row],[Age]]&gt;25,"Middle","Na")))</f>
        <v>Middle</v>
      </c>
      <c r="H696" t="s">
        <v>11</v>
      </c>
      <c r="I696">
        <v>3</v>
      </c>
      <c r="J696">
        <v>500</v>
      </c>
      <c r="K696">
        <v>1500</v>
      </c>
      <c r="N696" s="11" t="s">
        <v>933</v>
      </c>
      <c r="O696" s="11" t="s">
        <v>11</v>
      </c>
      <c r="P696" s="11">
        <f>K694/J694</f>
        <v>3</v>
      </c>
      <c r="Q696" s="11">
        <v>75</v>
      </c>
      <c r="R696" s="11">
        <v>75</v>
      </c>
    </row>
    <row r="697" spans="2:18" x14ac:dyDescent="0.35">
      <c r="B697">
        <v>694</v>
      </c>
      <c r="C697" s="1">
        <v>45066</v>
      </c>
      <c r="D697" t="s">
        <v>707</v>
      </c>
      <c r="E697" t="s">
        <v>13</v>
      </c>
      <c r="F697">
        <v>39</v>
      </c>
      <c r="G697" t="str">
        <f>IF(Table14[[#This Row],[Age]]&lt;=25,"Young",IF(Table14[[#This Row],[Age]]&gt;55,"Old",IF(Table14[[#This Row],[Age]]&gt;25,"Middle","Na")))</f>
        <v>Middle</v>
      </c>
      <c r="H697" t="s">
        <v>16</v>
      </c>
      <c r="I697">
        <v>2</v>
      </c>
      <c r="J697">
        <v>25</v>
      </c>
      <c r="K697">
        <v>50</v>
      </c>
      <c r="N697" s="11" t="s">
        <v>1001</v>
      </c>
      <c r="O697" s="11" t="s">
        <v>14</v>
      </c>
      <c r="P697" s="11">
        <f>K695/J695</f>
        <v>2</v>
      </c>
      <c r="Q697" s="11">
        <v>75</v>
      </c>
      <c r="R697" s="11">
        <v>75</v>
      </c>
    </row>
    <row r="698" spans="2:18" x14ac:dyDescent="0.35">
      <c r="B698">
        <v>695</v>
      </c>
      <c r="C698" s="1">
        <v>45150</v>
      </c>
      <c r="D698" t="s">
        <v>708</v>
      </c>
      <c r="E698" t="s">
        <v>13</v>
      </c>
      <c r="F698">
        <v>22</v>
      </c>
      <c r="G698" t="str">
        <f>IF(Table14[[#This Row],[Age]]&lt;=25,"Young",IF(Table14[[#This Row],[Age]]&gt;55,"Old",IF(Table14[[#This Row],[Age]]&gt;25,"Middle","Na")))</f>
        <v>Young</v>
      </c>
      <c r="H698" t="s">
        <v>16</v>
      </c>
      <c r="I698">
        <v>3</v>
      </c>
      <c r="J698">
        <v>50</v>
      </c>
      <c r="K698">
        <v>150</v>
      </c>
      <c r="N698" s="11" t="s">
        <v>227</v>
      </c>
      <c r="O698" s="11" t="s">
        <v>11</v>
      </c>
      <c r="P698" s="11">
        <f>K696/J696</f>
        <v>3</v>
      </c>
      <c r="Q698" s="11">
        <v>60</v>
      </c>
      <c r="R698" s="11">
        <v>60</v>
      </c>
    </row>
    <row r="699" spans="2:18" x14ac:dyDescent="0.35">
      <c r="B699">
        <v>696</v>
      </c>
      <c r="C699" s="1">
        <v>45175</v>
      </c>
      <c r="D699" t="s">
        <v>709</v>
      </c>
      <c r="E699" t="s">
        <v>13</v>
      </c>
      <c r="F699">
        <v>50</v>
      </c>
      <c r="G699" t="str">
        <f>IF(Table14[[#This Row],[Age]]&lt;=25,"Young",IF(Table14[[#This Row],[Age]]&gt;55,"Old",IF(Table14[[#This Row],[Age]]&gt;25,"Middle","Na")))</f>
        <v>Middle</v>
      </c>
      <c r="H699" t="s">
        <v>14</v>
      </c>
      <c r="I699">
        <v>4</v>
      </c>
      <c r="J699">
        <v>50</v>
      </c>
      <c r="K699">
        <v>200</v>
      </c>
      <c r="N699" s="11" t="s">
        <v>302</v>
      </c>
      <c r="O699" s="11" t="s">
        <v>16</v>
      </c>
      <c r="P699" s="11">
        <f>K697/J697</f>
        <v>2</v>
      </c>
      <c r="Q699" s="11">
        <v>60</v>
      </c>
      <c r="R699" s="11">
        <v>60</v>
      </c>
    </row>
    <row r="700" spans="2:18" x14ac:dyDescent="0.35">
      <c r="B700">
        <v>697</v>
      </c>
      <c r="C700" s="1">
        <v>44941</v>
      </c>
      <c r="D700" t="s">
        <v>710</v>
      </c>
      <c r="E700" t="s">
        <v>10</v>
      </c>
      <c r="F700">
        <v>53</v>
      </c>
      <c r="G700" t="str">
        <f>IF(Table14[[#This Row],[Age]]&lt;=25,"Young",IF(Table14[[#This Row],[Age]]&gt;55,"Old",IF(Table14[[#This Row],[Age]]&gt;25,"Middle","Na")))</f>
        <v>Middle</v>
      </c>
      <c r="H700" t="s">
        <v>14</v>
      </c>
      <c r="I700">
        <v>1</v>
      </c>
      <c r="J700">
        <v>500</v>
      </c>
      <c r="K700">
        <v>500</v>
      </c>
      <c r="N700" s="11" t="s">
        <v>317</v>
      </c>
      <c r="O700" s="11" t="s">
        <v>16</v>
      </c>
      <c r="P700" s="11">
        <f>K698/J698</f>
        <v>3</v>
      </c>
      <c r="Q700" s="11">
        <v>60</v>
      </c>
      <c r="R700" s="11">
        <v>60</v>
      </c>
    </row>
    <row r="701" spans="2:18" x14ac:dyDescent="0.35">
      <c r="B701">
        <v>698</v>
      </c>
      <c r="C701" s="1">
        <v>45126</v>
      </c>
      <c r="D701" t="s">
        <v>711</v>
      </c>
      <c r="E701" t="s">
        <v>13</v>
      </c>
      <c r="F701">
        <v>64</v>
      </c>
      <c r="G701" t="str">
        <f>IF(Table14[[#This Row],[Age]]&lt;=25,"Young",IF(Table14[[#This Row],[Age]]&gt;55,"Old",IF(Table14[[#This Row],[Age]]&gt;25,"Middle","Na")))</f>
        <v>Old</v>
      </c>
      <c r="H701" t="s">
        <v>16</v>
      </c>
      <c r="I701">
        <v>1</v>
      </c>
      <c r="J701">
        <v>300</v>
      </c>
      <c r="K701">
        <v>300</v>
      </c>
      <c r="N701" s="11" t="s">
        <v>491</v>
      </c>
      <c r="O701" s="11" t="s">
        <v>14</v>
      </c>
      <c r="P701" s="11">
        <f>K699/J699</f>
        <v>4</v>
      </c>
      <c r="Q701" s="11">
        <v>60</v>
      </c>
      <c r="R701" s="11">
        <v>60</v>
      </c>
    </row>
    <row r="702" spans="2:18" x14ac:dyDescent="0.35">
      <c r="B702">
        <v>699</v>
      </c>
      <c r="C702" s="1">
        <v>45099</v>
      </c>
      <c r="D702" t="s">
        <v>712</v>
      </c>
      <c r="E702" t="s">
        <v>13</v>
      </c>
      <c r="F702">
        <v>37</v>
      </c>
      <c r="G702" t="str">
        <f>IF(Table14[[#This Row],[Age]]&lt;=25,"Young",IF(Table14[[#This Row],[Age]]&gt;55,"Old",IF(Table14[[#This Row],[Age]]&gt;25,"Middle","Na")))</f>
        <v>Middle</v>
      </c>
      <c r="H702" t="s">
        <v>14</v>
      </c>
      <c r="I702">
        <v>4</v>
      </c>
      <c r="J702">
        <v>30</v>
      </c>
      <c r="K702">
        <v>120</v>
      </c>
      <c r="N702" s="11" t="s">
        <v>514</v>
      </c>
      <c r="O702" s="11" t="s">
        <v>16</v>
      </c>
      <c r="P702" s="11">
        <f>K700/J700</f>
        <v>1</v>
      </c>
      <c r="Q702" s="11">
        <v>60</v>
      </c>
      <c r="R702" s="11">
        <v>60</v>
      </c>
    </row>
    <row r="703" spans="2:18" x14ac:dyDescent="0.35">
      <c r="B703">
        <v>700</v>
      </c>
      <c r="C703" s="1">
        <v>45269</v>
      </c>
      <c r="D703" t="s">
        <v>713</v>
      </c>
      <c r="E703" t="s">
        <v>10</v>
      </c>
      <c r="F703">
        <v>36</v>
      </c>
      <c r="G703" t="str">
        <f>IF(Table14[[#This Row],[Age]]&lt;=25,"Young",IF(Table14[[#This Row],[Age]]&gt;55,"Old",IF(Table14[[#This Row],[Age]]&gt;25,"Middle","Na")))</f>
        <v>Middle</v>
      </c>
      <c r="H703" t="s">
        <v>16</v>
      </c>
      <c r="I703">
        <v>4</v>
      </c>
      <c r="J703">
        <v>500</v>
      </c>
      <c r="K703">
        <v>2000</v>
      </c>
      <c r="N703" s="11" t="s">
        <v>541</v>
      </c>
      <c r="O703" s="11" t="s">
        <v>14</v>
      </c>
      <c r="P703" s="11">
        <f>K701/J701</f>
        <v>1</v>
      </c>
      <c r="Q703" s="11">
        <v>60</v>
      </c>
      <c r="R703" s="11">
        <v>60</v>
      </c>
    </row>
    <row r="704" spans="2:18" x14ac:dyDescent="0.35">
      <c r="B704">
        <v>701</v>
      </c>
      <c r="C704" s="1">
        <v>45274</v>
      </c>
      <c r="D704" t="s">
        <v>714</v>
      </c>
      <c r="E704" t="s">
        <v>13</v>
      </c>
      <c r="F704">
        <v>52</v>
      </c>
      <c r="G704" t="str">
        <f>IF(Table14[[#This Row],[Age]]&lt;=25,"Young",IF(Table14[[#This Row],[Age]]&gt;55,"Old",IF(Table14[[#This Row],[Age]]&gt;25,"Middle","Na")))</f>
        <v>Middle</v>
      </c>
      <c r="H704" t="s">
        <v>11</v>
      </c>
      <c r="I704">
        <v>2</v>
      </c>
      <c r="J704">
        <v>30</v>
      </c>
      <c r="K704">
        <v>60</v>
      </c>
      <c r="N704" s="11" t="s">
        <v>688</v>
      </c>
      <c r="O704" s="11" t="s">
        <v>14</v>
      </c>
      <c r="P704" s="11">
        <f>K702/J702</f>
        <v>4</v>
      </c>
      <c r="Q704" s="11">
        <v>60</v>
      </c>
      <c r="R704" s="11">
        <v>60</v>
      </c>
    </row>
    <row r="705" spans="2:18" x14ac:dyDescent="0.35">
      <c r="B705">
        <v>702</v>
      </c>
      <c r="C705" s="1">
        <v>45134</v>
      </c>
      <c r="D705" t="s">
        <v>715</v>
      </c>
      <c r="E705" t="s">
        <v>13</v>
      </c>
      <c r="F705">
        <v>60</v>
      </c>
      <c r="G705" t="str">
        <f>IF(Table14[[#This Row],[Age]]&lt;=25,"Young",IF(Table14[[#This Row],[Age]]&gt;55,"Old",IF(Table14[[#This Row],[Age]]&gt;25,"Middle","Na")))</f>
        <v>Old</v>
      </c>
      <c r="H705" t="s">
        <v>14</v>
      </c>
      <c r="I705">
        <v>2</v>
      </c>
      <c r="J705">
        <v>300</v>
      </c>
      <c r="K705">
        <v>600</v>
      </c>
      <c r="N705" s="11" t="s">
        <v>732</v>
      </c>
      <c r="O705" s="11" t="s">
        <v>14</v>
      </c>
      <c r="P705" s="11">
        <f>K703/J703</f>
        <v>4</v>
      </c>
      <c r="Q705" s="11">
        <v>60</v>
      </c>
      <c r="R705" s="11">
        <v>60</v>
      </c>
    </row>
    <row r="706" spans="2:18" x14ac:dyDescent="0.35">
      <c r="B706">
        <v>703</v>
      </c>
      <c r="C706" s="1">
        <v>45011</v>
      </c>
      <c r="D706" t="s">
        <v>716</v>
      </c>
      <c r="E706" t="s">
        <v>10</v>
      </c>
      <c r="F706">
        <v>34</v>
      </c>
      <c r="G706" t="str">
        <f>IF(Table14[[#This Row],[Age]]&lt;=25,"Young",IF(Table14[[#This Row],[Age]]&gt;55,"Old",IF(Table14[[#This Row],[Age]]&gt;25,"Middle","Na")))</f>
        <v>Middle</v>
      </c>
      <c r="H706" t="s">
        <v>16</v>
      </c>
      <c r="I706">
        <v>2</v>
      </c>
      <c r="J706">
        <v>50</v>
      </c>
      <c r="K706">
        <v>100</v>
      </c>
      <c r="N706" s="11" t="s">
        <v>972</v>
      </c>
      <c r="O706" s="11" t="s">
        <v>16</v>
      </c>
      <c r="P706" s="11">
        <f>K704/J704</f>
        <v>2</v>
      </c>
      <c r="Q706" s="11">
        <v>60</v>
      </c>
      <c r="R706" s="11">
        <v>60</v>
      </c>
    </row>
    <row r="707" spans="2:18" x14ac:dyDescent="0.35">
      <c r="B707">
        <v>704</v>
      </c>
      <c r="C707" s="1">
        <v>45166</v>
      </c>
      <c r="D707" t="s">
        <v>717</v>
      </c>
      <c r="E707" t="s">
        <v>13</v>
      </c>
      <c r="F707">
        <v>62</v>
      </c>
      <c r="G707" t="str">
        <f>IF(Table14[[#This Row],[Age]]&lt;=25,"Young",IF(Table14[[#This Row],[Age]]&gt;55,"Old",IF(Table14[[#This Row],[Age]]&gt;25,"Middle","Na")))</f>
        <v>Old</v>
      </c>
      <c r="H707" t="s">
        <v>14</v>
      </c>
      <c r="I707">
        <v>3</v>
      </c>
      <c r="J707">
        <v>30</v>
      </c>
      <c r="K707">
        <v>90</v>
      </c>
      <c r="N707" s="11" t="s">
        <v>973</v>
      </c>
      <c r="O707" s="11" t="s">
        <v>14</v>
      </c>
      <c r="P707" s="11">
        <f>K705/J705</f>
        <v>2</v>
      </c>
      <c r="Q707" s="11">
        <v>60</v>
      </c>
      <c r="R707" s="11">
        <v>60</v>
      </c>
    </row>
    <row r="708" spans="2:18" x14ac:dyDescent="0.35">
      <c r="B708">
        <v>705</v>
      </c>
      <c r="C708" s="1">
        <v>44992</v>
      </c>
      <c r="D708" t="s">
        <v>718</v>
      </c>
      <c r="E708" t="s">
        <v>10</v>
      </c>
      <c r="F708">
        <v>60</v>
      </c>
      <c r="G708" t="str">
        <f>IF(Table14[[#This Row],[Age]]&lt;=25,"Young",IF(Table14[[#This Row],[Age]]&gt;55,"Old",IF(Table14[[#This Row],[Age]]&gt;25,"Middle","Na")))</f>
        <v>Old</v>
      </c>
      <c r="H708" t="s">
        <v>16</v>
      </c>
      <c r="I708">
        <v>2</v>
      </c>
      <c r="J708">
        <v>25</v>
      </c>
      <c r="K708">
        <v>50</v>
      </c>
      <c r="N708" s="11" t="s">
        <v>274</v>
      </c>
      <c r="O708" s="11" t="s">
        <v>14</v>
      </c>
      <c r="P708" s="11">
        <f>K706/J706</f>
        <v>2</v>
      </c>
      <c r="Q708" s="11">
        <v>50</v>
      </c>
      <c r="R708" s="11">
        <v>50</v>
      </c>
    </row>
    <row r="709" spans="2:18" x14ac:dyDescent="0.35">
      <c r="B709">
        <v>706</v>
      </c>
      <c r="C709" s="1">
        <v>45245</v>
      </c>
      <c r="D709" t="s">
        <v>719</v>
      </c>
      <c r="E709" t="s">
        <v>10</v>
      </c>
      <c r="F709">
        <v>51</v>
      </c>
      <c r="G709" t="str">
        <f>IF(Table14[[#This Row],[Age]]&lt;=25,"Young",IF(Table14[[#This Row],[Age]]&gt;55,"Old",IF(Table14[[#This Row],[Age]]&gt;25,"Middle","Na")))</f>
        <v>Middle</v>
      </c>
      <c r="H709" t="s">
        <v>16</v>
      </c>
      <c r="I709">
        <v>4</v>
      </c>
      <c r="J709">
        <v>25</v>
      </c>
      <c r="K709">
        <v>100</v>
      </c>
      <c r="N709" s="11" t="s">
        <v>442</v>
      </c>
      <c r="O709" s="11" t="s">
        <v>16</v>
      </c>
      <c r="P709" s="11">
        <f>K707/J707</f>
        <v>3</v>
      </c>
      <c r="Q709" s="11">
        <v>50</v>
      </c>
      <c r="R709" s="11">
        <v>50</v>
      </c>
    </row>
    <row r="710" spans="2:18" x14ac:dyDescent="0.35">
      <c r="B710">
        <v>707</v>
      </c>
      <c r="C710" s="1">
        <v>45200</v>
      </c>
      <c r="D710" t="s">
        <v>720</v>
      </c>
      <c r="E710" t="s">
        <v>13</v>
      </c>
      <c r="F710">
        <v>26</v>
      </c>
      <c r="G710" t="str">
        <f>IF(Table14[[#This Row],[Age]]&lt;=25,"Young",IF(Table14[[#This Row],[Age]]&gt;55,"Old",IF(Table14[[#This Row],[Age]]&gt;25,"Middle","Na")))</f>
        <v>Middle</v>
      </c>
      <c r="H710" t="s">
        <v>14</v>
      </c>
      <c r="I710">
        <v>1</v>
      </c>
      <c r="J710">
        <v>500</v>
      </c>
      <c r="K710">
        <v>500</v>
      </c>
      <c r="N710" s="11" t="s">
        <v>463</v>
      </c>
      <c r="O710" s="11" t="s">
        <v>11</v>
      </c>
      <c r="P710" s="11">
        <f>K708/J708</f>
        <v>2</v>
      </c>
      <c r="Q710" s="11">
        <v>50</v>
      </c>
      <c r="R710" s="11">
        <v>50</v>
      </c>
    </row>
    <row r="711" spans="2:18" x14ac:dyDescent="0.35">
      <c r="B711">
        <v>708</v>
      </c>
      <c r="C711" s="1">
        <v>44940</v>
      </c>
      <c r="D711" t="s">
        <v>721</v>
      </c>
      <c r="E711" t="s">
        <v>13</v>
      </c>
      <c r="F711">
        <v>43</v>
      </c>
      <c r="G711" t="str">
        <f>IF(Table14[[#This Row],[Age]]&lt;=25,"Young",IF(Table14[[#This Row],[Age]]&gt;55,"Old",IF(Table14[[#This Row],[Age]]&gt;25,"Middle","Na")))</f>
        <v>Middle</v>
      </c>
      <c r="H711" t="s">
        <v>11</v>
      </c>
      <c r="I711">
        <v>3</v>
      </c>
      <c r="J711">
        <v>300</v>
      </c>
      <c r="K711">
        <v>900</v>
      </c>
      <c r="N711" s="11" t="s">
        <v>575</v>
      </c>
      <c r="O711" s="11" t="s">
        <v>16</v>
      </c>
      <c r="P711" s="11">
        <f>K709/J709</f>
        <v>4</v>
      </c>
      <c r="Q711" s="11">
        <v>50</v>
      </c>
      <c r="R711" s="11">
        <v>50</v>
      </c>
    </row>
    <row r="712" spans="2:18" x14ac:dyDescent="0.35">
      <c r="B712">
        <v>709</v>
      </c>
      <c r="C712" s="1">
        <v>45128</v>
      </c>
      <c r="D712" t="s">
        <v>722</v>
      </c>
      <c r="E712" t="s">
        <v>13</v>
      </c>
      <c r="F712">
        <v>19</v>
      </c>
      <c r="G712" t="str">
        <f>IF(Table14[[#This Row],[Age]]&lt;=25,"Young",IF(Table14[[#This Row],[Age]]&gt;55,"Old",IF(Table14[[#This Row],[Age]]&gt;25,"Middle","Na")))</f>
        <v>Young</v>
      </c>
      <c r="H712" t="s">
        <v>16</v>
      </c>
      <c r="I712">
        <v>2</v>
      </c>
      <c r="J712">
        <v>500</v>
      </c>
      <c r="K712">
        <v>1000</v>
      </c>
      <c r="N712" s="11" t="s">
        <v>698</v>
      </c>
      <c r="O712" s="11" t="s">
        <v>16</v>
      </c>
      <c r="P712" s="11">
        <f>K710/J710</f>
        <v>1</v>
      </c>
      <c r="Q712" s="11">
        <v>50</v>
      </c>
      <c r="R712" s="11">
        <v>50</v>
      </c>
    </row>
    <row r="713" spans="2:18" x14ac:dyDescent="0.35">
      <c r="B713">
        <v>710</v>
      </c>
      <c r="C713" s="1">
        <v>45230</v>
      </c>
      <c r="D713" t="s">
        <v>723</v>
      </c>
      <c r="E713" t="s">
        <v>13</v>
      </c>
      <c r="F713">
        <v>26</v>
      </c>
      <c r="G713" t="str">
        <f>IF(Table14[[#This Row],[Age]]&lt;=25,"Young",IF(Table14[[#This Row],[Age]]&gt;55,"Old",IF(Table14[[#This Row],[Age]]&gt;25,"Middle","Na")))</f>
        <v>Middle</v>
      </c>
      <c r="H713" t="s">
        <v>16</v>
      </c>
      <c r="I713">
        <v>3</v>
      </c>
      <c r="J713">
        <v>500</v>
      </c>
      <c r="K713">
        <v>1500</v>
      </c>
      <c r="N713" s="11" t="s">
        <v>743</v>
      </c>
      <c r="O713" s="11" t="s">
        <v>14</v>
      </c>
      <c r="P713" s="11">
        <f>K711/J711</f>
        <v>3</v>
      </c>
      <c r="Q713" s="11">
        <v>50</v>
      </c>
      <c r="R713" s="11">
        <v>50</v>
      </c>
    </row>
    <row r="714" spans="2:18" x14ac:dyDescent="0.35">
      <c r="B714">
        <v>711</v>
      </c>
      <c r="C714" s="1">
        <v>45215</v>
      </c>
      <c r="D714" t="s">
        <v>724</v>
      </c>
      <c r="E714" t="s">
        <v>10</v>
      </c>
      <c r="F714">
        <v>26</v>
      </c>
      <c r="G714" t="str">
        <f>IF(Table14[[#This Row],[Age]]&lt;=25,"Young",IF(Table14[[#This Row],[Age]]&gt;55,"Old",IF(Table14[[#This Row],[Age]]&gt;25,"Middle","Na")))</f>
        <v>Middle</v>
      </c>
      <c r="H714" t="s">
        <v>16</v>
      </c>
      <c r="I714">
        <v>3</v>
      </c>
      <c r="J714">
        <v>500</v>
      </c>
      <c r="K714">
        <v>1500</v>
      </c>
      <c r="N714" s="11" t="s">
        <v>870</v>
      </c>
      <c r="O714" s="11" t="s">
        <v>16</v>
      </c>
      <c r="P714" s="11">
        <f>K712/J712</f>
        <v>2</v>
      </c>
      <c r="Q714" s="11">
        <v>50</v>
      </c>
      <c r="R714" s="11">
        <v>50</v>
      </c>
    </row>
    <row r="715" spans="2:18" x14ac:dyDescent="0.35">
      <c r="B715">
        <v>712</v>
      </c>
      <c r="C715" s="1">
        <v>45266</v>
      </c>
      <c r="D715" t="s">
        <v>725</v>
      </c>
      <c r="E715" t="s">
        <v>13</v>
      </c>
      <c r="F715">
        <v>57</v>
      </c>
      <c r="G715" t="str">
        <f>IF(Table14[[#This Row],[Age]]&lt;=25,"Young",IF(Table14[[#This Row],[Age]]&gt;55,"Old",IF(Table14[[#This Row],[Age]]&gt;25,"Middle","Na")))</f>
        <v>Old</v>
      </c>
      <c r="H715" t="s">
        <v>11</v>
      </c>
      <c r="I715">
        <v>2</v>
      </c>
      <c r="J715">
        <v>25</v>
      </c>
      <c r="K715">
        <v>50</v>
      </c>
      <c r="N715" s="11" t="s">
        <v>909</v>
      </c>
      <c r="O715" s="11" t="s">
        <v>16</v>
      </c>
      <c r="P715" s="11">
        <f>K713/J713</f>
        <v>3</v>
      </c>
      <c r="Q715" s="11">
        <v>50</v>
      </c>
      <c r="R715" s="11">
        <v>50</v>
      </c>
    </row>
    <row r="716" spans="2:18" x14ac:dyDescent="0.35">
      <c r="B716">
        <v>713</v>
      </c>
      <c r="C716" s="1">
        <v>44940</v>
      </c>
      <c r="D716" t="s">
        <v>726</v>
      </c>
      <c r="E716" t="s">
        <v>10</v>
      </c>
      <c r="F716">
        <v>34</v>
      </c>
      <c r="G716" t="str">
        <f>IF(Table14[[#This Row],[Age]]&lt;=25,"Young",IF(Table14[[#This Row],[Age]]&gt;55,"Old",IF(Table14[[#This Row],[Age]]&gt;25,"Middle","Na")))</f>
        <v>Middle</v>
      </c>
      <c r="H716" t="s">
        <v>11</v>
      </c>
      <c r="I716">
        <v>3</v>
      </c>
      <c r="J716">
        <v>25</v>
      </c>
      <c r="K716">
        <v>75</v>
      </c>
      <c r="N716" s="11" t="s">
        <v>954</v>
      </c>
      <c r="O716" s="11" t="s">
        <v>14</v>
      </c>
      <c r="P716" s="11">
        <f>K714/J714</f>
        <v>3</v>
      </c>
      <c r="Q716" s="11">
        <v>50</v>
      </c>
      <c r="R716" s="11">
        <v>50</v>
      </c>
    </row>
    <row r="717" spans="2:18" x14ac:dyDescent="0.35">
      <c r="B717">
        <v>714</v>
      </c>
      <c r="C717" s="1">
        <v>44969</v>
      </c>
      <c r="D717" t="s">
        <v>727</v>
      </c>
      <c r="E717" t="s">
        <v>13</v>
      </c>
      <c r="F717">
        <v>18</v>
      </c>
      <c r="G717" t="str">
        <f>IF(Table14[[#This Row],[Age]]&lt;=25,"Young",IF(Table14[[#This Row],[Age]]&gt;55,"Old",IF(Table14[[#This Row],[Age]]&gt;25,"Middle","Na")))</f>
        <v>Young</v>
      </c>
      <c r="H717" t="s">
        <v>14</v>
      </c>
      <c r="I717">
        <v>1</v>
      </c>
      <c r="J717">
        <v>500</v>
      </c>
      <c r="K717">
        <v>500</v>
      </c>
      <c r="N717" s="11" t="s">
        <v>962</v>
      </c>
      <c r="O717" s="11" t="s">
        <v>16</v>
      </c>
      <c r="P717" s="11">
        <f>K715/J715</f>
        <v>2</v>
      </c>
      <c r="Q717" s="11">
        <v>50</v>
      </c>
      <c r="R717" s="11">
        <v>50</v>
      </c>
    </row>
    <row r="718" spans="2:18" x14ac:dyDescent="0.35">
      <c r="B718">
        <v>715</v>
      </c>
      <c r="C718" s="1">
        <v>45256</v>
      </c>
      <c r="D718" t="s">
        <v>728</v>
      </c>
      <c r="E718" t="s">
        <v>13</v>
      </c>
      <c r="F718">
        <v>42</v>
      </c>
      <c r="G718" t="str">
        <f>IF(Table14[[#This Row],[Age]]&lt;=25,"Young",IF(Table14[[#This Row],[Age]]&gt;55,"Old",IF(Table14[[#This Row],[Age]]&gt;25,"Middle","Na")))</f>
        <v>Middle</v>
      </c>
      <c r="H718" t="s">
        <v>11</v>
      </c>
      <c r="I718">
        <v>4</v>
      </c>
      <c r="J718">
        <v>25</v>
      </c>
      <c r="K718">
        <v>100</v>
      </c>
      <c r="N718" s="11" t="s">
        <v>119</v>
      </c>
      <c r="O718" s="11" t="s">
        <v>14</v>
      </c>
      <c r="P718" s="11">
        <f>K716/J716</f>
        <v>3</v>
      </c>
      <c r="Q718" s="11">
        <v>50</v>
      </c>
      <c r="R718" s="11">
        <v>50</v>
      </c>
    </row>
    <row r="719" spans="2:18" x14ac:dyDescent="0.35">
      <c r="B719">
        <v>716</v>
      </c>
      <c r="C719" s="1">
        <v>45146</v>
      </c>
      <c r="D719" t="s">
        <v>729</v>
      </c>
      <c r="E719" t="s">
        <v>13</v>
      </c>
      <c r="F719">
        <v>60</v>
      </c>
      <c r="G719" t="str">
        <f>IF(Table14[[#This Row],[Age]]&lt;=25,"Young",IF(Table14[[#This Row],[Age]]&gt;55,"Old",IF(Table14[[#This Row],[Age]]&gt;25,"Middle","Na")))</f>
        <v>Old</v>
      </c>
      <c r="H719" t="s">
        <v>14</v>
      </c>
      <c r="I719">
        <v>4</v>
      </c>
      <c r="J719">
        <v>300</v>
      </c>
      <c r="K719">
        <v>1200</v>
      </c>
      <c r="N719" s="11" t="s">
        <v>133</v>
      </c>
      <c r="O719" s="11" t="s">
        <v>11</v>
      </c>
      <c r="P719" s="11">
        <f>K717/J717</f>
        <v>1</v>
      </c>
      <c r="Q719" s="11">
        <v>50</v>
      </c>
      <c r="R719" s="11">
        <v>50</v>
      </c>
    </row>
    <row r="720" spans="2:18" x14ac:dyDescent="0.35">
      <c r="B720">
        <v>717</v>
      </c>
      <c r="C720" s="1">
        <v>44996</v>
      </c>
      <c r="D720" t="s">
        <v>730</v>
      </c>
      <c r="E720" t="s">
        <v>10</v>
      </c>
      <c r="F720">
        <v>57</v>
      </c>
      <c r="G720" t="str">
        <f>IF(Table14[[#This Row],[Age]]&lt;=25,"Young",IF(Table14[[#This Row],[Age]]&gt;55,"Old",IF(Table14[[#This Row],[Age]]&gt;25,"Middle","Na")))</f>
        <v>Old</v>
      </c>
      <c r="H720" t="s">
        <v>14</v>
      </c>
      <c r="I720">
        <v>1</v>
      </c>
      <c r="J720">
        <v>500</v>
      </c>
      <c r="K720">
        <v>500</v>
      </c>
      <c r="N720" s="11" t="s">
        <v>147</v>
      </c>
      <c r="O720" s="11" t="s">
        <v>16</v>
      </c>
      <c r="P720" s="11">
        <f>K718/J718</f>
        <v>4</v>
      </c>
      <c r="Q720" s="11">
        <v>50</v>
      </c>
      <c r="R720" s="11">
        <v>50</v>
      </c>
    </row>
    <row r="721" spans="2:18" x14ac:dyDescent="0.35">
      <c r="B721">
        <v>718</v>
      </c>
      <c r="C721" s="1">
        <v>45163</v>
      </c>
      <c r="D721" t="s">
        <v>731</v>
      </c>
      <c r="E721" t="s">
        <v>13</v>
      </c>
      <c r="F721">
        <v>59</v>
      </c>
      <c r="G721" t="str">
        <f>IF(Table14[[#This Row],[Age]]&lt;=25,"Young",IF(Table14[[#This Row],[Age]]&gt;55,"Old",IF(Table14[[#This Row],[Age]]&gt;25,"Middle","Na")))</f>
        <v>Old</v>
      </c>
      <c r="H721" t="s">
        <v>11</v>
      </c>
      <c r="I721">
        <v>3</v>
      </c>
      <c r="J721">
        <v>25</v>
      </c>
      <c r="K721">
        <v>75</v>
      </c>
      <c r="N721" s="11" t="s">
        <v>156</v>
      </c>
      <c r="O721" s="11" t="s">
        <v>14</v>
      </c>
      <c r="P721" s="11">
        <f>K719/J719</f>
        <v>4</v>
      </c>
      <c r="Q721" s="11">
        <v>50</v>
      </c>
      <c r="R721" s="11">
        <v>50</v>
      </c>
    </row>
    <row r="722" spans="2:18" x14ac:dyDescent="0.35">
      <c r="B722">
        <v>719</v>
      </c>
      <c r="C722" s="1">
        <v>45020</v>
      </c>
      <c r="D722" t="s">
        <v>732</v>
      </c>
      <c r="E722" t="s">
        <v>13</v>
      </c>
      <c r="F722">
        <v>42</v>
      </c>
      <c r="G722" t="str">
        <f>IF(Table14[[#This Row],[Age]]&lt;=25,"Young",IF(Table14[[#This Row],[Age]]&gt;55,"Old",IF(Table14[[#This Row],[Age]]&gt;25,"Middle","Na")))</f>
        <v>Middle</v>
      </c>
      <c r="H722" t="s">
        <v>14</v>
      </c>
      <c r="I722">
        <v>2</v>
      </c>
      <c r="J722">
        <v>30</v>
      </c>
      <c r="K722">
        <v>60</v>
      </c>
      <c r="N722" s="11" t="s">
        <v>239</v>
      </c>
      <c r="O722" s="11" t="s">
        <v>14</v>
      </c>
      <c r="P722" s="11">
        <f>K720/J720</f>
        <v>1</v>
      </c>
      <c r="Q722" s="11">
        <v>50</v>
      </c>
      <c r="R722" s="11">
        <v>50</v>
      </c>
    </row>
    <row r="723" spans="2:18" x14ac:dyDescent="0.35">
      <c r="B723">
        <v>720</v>
      </c>
      <c r="C723" s="1">
        <v>44952</v>
      </c>
      <c r="D723" t="s">
        <v>733</v>
      </c>
      <c r="E723" t="s">
        <v>13</v>
      </c>
      <c r="F723">
        <v>56</v>
      </c>
      <c r="G723" t="str">
        <f>IF(Table14[[#This Row],[Age]]&lt;=25,"Young",IF(Table14[[#This Row],[Age]]&gt;55,"Old",IF(Table14[[#This Row],[Age]]&gt;25,"Middle","Na")))</f>
        <v>Old</v>
      </c>
      <c r="H723" t="s">
        <v>11</v>
      </c>
      <c r="I723">
        <v>3</v>
      </c>
      <c r="J723">
        <v>500</v>
      </c>
      <c r="K723">
        <v>1500</v>
      </c>
      <c r="N723" s="11" t="s">
        <v>262</v>
      </c>
      <c r="O723" s="11" t="s">
        <v>14</v>
      </c>
      <c r="P723" s="11">
        <f>K721/J721</f>
        <v>3</v>
      </c>
      <c r="Q723" s="11">
        <v>50</v>
      </c>
      <c r="R723" s="11">
        <v>50</v>
      </c>
    </row>
    <row r="724" spans="2:18" x14ac:dyDescent="0.35">
      <c r="B724">
        <v>721</v>
      </c>
      <c r="C724" s="1">
        <v>45060</v>
      </c>
      <c r="D724" t="s">
        <v>734</v>
      </c>
      <c r="E724" t="s">
        <v>13</v>
      </c>
      <c r="F724">
        <v>52</v>
      </c>
      <c r="G724" t="str">
        <f>IF(Table14[[#This Row],[Age]]&lt;=25,"Young",IF(Table14[[#This Row],[Age]]&gt;55,"Old",IF(Table14[[#This Row],[Age]]&gt;25,"Middle","Na")))</f>
        <v>Middle</v>
      </c>
      <c r="H724" t="s">
        <v>14</v>
      </c>
      <c r="I724">
        <v>1</v>
      </c>
      <c r="J724">
        <v>500</v>
      </c>
      <c r="K724">
        <v>500</v>
      </c>
      <c r="N724" s="11" t="s">
        <v>362</v>
      </c>
      <c r="O724" s="11" t="s">
        <v>11</v>
      </c>
      <c r="P724" s="11">
        <f>K722/J722</f>
        <v>2</v>
      </c>
      <c r="Q724" s="11">
        <v>50</v>
      </c>
      <c r="R724" s="11">
        <v>50</v>
      </c>
    </row>
    <row r="725" spans="2:18" x14ac:dyDescent="0.35">
      <c r="B725">
        <v>722</v>
      </c>
      <c r="C725" s="1">
        <v>45121</v>
      </c>
      <c r="D725" t="s">
        <v>735</v>
      </c>
      <c r="E725" t="s">
        <v>10</v>
      </c>
      <c r="F725">
        <v>20</v>
      </c>
      <c r="G725" t="str">
        <f>IF(Table14[[#This Row],[Age]]&lt;=25,"Young",IF(Table14[[#This Row],[Age]]&gt;55,"Old",IF(Table14[[#This Row],[Age]]&gt;25,"Middle","Na")))</f>
        <v>Young</v>
      </c>
      <c r="H725" t="s">
        <v>11</v>
      </c>
      <c r="I725">
        <v>3</v>
      </c>
      <c r="J725">
        <v>300</v>
      </c>
      <c r="K725">
        <v>900</v>
      </c>
      <c r="N725" s="11" t="s">
        <v>555</v>
      </c>
      <c r="O725" s="11" t="s">
        <v>11</v>
      </c>
      <c r="P725" s="11">
        <f>K723/J723</f>
        <v>3</v>
      </c>
      <c r="Q725" s="11">
        <v>50</v>
      </c>
      <c r="R725" s="11">
        <v>50</v>
      </c>
    </row>
    <row r="726" spans="2:18" x14ac:dyDescent="0.35">
      <c r="B726">
        <v>723</v>
      </c>
      <c r="C726" s="1">
        <v>45094</v>
      </c>
      <c r="D726" t="s">
        <v>736</v>
      </c>
      <c r="E726" t="s">
        <v>13</v>
      </c>
      <c r="F726">
        <v>54</v>
      </c>
      <c r="G726" t="str">
        <f>IF(Table14[[#This Row],[Age]]&lt;=25,"Young",IF(Table14[[#This Row],[Age]]&gt;55,"Old",IF(Table14[[#This Row],[Age]]&gt;25,"Middle","Na")))</f>
        <v>Middle</v>
      </c>
      <c r="H726" t="s">
        <v>11</v>
      </c>
      <c r="I726">
        <v>4</v>
      </c>
      <c r="J726">
        <v>50</v>
      </c>
      <c r="K726">
        <v>200</v>
      </c>
      <c r="N726" s="11" t="s">
        <v>750</v>
      </c>
      <c r="O726" s="11" t="s">
        <v>14</v>
      </c>
      <c r="P726" s="11">
        <f>K724/J724</f>
        <v>1</v>
      </c>
      <c r="Q726" s="11">
        <v>50</v>
      </c>
      <c r="R726" s="11">
        <v>50</v>
      </c>
    </row>
    <row r="727" spans="2:18" x14ac:dyDescent="0.35">
      <c r="B727">
        <v>724</v>
      </c>
      <c r="C727" s="1">
        <v>45035</v>
      </c>
      <c r="D727" t="s">
        <v>737</v>
      </c>
      <c r="E727" t="s">
        <v>10</v>
      </c>
      <c r="F727">
        <v>61</v>
      </c>
      <c r="G727" t="str">
        <f>IF(Table14[[#This Row],[Age]]&lt;=25,"Young",IF(Table14[[#This Row],[Age]]&gt;55,"Old",IF(Table14[[#This Row],[Age]]&gt;25,"Middle","Na")))</f>
        <v>Old</v>
      </c>
      <c r="H727" t="s">
        <v>14</v>
      </c>
      <c r="I727">
        <v>3</v>
      </c>
      <c r="J727">
        <v>50</v>
      </c>
      <c r="K727">
        <v>150</v>
      </c>
      <c r="N727" s="11" t="s">
        <v>805</v>
      </c>
      <c r="O727" s="11" t="s">
        <v>11</v>
      </c>
      <c r="P727" s="11">
        <f>K725/J725</f>
        <v>3</v>
      </c>
      <c r="Q727" s="11">
        <v>50</v>
      </c>
      <c r="R727" s="11">
        <v>50</v>
      </c>
    </row>
    <row r="728" spans="2:18" x14ac:dyDescent="0.35">
      <c r="B728">
        <v>725</v>
      </c>
      <c r="C728" s="1">
        <v>45159</v>
      </c>
      <c r="D728" t="s">
        <v>738</v>
      </c>
      <c r="E728" t="s">
        <v>10</v>
      </c>
      <c r="F728">
        <v>61</v>
      </c>
      <c r="G728" t="str">
        <f>IF(Table14[[#This Row],[Age]]&lt;=25,"Young",IF(Table14[[#This Row],[Age]]&gt;55,"Old",IF(Table14[[#This Row],[Age]]&gt;25,"Middle","Na")))</f>
        <v>Old</v>
      </c>
      <c r="H728" t="s">
        <v>16</v>
      </c>
      <c r="I728">
        <v>1</v>
      </c>
      <c r="J728">
        <v>300</v>
      </c>
      <c r="K728">
        <v>300</v>
      </c>
      <c r="N728" s="11" t="s">
        <v>849</v>
      </c>
      <c r="O728" s="11" t="s">
        <v>14</v>
      </c>
      <c r="P728" s="11">
        <f>K726/J726</f>
        <v>4</v>
      </c>
      <c r="Q728" s="11">
        <v>50</v>
      </c>
      <c r="R728" s="11">
        <v>50</v>
      </c>
    </row>
    <row r="729" spans="2:18" x14ac:dyDescent="0.35">
      <c r="B729">
        <v>726</v>
      </c>
      <c r="C729" s="1">
        <v>45094</v>
      </c>
      <c r="D729" t="s">
        <v>739</v>
      </c>
      <c r="E729" t="s">
        <v>10</v>
      </c>
      <c r="F729">
        <v>47</v>
      </c>
      <c r="G729" t="str">
        <f>IF(Table14[[#This Row],[Age]]&lt;=25,"Young",IF(Table14[[#This Row],[Age]]&gt;55,"Old",IF(Table14[[#This Row],[Age]]&gt;25,"Middle","Na")))</f>
        <v>Middle</v>
      </c>
      <c r="H729" t="s">
        <v>14</v>
      </c>
      <c r="I729">
        <v>4</v>
      </c>
      <c r="J729">
        <v>300</v>
      </c>
      <c r="K729">
        <v>1200</v>
      </c>
      <c r="N729" s="11" t="s">
        <v>906</v>
      </c>
      <c r="O729" s="11" t="s">
        <v>16</v>
      </c>
      <c r="P729" s="11">
        <f>K727/J727</f>
        <v>3</v>
      </c>
      <c r="Q729" s="11">
        <v>50</v>
      </c>
      <c r="R729" s="11">
        <v>50</v>
      </c>
    </row>
    <row r="730" spans="2:18" x14ac:dyDescent="0.35">
      <c r="B730">
        <v>727</v>
      </c>
      <c r="C730" s="1">
        <v>45099</v>
      </c>
      <c r="D730" t="s">
        <v>740</v>
      </c>
      <c r="E730" t="s">
        <v>10</v>
      </c>
      <c r="F730">
        <v>55</v>
      </c>
      <c r="G730" t="str">
        <f>IF(Table14[[#This Row],[Age]]&lt;=25,"Young",IF(Table14[[#This Row],[Age]]&gt;55,"Old",IF(Table14[[#This Row],[Age]]&gt;25,"Middle","Na")))</f>
        <v>Middle</v>
      </c>
      <c r="H730" t="s">
        <v>11</v>
      </c>
      <c r="I730">
        <v>3</v>
      </c>
      <c r="J730">
        <v>300</v>
      </c>
      <c r="K730">
        <v>900</v>
      </c>
      <c r="N730" s="11" t="s">
        <v>976</v>
      </c>
      <c r="O730" s="11" t="s">
        <v>11</v>
      </c>
      <c r="P730" s="11">
        <f>K728/J728</f>
        <v>1</v>
      </c>
      <c r="Q730" s="11">
        <v>50</v>
      </c>
      <c r="R730" s="11">
        <v>50</v>
      </c>
    </row>
    <row r="731" spans="2:18" x14ac:dyDescent="0.35">
      <c r="B731">
        <v>728</v>
      </c>
      <c r="C731" s="1">
        <v>45121</v>
      </c>
      <c r="D731" t="s">
        <v>741</v>
      </c>
      <c r="E731" t="s">
        <v>10</v>
      </c>
      <c r="F731">
        <v>51</v>
      </c>
      <c r="G731" t="str">
        <f>IF(Table14[[#This Row],[Age]]&lt;=25,"Young",IF(Table14[[#This Row],[Age]]&gt;55,"Old",IF(Table14[[#This Row],[Age]]&gt;25,"Middle","Na")))</f>
        <v>Middle</v>
      </c>
      <c r="H731" t="s">
        <v>16</v>
      </c>
      <c r="I731">
        <v>3</v>
      </c>
      <c r="J731">
        <v>50</v>
      </c>
      <c r="K731">
        <v>150</v>
      </c>
      <c r="N731" s="11" t="s">
        <v>986</v>
      </c>
      <c r="O731" s="11" t="s">
        <v>14</v>
      </c>
      <c r="P731" s="11">
        <f>K729/J729</f>
        <v>4</v>
      </c>
      <c r="Q731" s="11">
        <v>50</v>
      </c>
      <c r="R731" s="11">
        <v>50</v>
      </c>
    </row>
    <row r="732" spans="2:18" x14ac:dyDescent="0.35">
      <c r="B732">
        <v>729</v>
      </c>
      <c r="C732" s="1">
        <v>45069</v>
      </c>
      <c r="D732" t="s">
        <v>742</v>
      </c>
      <c r="E732" t="s">
        <v>10</v>
      </c>
      <c r="F732">
        <v>29</v>
      </c>
      <c r="G732" t="str">
        <f>IF(Table14[[#This Row],[Age]]&lt;=25,"Young",IF(Table14[[#This Row],[Age]]&gt;55,"Old",IF(Table14[[#This Row],[Age]]&gt;25,"Middle","Na")))</f>
        <v>Middle</v>
      </c>
      <c r="H732" t="s">
        <v>14</v>
      </c>
      <c r="I732">
        <v>4</v>
      </c>
      <c r="J732">
        <v>300</v>
      </c>
      <c r="K732">
        <v>1200</v>
      </c>
      <c r="N732" s="11" t="s">
        <v>15</v>
      </c>
      <c r="O732" s="11" t="s">
        <v>16</v>
      </c>
      <c r="P732" s="11">
        <f>K730/J730</f>
        <v>3</v>
      </c>
      <c r="Q732" s="11">
        <v>30</v>
      </c>
      <c r="R732" s="11">
        <v>30</v>
      </c>
    </row>
    <row r="733" spans="2:18" x14ac:dyDescent="0.35">
      <c r="B733">
        <v>730</v>
      </c>
      <c r="C733" s="1">
        <v>45142</v>
      </c>
      <c r="D733" t="s">
        <v>743</v>
      </c>
      <c r="E733" t="s">
        <v>13</v>
      </c>
      <c r="F733">
        <v>36</v>
      </c>
      <c r="G733" t="str">
        <f>IF(Table14[[#This Row],[Age]]&lt;=25,"Young",IF(Table14[[#This Row],[Age]]&gt;55,"Old",IF(Table14[[#This Row],[Age]]&gt;25,"Middle","Na")))</f>
        <v>Middle</v>
      </c>
      <c r="H733" t="s">
        <v>14</v>
      </c>
      <c r="I733">
        <v>2</v>
      </c>
      <c r="J733">
        <v>25</v>
      </c>
      <c r="K733">
        <v>50</v>
      </c>
      <c r="N733" s="11" t="s">
        <v>19</v>
      </c>
      <c r="O733" s="11" t="s">
        <v>11</v>
      </c>
      <c r="P733" s="11">
        <f>K731/J731</f>
        <v>3</v>
      </c>
      <c r="Q733" s="11">
        <v>30</v>
      </c>
      <c r="R733" s="11">
        <v>30</v>
      </c>
    </row>
    <row r="734" spans="2:18" x14ac:dyDescent="0.35">
      <c r="B734">
        <v>731</v>
      </c>
      <c r="C734" s="1">
        <v>45056</v>
      </c>
      <c r="D734" t="s">
        <v>744</v>
      </c>
      <c r="E734" t="s">
        <v>10</v>
      </c>
      <c r="F734">
        <v>54</v>
      </c>
      <c r="G734" t="str">
        <f>IF(Table14[[#This Row],[Age]]&lt;=25,"Young",IF(Table14[[#This Row],[Age]]&gt;55,"Old",IF(Table14[[#This Row],[Age]]&gt;25,"Middle","Na")))</f>
        <v>Middle</v>
      </c>
      <c r="H734" t="s">
        <v>14</v>
      </c>
      <c r="I734">
        <v>4</v>
      </c>
      <c r="J734">
        <v>500</v>
      </c>
      <c r="K734">
        <v>2000</v>
      </c>
      <c r="N734" s="11" t="s">
        <v>464</v>
      </c>
      <c r="O734" s="11" t="s">
        <v>16</v>
      </c>
      <c r="P734" s="11">
        <f>K732/J732</f>
        <v>4</v>
      </c>
      <c r="Q734" s="11">
        <v>30</v>
      </c>
      <c r="R734" s="11">
        <v>30</v>
      </c>
    </row>
    <row r="735" spans="2:18" x14ac:dyDescent="0.35">
      <c r="B735">
        <v>732</v>
      </c>
      <c r="C735" s="1">
        <v>44968</v>
      </c>
      <c r="D735" t="s">
        <v>745</v>
      </c>
      <c r="E735" t="s">
        <v>10</v>
      </c>
      <c r="F735">
        <v>61</v>
      </c>
      <c r="G735" t="str">
        <f>IF(Table14[[#This Row],[Age]]&lt;=25,"Young",IF(Table14[[#This Row],[Age]]&gt;55,"Old",IF(Table14[[#This Row],[Age]]&gt;25,"Middle","Na")))</f>
        <v>Old</v>
      </c>
      <c r="H735" t="s">
        <v>16</v>
      </c>
      <c r="I735">
        <v>2</v>
      </c>
      <c r="J735">
        <v>500</v>
      </c>
      <c r="K735">
        <v>1000</v>
      </c>
      <c r="N735" s="11" t="s">
        <v>579</v>
      </c>
      <c r="O735" s="11" t="s">
        <v>14</v>
      </c>
      <c r="P735" s="11">
        <f>K733/J733</f>
        <v>2</v>
      </c>
      <c r="Q735" s="11">
        <v>30</v>
      </c>
      <c r="R735" s="11">
        <v>30</v>
      </c>
    </row>
    <row r="736" spans="2:18" x14ac:dyDescent="0.35">
      <c r="B736">
        <v>733</v>
      </c>
      <c r="C736" s="1">
        <v>45167</v>
      </c>
      <c r="D736" t="s">
        <v>746</v>
      </c>
      <c r="E736" t="s">
        <v>10</v>
      </c>
      <c r="F736">
        <v>34</v>
      </c>
      <c r="G736" t="str">
        <f>IF(Table14[[#This Row],[Age]]&lt;=25,"Young",IF(Table14[[#This Row],[Age]]&gt;55,"Old",IF(Table14[[#This Row],[Age]]&gt;25,"Middle","Na")))</f>
        <v>Middle</v>
      </c>
      <c r="H736" t="s">
        <v>11</v>
      </c>
      <c r="I736">
        <v>1</v>
      </c>
      <c r="J736">
        <v>30</v>
      </c>
      <c r="K736">
        <v>30</v>
      </c>
      <c r="N736" s="11" t="s">
        <v>891</v>
      </c>
      <c r="O736" s="11" t="s">
        <v>14</v>
      </c>
      <c r="P736" s="11">
        <f>K734/J734</f>
        <v>4</v>
      </c>
      <c r="Q736" s="11">
        <v>30</v>
      </c>
      <c r="R736" s="11">
        <v>30</v>
      </c>
    </row>
    <row r="737" spans="2:18" x14ac:dyDescent="0.35">
      <c r="B737">
        <v>734</v>
      </c>
      <c r="C737" s="1">
        <v>44936</v>
      </c>
      <c r="D737" t="s">
        <v>747</v>
      </c>
      <c r="E737" t="s">
        <v>13</v>
      </c>
      <c r="F737">
        <v>27</v>
      </c>
      <c r="G737" t="str">
        <f>IF(Table14[[#This Row],[Age]]&lt;=25,"Young",IF(Table14[[#This Row],[Age]]&gt;55,"Old",IF(Table14[[#This Row],[Age]]&gt;25,"Middle","Na")))</f>
        <v>Middle</v>
      </c>
      <c r="H737" t="s">
        <v>14</v>
      </c>
      <c r="I737">
        <v>1</v>
      </c>
      <c r="J737">
        <v>30</v>
      </c>
      <c r="K737">
        <v>30</v>
      </c>
      <c r="N737" s="11" t="s">
        <v>914</v>
      </c>
      <c r="O737" s="11" t="s">
        <v>16</v>
      </c>
      <c r="P737" s="11">
        <f>K735/J735</f>
        <v>2</v>
      </c>
      <c r="Q737" s="11">
        <v>30</v>
      </c>
      <c r="R737" s="11">
        <v>30</v>
      </c>
    </row>
    <row r="738" spans="2:18" x14ac:dyDescent="0.35">
      <c r="B738">
        <v>735</v>
      </c>
      <c r="C738" s="1">
        <v>45203</v>
      </c>
      <c r="D738" t="s">
        <v>748</v>
      </c>
      <c r="E738" t="s">
        <v>13</v>
      </c>
      <c r="F738">
        <v>64</v>
      </c>
      <c r="G738" t="str">
        <f>IF(Table14[[#This Row],[Age]]&lt;=25,"Young",IF(Table14[[#This Row],[Age]]&gt;55,"Old",IF(Table14[[#This Row],[Age]]&gt;25,"Middle","Na")))</f>
        <v>Old</v>
      </c>
      <c r="H738" t="s">
        <v>14</v>
      </c>
      <c r="I738">
        <v>4</v>
      </c>
      <c r="J738">
        <v>500</v>
      </c>
      <c r="K738">
        <v>2000</v>
      </c>
      <c r="N738" s="11" t="s">
        <v>1008</v>
      </c>
      <c r="O738" s="11" t="s">
        <v>14</v>
      </c>
      <c r="P738" s="11">
        <f>K736/J736</f>
        <v>1</v>
      </c>
      <c r="Q738" s="11">
        <v>30</v>
      </c>
      <c r="R738" s="11">
        <v>30</v>
      </c>
    </row>
    <row r="739" spans="2:18" x14ac:dyDescent="0.35">
      <c r="B739">
        <v>736</v>
      </c>
      <c r="C739" s="1">
        <v>44953</v>
      </c>
      <c r="D739" t="s">
        <v>749</v>
      </c>
      <c r="E739" t="s">
        <v>10</v>
      </c>
      <c r="F739">
        <v>29</v>
      </c>
      <c r="G739" t="str">
        <f>IF(Table14[[#This Row],[Age]]&lt;=25,"Young",IF(Table14[[#This Row],[Age]]&gt;55,"Old",IF(Table14[[#This Row],[Age]]&gt;25,"Middle","Na")))</f>
        <v>Middle</v>
      </c>
      <c r="H739" t="s">
        <v>14</v>
      </c>
      <c r="I739">
        <v>4</v>
      </c>
      <c r="J739">
        <v>25</v>
      </c>
      <c r="K739">
        <v>100</v>
      </c>
      <c r="N739" s="11" t="s">
        <v>116</v>
      </c>
      <c r="O739" s="11" t="s">
        <v>14</v>
      </c>
      <c r="P739" s="11">
        <f>K737/J737</f>
        <v>1</v>
      </c>
      <c r="Q739" s="11">
        <v>25</v>
      </c>
      <c r="R739" s="11">
        <v>25</v>
      </c>
    </row>
    <row r="740" spans="2:18" x14ac:dyDescent="0.35">
      <c r="B740">
        <v>737</v>
      </c>
      <c r="C740" s="1">
        <v>45106</v>
      </c>
      <c r="D740" t="s">
        <v>750</v>
      </c>
      <c r="E740" t="s">
        <v>13</v>
      </c>
      <c r="F740">
        <v>33</v>
      </c>
      <c r="G740" t="str">
        <f>IF(Table14[[#This Row],[Age]]&lt;=25,"Young",IF(Table14[[#This Row],[Age]]&gt;55,"Old",IF(Table14[[#This Row],[Age]]&gt;25,"Middle","Na")))</f>
        <v>Middle</v>
      </c>
      <c r="H740" t="s">
        <v>14</v>
      </c>
      <c r="I740">
        <v>1</v>
      </c>
      <c r="J740">
        <v>50</v>
      </c>
      <c r="K740">
        <v>50</v>
      </c>
      <c r="N740" s="11" t="s">
        <v>236</v>
      </c>
      <c r="O740" s="11" t="s">
        <v>14</v>
      </c>
      <c r="P740" s="11">
        <f>K738/J738</f>
        <v>4</v>
      </c>
      <c r="Q740" s="11">
        <v>25</v>
      </c>
      <c r="R740" s="11">
        <v>25</v>
      </c>
    </row>
    <row r="741" spans="2:18" x14ac:dyDescent="0.35">
      <c r="B741">
        <v>738</v>
      </c>
      <c r="C741" s="1">
        <v>45041</v>
      </c>
      <c r="D741" t="s">
        <v>751</v>
      </c>
      <c r="E741" t="s">
        <v>10</v>
      </c>
      <c r="F741">
        <v>41</v>
      </c>
      <c r="G741" t="str">
        <f>IF(Table14[[#This Row],[Age]]&lt;=25,"Young",IF(Table14[[#This Row],[Age]]&gt;55,"Old",IF(Table14[[#This Row],[Age]]&gt;25,"Middle","Na")))</f>
        <v>Middle</v>
      </c>
      <c r="H741" t="s">
        <v>14</v>
      </c>
      <c r="I741">
        <v>2</v>
      </c>
      <c r="J741">
        <v>50</v>
      </c>
      <c r="K741">
        <v>100</v>
      </c>
      <c r="N741" s="11" t="s">
        <v>243</v>
      </c>
      <c r="O741" s="11" t="s">
        <v>11</v>
      </c>
      <c r="P741" s="11">
        <f>K739/J739</f>
        <v>4</v>
      </c>
      <c r="Q741" s="11">
        <v>25</v>
      </c>
      <c r="R741" s="11">
        <v>25</v>
      </c>
    </row>
    <row r="742" spans="2:18" x14ac:dyDescent="0.35">
      <c r="B742">
        <v>739</v>
      </c>
      <c r="C742" s="1">
        <v>45259</v>
      </c>
      <c r="D742" t="s">
        <v>752</v>
      </c>
      <c r="E742" t="s">
        <v>10</v>
      </c>
      <c r="F742">
        <v>36</v>
      </c>
      <c r="G742" t="str">
        <f>IF(Table14[[#This Row],[Age]]&lt;=25,"Young",IF(Table14[[#This Row],[Age]]&gt;55,"Old",IF(Table14[[#This Row],[Age]]&gt;25,"Middle","Na")))</f>
        <v>Middle</v>
      </c>
      <c r="H742" t="s">
        <v>11</v>
      </c>
      <c r="I742">
        <v>1</v>
      </c>
      <c r="J742">
        <v>25</v>
      </c>
      <c r="K742">
        <v>25</v>
      </c>
      <c r="N742" s="11" t="s">
        <v>245</v>
      </c>
      <c r="O742" s="11" t="s">
        <v>11</v>
      </c>
      <c r="P742" s="11">
        <f>K740/J740</f>
        <v>1</v>
      </c>
      <c r="Q742" s="11">
        <v>25</v>
      </c>
      <c r="R742" s="11">
        <v>25</v>
      </c>
    </row>
    <row r="743" spans="2:18" x14ac:dyDescent="0.35">
      <c r="B743">
        <v>740</v>
      </c>
      <c r="C743" s="1">
        <v>44962</v>
      </c>
      <c r="D743" t="s">
        <v>753</v>
      </c>
      <c r="E743" t="s">
        <v>13</v>
      </c>
      <c r="F743">
        <v>25</v>
      </c>
      <c r="G743" t="str">
        <f>IF(Table14[[#This Row],[Age]]&lt;=25,"Young",IF(Table14[[#This Row],[Age]]&gt;55,"Old",IF(Table14[[#This Row],[Age]]&gt;25,"Middle","Na")))</f>
        <v>Young</v>
      </c>
      <c r="H743" t="s">
        <v>11</v>
      </c>
      <c r="I743">
        <v>4</v>
      </c>
      <c r="J743">
        <v>50</v>
      </c>
      <c r="K743">
        <v>200</v>
      </c>
      <c r="N743" s="11" t="s">
        <v>255</v>
      </c>
      <c r="O743" s="11" t="s">
        <v>14</v>
      </c>
      <c r="P743" s="11">
        <f>K741/J741</f>
        <v>2</v>
      </c>
      <c r="Q743" s="11">
        <v>25</v>
      </c>
      <c r="R743" s="11">
        <v>25</v>
      </c>
    </row>
    <row r="744" spans="2:18" x14ac:dyDescent="0.35">
      <c r="B744">
        <v>741</v>
      </c>
      <c r="C744" s="1">
        <v>45260</v>
      </c>
      <c r="D744" t="s">
        <v>754</v>
      </c>
      <c r="E744" t="s">
        <v>10</v>
      </c>
      <c r="F744">
        <v>48</v>
      </c>
      <c r="G744" t="str">
        <f>IF(Table14[[#This Row],[Age]]&lt;=25,"Young",IF(Table14[[#This Row],[Age]]&gt;55,"Old",IF(Table14[[#This Row],[Age]]&gt;25,"Middle","Na")))</f>
        <v>Middle</v>
      </c>
      <c r="H744" t="s">
        <v>14</v>
      </c>
      <c r="I744">
        <v>1</v>
      </c>
      <c r="J744">
        <v>300</v>
      </c>
      <c r="K744">
        <v>300</v>
      </c>
      <c r="N744" s="11" t="s">
        <v>331</v>
      </c>
      <c r="O744" s="11" t="s">
        <v>14</v>
      </c>
      <c r="P744" s="11">
        <f>K742/J742</f>
        <v>1</v>
      </c>
      <c r="Q744" s="11">
        <v>25</v>
      </c>
      <c r="R744" s="11">
        <v>25</v>
      </c>
    </row>
    <row r="745" spans="2:18" x14ac:dyDescent="0.35">
      <c r="B745">
        <v>742</v>
      </c>
      <c r="C745" s="1">
        <v>44947</v>
      </c>
      <c r="D745" t="s">
        <v>755</v>
      </c>
      <c r="E745" t="s">
        <v>13</v>
      </c>
      <c r="F745">
        <v>38</v>
      </c>
      <c r="G745" t="str">
        <f>IF(Table14[[#This Row],[Age]]&lt;=25,"Young",IF(Table14[[#This Row],[Age]]&gt;55,"Old",IF(Table14[[#This Row],[Age]]&gt;25,"Middle","Na")))</f>
        <v>Middle</v>
      </c>
      <c r="H745" t="s">
        <v>16</v>
      </c>
      <c r="I745">
        <v>4</v>
      </c>
      <c r="J745">
        <v>500</v>
      </c>
      <c r="K745">
        <v>2000</v>
      </c>
      <c r="N745" s="11" t="s">
        <v>467</v>
      </c>
      <c r="O745" s="11" t="s">
        <v>11</v>
      </c>
      <c r="P745" s="11">
        <f>K743/J743</f>
        <v>4</v>
      </c>
      <c r="Q745" s="11">
        <v>25</v>
      </c>
      <c r="R745" s="11">
        <v>25</v>
      </c>
    </row>
    <row r="746" spans="2:18" x14ac:dyDescent="0.35">
      <c r="B746">
        <v>743</v>
      </c>
      <c r="C746" s="1">
        <v>44942</v>
      </c>
      <c r="D746" t="s">
        <v>756</v>
      </c>
      <c r="E746" t="s">
        <v>13</v>
      </c>
      <c r="F746">
        <v>34</v>
      </c>
      <c r="G746" t="str">
        <f>IF(Table14[[#This Row],[Age]]&lt;=25,"Young",IF(Table14[[#This Row],[Age]]&gt;55,"Old",IF(Table14[[#This Row],[Age]]&gt;25,"Middle","Na")))</f>
        <v>Middle</v>
      </c>
      <c r="H746" t="s">
        <v>11</v>
      </c>
      <c r="I746">
        <v>4</v>
      </c>
      <c r="J746">
        <v>500</v>
      </c>
      <c r="K746">
        <v>2000</v>
      </c>
      <c r="N746" s="11" t="s">
        <v>571</v>
      </c>
      <c r="O746" s="11" t="s">
        <v>14</v>
      </c>
      <c r="P746" s="11">
        <f>K744/J744</f>
        <v>1</v>
      </c>
      <c r="Q746" s="11">
        <v>25</v>
      </c>
      <c r="R746" s="11">
        <v>25</v>
      </c>
    </row>
    <row r="747" spans="2:18" x14ac:dyDescent="0.35">
      <c r="B747">
        <v>744</v>
      </c>
      <c r="C747" s="1">
        <v>45053</v>
      </c>
      <c r="D747" t="s">
        <v>757</v>
      </c>
      <c r="E747" t="s">
        <v>10</v>
      </c>
      <c r="F747">
        <v>40</v>
      </c>
      <c r="G747" t="str">
        <f>IF(Table14[[#This Row],[Age]]&lt;=25,"Young",IF(Table14[[#This Row],[Age]]&gt;55,"Old",IF(Table14[[#This Row],[Age]]&gt;25,"Middle","Na")))</f>
        <v>Middle</v>
      </c>
      <c r="H747" t="s">
        <v>16</v>
      </c>
      <c r="I747">
        <v>1</v>
      </c>
      <c r="J747">
        <v>25</v>
      </c>
      <c r="K747">
        <v>25</v>
      </c>
      <c r="N747" s="11" t="s">
        <v>752</v>
      </c>
      <c r="O747" s="11" t="s">
        <v>11</v>
      </c>
      <c r="P747" s="11">
        <f>K745/J745</f>
        <v>4</v>
      </c>
      <c r="Q747" s="11">
        <v>25</v>
      </c>
      <c r="R747" s="11">
        <v>25</v>
      </c>
    </row>
    <row r="748" spans="2:18" x14ac:dyDescent="0.35">
      <c r="B748">
        <v>745</v>
      </c>
      <c r="C748" s="1">
        <v>45029</v>
      </c>
      <c r="D748" t="s">
        <v>758</v>
      </c>
      <c r="E748" t="s">
        <v>10</v>
      </c>
      <c r="F748">
        <v>54</v>
      </c>
      <c r="G748" t="str">
        <f>IF(Table14[[#This Row],[Age]]&lt;=25,"Young",IF(Table14[[#This Row],[Age]]&gt;55,"Old",IF(Table14[[#This Row],[Age]]&gt;25,"Middle","Na")))</f>
        <v>Middle</v>
      </c>
      <c r="H748" t="s">
        <v>11</v>
      </c>
      <c r="I748">
        <v>2</v>
      </c>
      <c r="J748">
        <v>50</v>
      </c>
      <c r="K748">
        <v>100</v>
      </c>
      <c r="N748" s="11" t="s">
        <v>757</v>
      </c>
      <c r="O748" s="11" t="s">
        <v>16</v>
      </c>
      <c r="P748" s="11">
        <f>K746/J746</f>
        <v>4</v>
      </c>
      <c r="Q748" s="11">
        <v>25</v>
      </c>
      <c r="R748" s="11">
        <v>25</v>
      </c>
    </row>
    <row r="749" spans="2:18" x14ac:dyDescent="0.35">
      <c r="B749">
        <v>746</v>
      </c>
      <c r="C749" s="1">
        <v>44937</v>
      </c>
      <c r="D749" t="s">
        <v>759</v>
      </c>
      <c r="E749" t="s">
        <v>13</v>
      </c>
      <c r="F749">
        <v>33</v>
      </c>
      <c r="G749" t="str">
        <f>IF(Table14[[#This Row],[Age]]&lt;=25,"Young",IF(Table14[[#This Row],[Age]]&gt;55,"Old",IF(Table14[[#This Row],[Age]]&gt;25,"Middle","Na")))</f>
        <v>Middle</v>
      </c>
      <c r="H749" t="s">
        <v>14</v>
      </c>
      <c r="I749">
        <v>3</v>
      </c>
      <c r="J749">
        <v>30</v>
      </c>
      <c r="K749">
        <v>90</v>
      </c>
      <c r="N749" s="11" t="s">
        <v>804</v>
      </c>
      <c r="O749" s="11" t="s">
        <v>11</v>
      </c>
      <c r="P749" s="11">
        <f>K747/J747</f>
        <v>1</v>
      </c>
      <c r="Q749" s="11">
        <v>25</v>
      </c>
      <c r="R749" s="11">
        <v>25</v>
      </c>
    </row>
    <row r="750" spans="2:18" x14ac:dyDescent="0.35">
      <c r="B750">
        <v>747</v>
      </c>
      <c r="C750" s="1">
        <v>45245</v>
      </c>
      <c r="D750" t="s">
        <v>760</v>
      </c>
      <c r="E750" t="s">
        <v>10</v>
      </c>
      <c r="F750">
        <v>23</v>
      </c>
      <c r="G750" t="str">
        <f>IF(Table14[[#This Row],[Age]]&lt;=25,"Young",IF(Table14[[#This Row],[Age]]&gt;55,"Old",IF(Table14[[#This Row],[Age]]&gt;25,"Middle","Na")))</f>
        <v>Young</v>
      </c>
      <c r="H750" t="s">
        <v>11</v>
      </c>
      <c r="I750">
        <v>1</v>
      </c>
      <c r="J750">
        <v>30</v>
      </c>
      <c r="K750">
        <v>30</v>
      </c>
      <c r="N750" s="11" t="s">
        <v>838</v>
      </c>
      <c r="O750" s="11" t="s">
        <v>11</v>
      </c>
      <c r="P750" s="11">
        <f>K748/J748</f>
        <v>2</v>
      </c>
      <c r="Q750" s="11">
        <v>25</v>
      </c>
      <c r="R750" s="11">
        <v>25</v>
      </c>
    </row>
    <row r="751" spans="2:18" x14ac:dyDescent="0.35">
      <c r="B751">
        <v>748</v>
      </c>
      <c r="C751" s="1">
        <v>45005</v>
      </c>
      <c r="D751" t="s">
        <v>761</v>
      </c>
      <c r="E751" t="s">
        <v>10</v>
      </c>
      <c r="F751">
        <v>25</v>
      </c>
      <c r="G751" t="str">
        <f>IF(Table14[[#This Row],[Age]]&lt;=25,"Young",IF(Table14[[#This Row],[Age]]&gt;55,"Old",IF(Table14[[#This Row],[Age]]&gt;25,"Middle","Na")))</f>
        <v>Young</v>
      </c>
      <c r="H751" t="s">
        <v>14</v>
      </c>
      <c r="I751">
        <v>3</v>
      </c>
      <c r="J751">
        <v>50</v>
      </c>
      <c r="K751">
        <v>150</v>
      </c>
      <c r="N751" s="11" t="s">
        <v>868</v>
      </c>
      <c r="O751" s="11" t="s">
        <v>11</v>
      </c>
      <c r="P751" s="11">
        <f>K749/J749</f>
        <v>3</v>
      </c>
      <c r="Q751" s="11">
        <v>25</v>
      </c>
      <c r="R751" s="11">
        <v>25</v>
      </c>
    </row>
    <row r="752" spans="2:18" x14ac:dyDescent="0.35">
      <c r="B752">
        <v>749</v>
      </c>
      <c r="C752" s="1">
        <v>45049</v>
      </c>
      <c r="D752" t="s">
        <v>762</v>
      </c>
      <c r="E752" t="s">
        <v>10</v>
      </c>
      <c r="F752">
        <v>42</v>
      </c>
      <c r="G752" t="str">
        <f>IF(Table14[[#This Row],[Age]]&lt;=25,"Young",IF(Table14[[#This Row],[Age]]&gt;55,"Old",IF(Table14[[#This Row],[Age]]&gt;25,"Middle","Na")))</f>
        <v>Middle</v>
      </c>
      <c r="H752" t="s">
        <v>11</v>
      </c>
      <c r="I752">
        <v>1</v>
      </c>
      <c r="J752">
        <v>30</v>
      </c>
      <c r="K752">
        <v>30</v>
      </c>
      <c r="N752" s="11" t="s">
        <v>920</v>
      </c>
      <c r="O752" s="11" t="s">
        <v>16</v>
      </c>
      <c r="P752" s="11">
        <f>K750/J750</f>
        <v>1</v>
      </c>
      <c r="Q752" s="11">
        <v>25</v>
      </c>
      <c r="R752" s="11">
        <v>25</v>
      </c>
    </row>
    <row r="753" spans="2:18" x14ac:dyDescent="0.35">
      <c r="B753">
        <v>750</v>
      </c>
      <c r="C753" s="1">
        <v>44991</v>
      </c>
      <c r="D753" t="s">
        <v>763</v>
      </c>
      <c r="E753" t="s">
        <v>13</v>
      </c>
      <c r="F753">
        <v>35</v>
      </c>
      <c r="G753" t="str">
        <f>IF(Table14[[#This Row],[Age]]&lt;=25,"Young",IF(Table14[[#This Row],[Age]]&gt;55,"Old",IF(Table14[[#This Row],[Age]]&gt;25,"Middle","Na")))</f>
        <v>Middle</v>
      </c>
      <c r="H753" t="s">
        <v>14</v>
      </c>
      <c r="I753">
        <v>3</v>
      </c>
      <c r="J753">
        <v>25</v>
      </c>
      <c r="K753">
        <v>75</v>
      </c>
      <c r="N753" s="11" t="s">
        <v>106</v>
      </c>
      <c r="O753" s="11" t="s">
        <v>11</v>
      </c>
      <c r="P753" s="11">
        <f>K751/J751</f>
        <v>3</v>
      </c>
      <c r="Q753" s="11">
        <v>2000</v>
      </c>
      <c r="R753" s="11">
        <v>2000</v>
      </c>
    </row>
    <row r="754" spans="2:18" x14ac:dyDescent="0.35">
      <c r="B754">
        <v>751</v>
      </c>
      <c r="C754" s="1">
        <v>45169</v>
      </c>
      <c r="D754" t="s">
        <v>764</v>
      </c>
      <c r="E754" t="s">
        <v>13</v>
      </c>
      <c r="F754">
        <v>42</v>
      </c>
      <c r="G754" t="str">
        <f>IF(Table14[[#This Row],[Age]]&lt;=25,"Young",IF(Table14[[#This Row],[Age]]&gt;55,"Old",IF(Table14[[#This Row],[Age]]&gt;25,"Middle","Na")))</f>
        <v>Middle</v>
      </c>
      <c r="H754" t="s">
        <v>14</v>
      </c>
      <c r="I754">
        <v>2</v>
      </c>
      <c r="J754">
        <v>25</v>
      </c>
      <c r="K754">
        <v>50</v>
      </c>
      <c r="N754" s="11" t="s">
        <v>382</v>
      </c>
      <c r="O754" s="11" t="s">
        <v>16</v>
      </c>
      <c r="P754" s="11">
        <f>K752/J752</f>
        <v>1</v>
      </c>
      <c r="Q754" s="11">
        <v>1500</v>
      </c>
      <c r="R754" s="11">
        <v>1500</v>
      </c>
    </row>
    <row r="755" spans="2:18" x14ac:dyDescent="0.35">
      <c r="B755">
        <v>752</v>
      </c>
      <c r="C755" s="1">
        <v>45269</v>
      </c>
      <c r="D755" t="s">
        <v>765</v>
      </c>
      <c r="E755" t="s">
        <v>10</v>
      </c>
      <c r="F755">
        <v>29</v>
      </c>
      <c r="G755" t="str">
        <f>IF(Table14[[#This Row],[Age]]&lt;=25,"Young",IF(Table14[[#This Row],[Age]]&gt;55,"Old",IF(Table14[[#This Row],[Age]]&gt;25,"Middle","Na")))</f>
        <v>Middle</v>
      </c>
      <c r="H755" t="s">
        <v>14</v>
      </c>
      <c r="I755">
        <v>2</v>
      </c>
      <c r="J755">
        <v>50</v>
      </c>
      <c r="K755">
        <v>100</v>
      </c>
      <c r="N755" s="11" t="s">
        <v>226</v>
      </c>
      <c r="O755" s="11" t="s">
        <v>11</v>
      </c>
      <c r="P755" s="11">
        <f>K753/J753</f>
        <v>3</v>
      </c>
      <c r="Q755" s="11">
        <v>1500</v>
      </c>
      <c r="R755" s="11">
        <v>1500</v>
      </c>
    </row>
    <row r="756" spans="2:18" x14ac:dyDescent="0.35">
      <c r="B756">
        <v>753</v>
      </c>
      <c r="C756" s="1">
        <v>44985</v>
      </c>
      <c r="D756" t="s">
        <v>766</v>
      </c>
      <c r="E756" t="s">
        <v>13</v>
      </c>
      <c r="F756">
        <v>32</v>
      </c>
      <c r="G756" t="str">
        <f>IF(Table14[[#This Row],[Age]]&lt;=25,"Young",IF(Table14[[#This Row],[Age]]&gt;55,"Old",IF(Table14[[#This Row],[Age]]&gt;25,"Middle","Na")))</f>
        <v>Middle</v>
      </c>
      <c r="H756" t="s">
        <v>14</v>
      </c>
      <c r="I756">
        <v>1</v>
      </c>
      <c r="J756">
        <v>30</v>
      </c>
      <c r="K756">
        <v>30</v>
      </c>
      <c r="N756" s="11" t="s">
        <v>425</v>
      </c>
      <c r="O756" s="11" t="s">
        <v>16</v>
      </c>
      <c r="P756" s="11">
        <f>K754/J754</f>
        <v>2</v>
      </c>
      <c r="Q756" s="11">
        <v>2000</v>
      </c>
      <c r="R756" s="11">
        <v>2000</v>
      </c>
    </row>
    <row r="757" spans="2:18" x14ac:dyDescent="0.35">
      <c r="B757">
        <v>754</v>
      </c>
      <c r="C757" s="1">
        <v>45215</v>
      </c>
      <c r="D757" t="s">
        <v>767</v>
      </c>
      <c r="E757" t="s">
        <v>13</v>
      </c>
      <c r="F757">
        <v>43</v>
      </c>
      <c r="G757" t="str">
        <f>IF(Table14[[#This Row],[Age]]&lt;=25,"Young",IF(Table14[[#This Row],[Age]]&gt;55,"Old",IF(Table14[[#This Row],[Age]]&gt;25,"Middle","Na")))</f>
        <v>Middle</v>
      </c>
      <c r="H757" t="s">
        <v>16</v>
      </c>
      <c r="I757">
        <v>4</v>
      </c>
      <c r="J757">
        <v>25</v>
      </c>
      <c r="K757">
        <v>100</v>
      </c>
      <c r="N757" s="11" t="s">
        <v>733</v>
      </c>
      <c r="O757" s="11" t="s">
        <v>11</v>
      </c>
      <c r="P757" s="11">
        <f>K755/J755</f>
        <v>2</v>
      </c>
      <c r="Q757" s="11">
        <v>1500</v>
      </c>
      <c r="R757" s="11">
        <v>1500</v>
      </c>
    </row>
    <row r="758" spans="2:18" x14ac:dyDescent="0.35">
      <c r="B758">
        <v>755</v>
      </c>
      <c r="C758" s="1">
        <v>45038</v>
      </c>
      <c r="D758" t="s">
        <v>768</v>
      </c>
      <c r="E758" t="s">
        <v>13</v>
      </c>
      <c r="F758">
        <v>58</v>
      </c>
      <c r="G758" t="str">
        <f>IF(Table14[[#This Row],[Age]]&lt;=25,"Young",IF(Table14[[#This Row],[Age]]&gt;55,"Old",IF(Table14[[#This Row],[Age]]&gt;25,"Middle","Na")))</f>
        <v>Old</v>
      </c>
      <c r="H758" t="s">
        <v>14</v>
      </c>
      <c r="I758">
        <v>3</v>
      </c>
      <c r="J758">
        <v>25</v>
      </c>
      <c r="K758">
        <v>75</v>
      </c>
      <c r="N758" s="11" t="s">
        <v>179</v>
      </c>
      <c r="O758" s="11" t="s">
        <v>14</v>
      </c>
      <c r="P758" s="11">
        <f>K756/J756</f>
        <v>1</v>
      </c>
      <c r="Q758" s="11">
        <v>2000</v>
      </c>
      <c r="R758" s="11">
        <v>2000</v>
      </c>
    </row>
    <row r="759" spans="2:18" x14ac:dyDescent="0.35">
      <c r="B759">
        <v>756</v>
      </c>
      <c r="C759" s="1">
        <v>45165</v>
      </c>
      <c r="D759" t="s">
        <v>769</v>
      </c>
      <c r="E759" t="s">
        <v>13</v>
      </c>
      <c r="F759">
        <v>62</v>
      </c>
      <c r="G759" t="str">
        <f>IF(Table14[[#This Row],[Age]]&lt;=25,"Young",IF(Table14[[#This Row],[Age]]&gt;55,"Old",IF(Table14[[#This Row],[Age]]&gt;25,"Middle","Na")))</f>
        <v>Old</v>
      </c>
      <c r="H759" t="s">
        <v>16</v>
      </c>
      <c r="I759">
        <v>4</v>
      </c>
      <c r="J759">
        <v>300</v>
      </c>
      <c r="K759">
        <v>1200</v>
      </c>
      <c r="N759" s="11" t="s">
        <v>224</v>
      </c>
      <c r="O759" s="11" t="s">
        <v>11</v>
      </c>
      <c r="P759" s="11">
        <f>K757/J757</f>
        <v>4</v>
      </c>
      <c r="Q759" s="11">
        <v>1500</v>
      </c>
      <c r="R759" s="11">
        <v>1500</v>
      </c>
    </row>
    <row r="760" spans="2:18" x14ac:dyDescent="0.35">
      <c r="B760">
        <v>757</v>
      </c>
      <c r="C760" s="1">
        <v>45285</v>
      </c>
      <c r="D760" t="s">
        <v>770</v>
      </c>
      <c r="E760" t="s">
        <v>13</v>
      </c>
      <c r="F760">
        <v>43</v>
      </c>
      <c r="G760" t="str">
        <f>IF(Table14[[#This Row],[Age]]&lt;=25,"Young",IF(Table14[[#This Row],[Age]]&gt;55,"Old",IF(Table14[[#This Row],[Age]]&gt;25,"Middle","Na")))</f>
        <v>Middle</v>
      </c>
      <c r="H760" t="s">
        <v>16</v>
      </c>
      <c r="I760">
        <v>4</v>
      </c>
      <c r="J760">
        <v>300</v>
      </c>
      <c r="K760">
        <v>1200</v>
      </c>
      <c r="N760" s="11" t="s">
        <v>168</v>
      </c>
      <c r="O760" s="11" t="s">
        <v>16</v>
      </c>
      <c r="P760" s="11">
        <f>K758/J758</f>
        <v>3</v>
      </c>
      <c r="Q760" s="11">
        <v>2000</v>
      </c>
      <c r="R760" s="11">
        <v>2000</v>
      </c>
    </row>
    <row r="761" spans="2:18" x14ac:dyDescent="0.35">
      <c r="B761">
        <v>758</v>
      </c>
      <c r="C761" s="1">
        <v>45058</v>
      </c>
      <c r="D761" t="s">
        <v>771</v>
      </c>
      <c r="E761" t="s">
        <v>10</v>
      </c>
      <c r="F761">
        <v>64</v>
      </c>
      <c r="G761" t="str">
        <f>IF(Table14[[#This Row],[Age]]&lt;=25,"Young",IF(Table14[[#This Row],[Age]]&gt;55,"Old",IF(Table14[[#This Row],[Age]]&gt;25,"Middle","Na")))</f>
        <v>Old</v>
      </c>
      <c r="H761" t="s">
        <v>14</v>
      </c>
      <c r="I761">
        <v>4</v>
      </c>
      <c r="J761">
        <v>25</v>
      </c>
      <c r="K761">
        <v>100</v>
      </c>
      <c r="N761" s="11" t="s">
        <v>686</v>
      </c>
      <c r="O761" s="11" t="s">
        <v>14</v>
      </c>
      <c r="P761" s="11">
        <f>K759/J759</f>
        <v>4</v>
      </c>
      <c r="Q761" s="11">
        <v>1500</v>
      </c>
      <c r="R761" s="11">
        <v>1500</v>
      </c>
    </row>
    <row r="762" spans="2:18" x14ac:dyDescent="0.35">
      <c r="B762">
        <v>759</v>
      </c>
      <c r="C762" s="1">
        <v>45115</v>
      </c>
      <c r="D762" t="s">
        <v>772</v>
      </c>
      <c r="E762" t="s">
        <v>10</v>
      </c>
      <c r="F762">
        <v>49</v>
      </c>
      <c r="G762" t="str">
        <f>IF(Table14[[#This Row],[Age]]&lt;=25,"Young",IF(Table14[[#This Row],[Age]]&gt;55,"Old",IF(Table14[[#This Row],[Age]]&gt;25,"Middle","Na")))</f>
        <v>Middle</v>
      </c>
      <c r="H762" t="s">
        <v>16</v>
      </c>
      <c r="I762">
        <v>2</v>
      </c>
      <c r="J762">
        <v>50</v>
      </c>
      <c r="K762">
        <v>100</v>
      </c>
      <c r="N762" s="11" t="s">
        <v>434</v>
      </c>
      <c r="O762" s="11" t="s">
        <v>14</v>
      </c>
      <c r="P762" s="11">
        <f>K760/J760</f>
        <v>4</v>
      </c>
      <c r="Q762" s="11">
        <v>1500</v>
      </c>
      <c r="R762" s="11">
        <v>1500</v>
      </c>
    </row>
    <row r="763" spans="2:18" x14ac:dyDescent="0.35">
      <c r="B763">
        <v>760</v>
      </c>
      <c r="C763" s="1">
        <v>45012</v>
      </c>
      <c r="D763" t="s">
        <v>773</v>
      </c>
      <c r="E763" t="s">
        <v>10</v>
      </c>
      <c r="F763">
        <v>27</v>
      </c>
      <c r="G763" t="str">
        <f>IF(Table14[[#This Row],[Age]]&lt;=25,"Young",IF(Table14[[#This Row],[Age]]&gt;55,"Old",IF(Table14[[#This Row],[Age]]&gt;25,"Middle","Na")))</f>
        <v>Middle</v>
      </c>
      <c r="H763" t="s">
        <v>11</v>
      </c>
      <c r="I763">
        <v>1</v>
      </c>
      <c r="J763">
        <v>500</v>
      </c>
      <c r="K763">
        <v>500</v>
      </c>
      <c r="N763" s="11" t="s">
        <v>293</v>
      </c>
      <c r="O763" s="11" t="s">
        <v>14</v>
      </c>
      <c r="P763" s="11">
        <f>K761/J761</f>
        <v>4</v>
      </c>
      <c r="Q763" s="11">
        <v>1500</v>
      </c>
      <c r="R763" s="11">
        <v>1500</v>
      </c>
    </row>
    <row r="764" spans="2:18" x14ac:dyDescent="0.35">
      <c r="B764">
        <v>761</v>
      </c>
      <c r="C764" s="1">
        <v>45237</v>
      </c>
      <c r="D764" t="s">
        <v>774</v>
      </c>
      <c r="E764" t="s">
        <v>13</v>
      </c>
      <c r="F764">
        <v>33</v>
      </c>
      <c r="G764" t="str">
        <f>IF(Table14[[#This Row],[Age]]&lt;=25,"Young",IF(Table14[[#This Row],[Age]]&gt;55,"Old",IF(Table14[[#This Row],[Age]]&gt;25,"Middle","Na")))</f>
        <v>Middle</v>
      </c>
      <c r="H764" t="s">
        <v>14</v>
      </c>
      <c r="I764">
        <v>1</v>
      </c>
      <c r="J764">
        <v>500</v>
      </c>
      <c r="K764">
        <v>500</v>
      </c>
      <c r="N764" s="11" t="s">
        <v>212</v>
      </c>
      <c r="O764" s="11" t="s">
        <v>11</v>
      </c>
      <c r="P764" s="11">
        <f>K762/J762</f>
        <v>2</v>
      </c>
      <c r="Q764" s="11">
        <v>1500</v>
      </c>
      <c r="R764" s="11">
        <v>1500</v>
      </c>
    </row>
    <row r="765" spans="2:18" x14ac:dyDescent="0.35">
      <c r="B765">
        <v>762</v>
      </c>
      <c r="C765" s="1">
        <v>45237</v>
      </c>
      <c r="D765" t="s">
        <v>775</v>
      </c>
      <c r="E765" t="s">
        <v>13</v>
      </c>
      <c r="F765">
        <v>24</v>
      </c>
      <c r="G765" t="str">
        <f>IF(Table14[[#This Row],[Age]]&lt;=25,"Young",IF(Table14[[#This Row],[Age]]&gt;55,"Old",IF(Table14[[#This Row],[Age]]&gt;25,"Middle","Na")))</f>
        <v>Young</v>
      </c>
      <c r="H765" t="s">
        <v>16</v>
      </c>
      <c r="I765">
        <v>2</v>
      </c>
      <c r="J765">
        <v>25</v>
      </c>
      <c r="K765">
        <v>50</v>
      </c>
      <c r="N765" s="11" t="s">
        <v>546</v>
      </c>
      <c r="O765" s="11" t="s">
        <v>16</v>
      </c>
      <c r="P765" s="11">
        <f>K763/J763</f>
        <v>1</v>
      </c>
      <c r="Q765" s="11">
        <v>1500</v>
      </c>
      <c r="R765" s="11">
        <v>1500</v>
      </c>
    </row>
    <row r="766" spans="2:18" x14ac:dyDescent="0.35">
      <c r="B766">
        <v>763</v>
      </c>
      <c r="C766" s="1">
        <v>44985</v>
      </c>
      <c r="D766" t="s">
        <v>776</v>
      </c>
      <c r="E766" t="s">
        <v>10</v>
      </c>
      <c r="F766">
        <v>34</v>
      </c>
      <c r="G766" t="str">
        <f>IF(Table14[[#This Row],[Age]]&lt;=25,"Young",IF(Table14[[#This Row],[Age]]&gt;55,"Old",IF(Table14[[#This Row],[Age]]&gt;25,"Middle","Na")))</f>
        <v>Middle</v>
      </c>
      <c r="H766" t="s">
        <v>14</v>
      </c>
      <c r="I766">
        <v>2</v>
      </c>
      <c r="J766">
        <v>25</v>
      </c>
      <c r="K766">
        <v>50</v>
      </c>
      <c r="N766" s="11" t="s">
        <v>182</v>
      </c>
      <c r="O766" s="11" t="s">
        <v>11</v>
      </c>
      <c r="P766" s="11">
        <f>K764/J764</f>
        <v>1</v>
      </c>
      <c r="Q766" s="11">
        <v>1500</v>
      </c>
      <c r="R766" s="11">
        <v>1500</v>
      </c>
    </row>
    <row r="767" spans="2:18" x14ac:dyDescent="0.35">
      <c r="B767">
        <v>764</v>
      </c>
      <c r="C767" s="1">
        <v>45010</v>
      </c>
      <c r="D767" t="s">
        <v>777</v>
      </c>
      <c r="E767" t="s">
        <v>13</v>
      </c>
      <c r="F767">
        <v>40</v>
      </c>
      <c r="G767" t="str">
        <f>IF(Table14[[#This Row],[Age]]&lt;=25,"Young",IF(Table14[[#This Row],[Age]]&gt;55,"Old",IF(Table14[[#This Row],[Age]]&gt;25,"Middle","Na")))</f>
        <v>Middle</v>
      </c>
      <c r="H767" t="s">
        <v>14</v>
      </c>
      <c r="I767">
        <v>1</v>
      </c>
      <c r="J767">
        <v>25</v>
      </c>
      <c r="K767">
        <v>25</v>
      </c>
      <c r="N767" s="11" t="s">
        <v>124</v>
      </c>
      <c r="O767" s="11" t="s">
        <v>16</v>
      </c>
      <c r="P767" s="11">
        <f>K765/J765</f>
        <v>2</v>
      </c>
      <c r="Q767" s="11">
        <v>1500</v>
      </c>
      <c r="R767" s="11">
        <v>1500</v>
      </c>
    </row>
    <row r="768" spans="2:18" x14ac:dyDescent="0.35">
      <c r="B768">
        <v>765</v>
      </c>
      <c r="C768" s="1">
        <v>45086</v>
      </c>
      <c r="D768" t="s">
        <v>778</v>
      </c>
      <c r="E768" t="s">
        <v>10</v>
      </c>
      <c r="F768">
        <v>43</v>
      </c>
      <c r="G768" t="str">
        <f>IF(Table14[[#This Row],[Age]]&lt;=25,"Young",IF(Table14[[#This Row],[Age]]&gt;55,"Old",IF(Table14[[#This Row],[Age]]&gt;25,"Middle","Na")))</f>
        <v>Middle</v>
      </c>
      <c r="H768" t="s">
        <v>14</v>
      </c>
      <c r="I768">
        <v>4</v>
      </c>
      <c r="J768">
        <v>50</v>
      </c>
      <c r="K768">
        <v>200</v>
      </c>
      <c r="N768" s="11" t="s">
        <v>882</v>
      </c>
      <c r="O768" s="11" t="s">
        <v>11</v>
      </c>
      <c r="P768" s="11">
        <f>K766/J766</f>
        <v>2</v>
      </c>
      <c r="Q768" s="11">
        <v>1500</v>
      </c>
      <c r="R768" s="11">
        <v>1500</v>
      </c>
    </row>
    <row r="769" spans="2:18" x14ac:dyDescent="0.35">
      <c r="B769">
        <v>766</v>
      </c>
      <c r="C769" s="1">
        <v>44982</v>
      </c>
      <c r="D769" t="s">
        <v>779</v>
      </c>
      <c r="E769" t="s">
        <v>10</v>
      </c>
      <c r="F769">
        <v>38</v>
      </c>
      <c r="G769" t="str">
        <f>IF(Table14[[#This Row],[Age]]&lt;=25,"Young",IF(Table14[[#This Row],[Age]]&gt;55,"Old",IF(Table14[[#This Row],[Age]]&gt;25,"Middle","Na")))</f>
        <v>Middle</v>
      </c>
      <c r="H769" t="s">
        <v>16</v>
      </c>
      <c r="I769">
        <v>3</v>
      </c>
      <c r="J769">
        <v>300</v>
      </c>
      <c r="K769">
        <v>900</v>
      </c>
      <c r="N769" s="11" t="s">
        <v>786</v>
      </c>
      <c r="O769" s="11" t="s">
        <v>16</v>
      </c>
      <c r="P769" s="11">
        <f>K767/J767</f>
        <v>1</v>
      </c>
      <c r="Q769" s="11">
        <v>2000</v>
      </c>
      <c r="R769" s="11">
        <v>2000</v>
      </c>
    </row>
    <row r="770" spans="2:18" x14ac:dyDescent="0.35">
      <c r="B770">
        <v>767</v>
      </c>
      <c r="C770" s="1">
        <v>45223</v>
      </c>
      <c r="D770" t="s">
        <v>780</v>
      </c>
      <c r="E770" t="s">
        <v>10</v>
      </c>
      <c r="F770">
        <v>39</v>
      </c>
      <c r="G770" t="str">
        <f>IF(Table14[[#This Row],[Age]]&lt;=25,"Young",IF(Table14[[#This Row],[Age]]&gt;55,"Old",IF(Table14[[#This Row],[Age]]&gt;25,"Middle","Na")))</f>
        <v>Middle</v>
      </c>
      <c r="H770" t="s">
        <v>11</v>
      </c>
      <c r="I770">
        <v>3</v>
      </c>
      <c r="J770">
        <v>25</v>
      </c>
      <c r="K770">
        <v>75</v>
      </c>
      <c r="N770" s="11" t="s">
        <v>282</v>
      </c>
      <c r="O770" s="11" t="s">
        <v>14</v>
      </c>
      <c r="P770" s="11">
        <f>K768/J768</f>
        <v>4</v>
      </c>
      <c r="Q770" s="11">
        <v>2000</v>
      </c>
      <c r="R770" s="11">
        <v>2000</v>
      </c>
    </row>
    <row r="771" spans="2:18" x14ac:dyDescent="0.35">
      <c r="B771">
        <v>768</v>
      </c>
      <c r="C771" s="1">
        <v>44940</v>
      </c>
      <c r="D771" t="s">
        <v>781</v>
      </c>
      <c r="E771" t="s">
        <v>13</v>
      </c>
      <c r="F771">
        <v>24</v>
      </c>
      <c r="G771" t="str">
        <f>IF(Table14[[#This Row],[Age]]&lt;=25,"Young",IF(Table14[[#This Row],[Age]]&gt;55,"Old",IF(Table14[[#This Row],[Age]]&gt;25,"Middle","Na")))</f>
        <v>Young</v>
      </c>
      <c r="H771" t="s">
        <v>11</v>
      </c>
      <c r="I771">
        <v>3</v>
      </c>
      <c r="J771">
        <v>25</v>
      </c>
      <c r="K771">
        <v>75</v>
      </c>
      <c r="N771" s="11" t="s">
        <v>85</v>
      </c>
      <c r="O771" s="11" t="s">
        <v>16</v>
      </c>
      <c r="P771" s="11">
        <f>K769/J769</f>
        <v>3</v>
      </c>
      <c r="Q771" s="11">
        <v>2000</v>
      </c>
      <c r="R771" s="11">
        <v>2000</v>
      </c>
    </row>
    <row r="772" spans="2:18" x14ac:dyDescent="0.35">
      <c r="B772">
        <v>769</v>
      </c>
      <c r="C772" s="1">
        <v>45086</v>
      </c>
      <c r="D772" t="s">
        <v>782</v>
      </c>
      <c r="E772" t="s">
        <v>13</v>
      </c>
      <c r="F772">
        <v>31</v>
      </c>
      <c r="G772" t="str">
        <f>IF(Table14[[#This Row],[Age]]&lt;=25,"Young",IF(Table14[[#This Row],[Age]]&gt;55,"Old",IF(Table14[[#This Row],[Age]]&gt;25,"Middle","Na")))</f>
        <v>Middle</v>
      </c>
      <c r="H772" t="s">
        <v>16</v>
      </c>
      <c r="I772">
        <v>4</v>
      </c>
      <c r="J772">
        <v>30</v>
      </c>
      <c r="K772">
        <v>120</v>
      </c>
      <c r="N772" s="11" t="s">
        <v>78</v>
      </c>
      <c r="O772" s="11" t="s">
        <v>16</v>
      </c>
      <c r="P772" s="11">
        <f>K770/J770</f>
        <v>3</v>
      </c>
      <c r="Q772" s="11">
        <v>2000</v>
      </c>
      <c r="R772" s="11">
        <v>2000</v>
      </c>
    </row>
    <row r="773" spans="2:18" x14ac:dyDescent="0.35">
      <c r="B773">
        <v>770</v>
      </c>
      <c r="C773" s="1">
        <v>45221</v>
      </c>
      <c r="D773" t="s">
        <v>783</v>
      </c>
      <c r="E773" t="s">
        <v>10</v>
      </c>
      <c r="F773">
        <v>32</v>
      </c>
      <c r="G773" t="str">
        <f>IF(Table14[[#This Row],[Age]]&lt;=25,"Young",IF(Table14[[#This Row],[Age]]&gt;55,"Old",IF(Table14[[#This Row],[Age]]&gt;25,"Middle","Na")))</f>
        <v>Middle</v>
      </c>
      <c r="H773" t="s">
        <v>14</v>
      </c>
      <c r="I773">
        <v>1</v>
      </c>
      <c r="J773">
        <v>50</v>
      </c>
      <c r="K773">
        <v>50</v>
      </c>
      <c r="N773" s="11" t="s">
        <v>206</v>
      </c>
      <c r="O773" s="11" t="s">
        <v>11</v>
      </c>
      <c r="P773" s="11">
        <f>K771/J771</f>
        <v>3</v>
      </c>
      <c r="Q773" s="11">
        <v>1500</v>
      </c>
      <c r="R773" s="11">
        <v>1500</v>
      </c>
    </row>
    <row r="774" spans="2:18" x14ac:dyDescent="0.35">
      <c r="B774">
        <v>771</v>
      </c>
      <c r="C774" s="1">
        <v>45273</v>
      </c>
      <c r="D774" t="s">
        <v>784</v>
      </c>
      <c r="E774" t="s">
        <v>10</v>
      </c>
      <c r="F774">
        <v>24</v>
      </c>
      <c r="G774" t="str">
        <f>IF(Table14[[#This Row],[Age]]&lt;=25,"Young",IF(Table14[[#This Row],[Age]]&gt;55,"Old",IF(Table14[[#This Row],[Age]]&gt;25,"Middle","Na")))</f>
        <v>Young</v>
      </c>
      <c r="H774" t="s">
        <v>16</v>
      </c>
      <c r="I774">
        <v>2</v>
      </c>
      <c r="J774">
        <v>25</v>
      </c>
      <c r="K774">
        <v>50</v>
      </c>
      <c r="N774" s="11" t="s">
        <v>67</v>
      </c>
      <c r="O774" s="11" t="s">
        <v>16</v>
      </c>
      <c r="P774" s="11">
        <f>K772/J772</f>
        <v>4</v>
      </c>
      <c r="Q774" s="11">
        <v>1500</v>
      </c>
      <c r="R774" s="11">
        <v>1500</v>
      </c>
    </row>
    <row r="775" spans="2:18" x14ac:dyDescent="0.35">
      <c r="B775">
        <v>772</v>
      </c>
      <c r="C775" s="1">
        <v>45119</v>
      </c>
      <c r="D775" t="s">
        <v>785</v>
      </c>
      <c r="E775" t="s">
        <v>10</v>
      </c>
      <c r="F775">
        <v>26</v>
      </c>
      <c r="G775" t="str">
        <f>IF(Table14[[#This Row],[Age]]&lt;=25,"Young",IF(Table14[[#This Row],[Age]]&gt;55,"Old",IF(Table14[[#This Row],[Age]]&gt;25,"Middle","Na")))</f>
        <v>Middle</v>
      </c>
      <c r="H775" t="s">
        <v>16</v>
      </c>
      <c r="I775">
        <v>1</v>
      </c>
      <c r="J775">
        <v>30</v>
      </c>
      <c r="K775">
        <v>30</v>
      </c>
      <c r="N775" s="11" t="s">
        <v>723</v>
      </c>
      <c r="O775" s="11" t="s">
        <v>16</v>
      </c>
      <c r="P775" s="11">
        <f>K773/J773</f>
        <v>1</v>
      </c>
      <c r="Q775" s="11">
        <v>1500</v>
      </c>
      <c r="R775" s="11">
        <v>1500</v>
      </c>
    </row>
    <row r="776" spans="2:18" x14ac:dyDescent="0.35">
      <c r="B776">
        <v>773</v>
      </c>
      <c r="C776" s="1">
        <v>45130</v>
      </c>
      <c r="D776" t="s">
        <v>786</v>
      </c>
      <c r="E776" t="s">
        <v>10</v>
      </c>
      <c r="F776">
        <v>25</v>
      </c>
      <c r="G776" t="str">
        <f>IF(Table14[[#This Row],[Age]]&lt;=25,"Young",IF(Table14[[#This Row],[Age]]&gt;55,"Old",IF(Table14[[#This Row],[Age]]&gt;25,"Middle","Na")))</f>
        <v>Young</v>
      </c>
      <c r="H776" t="s">
        <v>16</v>
      </c>
      <c r="I776">
        <v>4</v>
      </c>
      <c r="J776">
        <v>500</v>
      </c>
      <c r="K776">
        <v>2000</v>
      </c>
      <c r="N776" s="11" t="s">
        <v>44</v>
      </c>
      <c r="O776" s="11" t="s">
        <v>16</v>
      </c>
      <c r="P776" s="11">
        <f>K774/J774</f>
        <v>2</v>
      </c>
      <c r="Q776" s="11">
        <v>1200</v>
      </c>
      <c r="R776" s="11">
        <v>1200</v>
      </c>
    </row>
    <row r="777" spans="2:18" x14ac:dyDescent="0.35">
      <c r="B777">
        <v>774</v>
      </c>
      <c r="C777" s="1">
        <v>45028</v>
      </c>
      <c r="D777" t="s">
        <v>787</v>
      </c>
      <c r="E777" t="s">
        <v>13</v>
      </c>
      <c r="F777">
        <v>40</v>
      </c>
      <c r="G777" t="str">
        <f>IF(Table14[[#This Row],[Age]]&lt;=25,"Young",IF(Table14[[#This Row],[Age]]&gt;55,"Old",IF(Table14[[#This Row],[Age]]&gt;25,"Middle","Na")))</f>
        <v>Middle</v>
      </c>
      <c r="H777" t="s">
        <v>14</v>
      </c>
      <c r="I777">
        <v>2</v>
      </c>
      <c r="J777">
        <v>25</v>
      </c>
      <c r="K777">
        <v>50</v>
      </c>
      <c r="N777" s="11" t="s">
        <v>80</v>
      </c>
      <c r="O777" s="11" t="s">
        <v>11</v>
      </c>
      <c r="P777" s="11">
        <f>K775/J775</f>
        <v>1</v>
      </c>
      <c r="Q777" s="11">
        <v>1200</v>
      </c>
      <c r="R777" s="11">
        <v>1200</v>
      </c>
    </row>
    <row r="778" spans="2:18" x14ac:dyDescent="0.35">
      <c r="B778">
        <v>775</v>
      </c>
      <c r="C778" s="1">
        <v>44965</v>
      </c>
      <c r="D778" t="s">
        <v>788</v>
      </c>
      <c r="E778" t="s">
        <v>13</v>
      </c>
      <c r="F778">
        <v>46</v>
      </c>
      <c r="G778" t="str">
        <f>IF(Table14[[#This Row],[Age]]&lt;=25,"Young",IF(Table14[[#This Row],[Age]]&gt;55,"Old",IF(Table14[[#This Row],[Age]]&gt;25,"Middle","Na")))</f>
        <v>Middle</v>
      </c>
      <c r="H778" t="s">
        <v>16</v>
      </c>
      <c r="I778">
        <v>4</v>
      </c>
      <c r="J778">
        <v>25</v>
      </c>
      <c r="K778">
        <v>100</v>
      </c>
      <c r="N778" s="11" t="s">
        <v>120</v>
      </c>
      <c r="O778" s="11" t="s">
        <v>14</v>
      </c>
      <c r="P778" s="11">
        <f>K776/J776</f>
        <v>4</v>
      </c>
      <c r="Q778" s="11">
        <v>1200</v>
      </c>
      <c r="R778" s="11">
        <v>1200</v>
      </c>
    </row>
    <row r="779" spans="2:18" x14ac:dyDescent="0.35">
      <c r="B779">
        <v>776</v>
      </c>
      <c r="C779" s="1">
        <v>45230</v>
      </c>
      <c r="D779" t="s">
        <v>789</v>
      </c>
      <c r="E779" t="s">
        <v>10</v>
      </c>
      <c r="F779">
        <v>35</v>
      </c>
      <c r="G779" t="str">
        <f>IF(Table14[[#This Row],[Age]]&lt;=25,"Young",IF(Table14[[#This Row],[Age]]&gt;55,"Old",IF(Table14[[#This Row],[Age]]&gt;25,"Middle","Na")))</f>
        <v>Middle</v>
      </c>
      <c r="H779" t="s">
        <v>14</v>
      </c>
      <c r="I779">
        <v>3</v>
      </c>
      <c r="J779">
        <v>30</v>
      </c>
      <c r="K779">
        <v>90</v>
      </c>
      <c r="N779" s="11" t="s">
        <v>155</v>
      </c>
      <c r="O779" s="11" t="s">
        <v>16</v>
      </c>
      <c r="P779" s="11">
        <f>K777/J777</f>
        <v>2</v>
      </c>
      <c r="Q779" s="11">
        <v>1200</v>
      </c>
      <c r="R779" s="11">
        <v>1200</v>
      </c>
    </row>
    <row r="780" spans="2:18" x14ac:dyDescent="0.35">
      <c r="B780">
        <v>777</v>
      </c>
      <c r="C780" s="1">
        <v>45280</v>
      </c>
      <c r="D780" t="s">
        <v>790</v>
      </c>
      <c r="E780" t="s">
        <v>10</v>
      </c>
      <c r="F780">
        <v>48</v>
      </c>
      <c r="G780" t="str">
        <f>IF(Table14[[#This Row],[Age]]&lt;=25,"Young",IF(Table14[[#This Row],[Age]]&gt;55,"Old",IF(Table14[[#This Row],[Age]]&gt;25,"Middle","Na")))</f>
        <v>Middle</v>
      </c>
      <c r="H780" t="s">
        <v>16</v>
      </c>
      <c r="I780">
        <v>3</v>
      </c>
      <c r="J780">
        <v>50</v>
      </c>
      <c r="K780">
        <v>150</v>
      </c>
      <c r="N780" s="11" t="s">
        <v>346</v>
      </c>
      <c r="O780" s="11" t="s">
        <v>16</v>
      </c>
      <c r="P780" s="11">
        <f>K778/J778</f>
        <v>4</v>
      </c>
      <c r="Q780" s="11">
        <v>1200</v>
      </c>
      <c r="R780" s="11">
        <v>1200</v>
      </c>
    </row>
    <row r="781" spans="2:18" x14ac:dyDescent="0.35">
      <c r="B781">
        <v>778</v>
      </c>
      <c r="C781" s="1">
        <v>45248</v>
      </c>
      <c r="D781" t="s">
        <v>791</v>
      </c>
      <c r="E781" t="s">
        <v>13</v>
      </c>
      <c r="F781">
        <v>47</v>
      </c>
      <c r="G781" t="str">
        <f>IF(Table14[[#This Row],[Age]]&lt;=25,"Young",IF(Table14[[#This Row],[Age]]&gt;55,"Old",IF(Table14[[#This Row],[Age]]&gt;25,"Middle","Na")))</f>
        <v>Middle</v>
      </c>
      <c r="H781" t="s">
        <v>11</v>
      </c>
      <c r="I781">
        <v>4</v>
      </c>
      <c r="J781">
        <v>25</v>
      </c>
      <c r="K781">
        <v>100</v>
      </c>
      <c r="N781" s="11" t="s">
        <v>418</v>
      </c>
      <c r="O781" s="11" t="s">
        <v>14</v>
      </c>
      <c r="P781" s="11">
        <f>K779/J779</f>
        <v>3</v>
      </c>
      <c r="Q781" s="11">
        <v>1200</v>
      </c>
      <c r="R781" s="11">
        <v>1200</v>
      </c>
    </row>
    <row r="782" spans="2:18" x14ac:dyDescent="0.35">
      <c r="B782">
        <v>779</v>
      </c>
      <c r="C782" s="1">
        <v>45051</v>
      </c>
      <c r="D782" t="s">
        <v>792</v>
      </c>
      <c r="E782" t="s">
        <v>13</v>
      </c>
      <c r="F782">
        <v>56</v>
      </c>
      <c r="G782" t="str">
        <f>IF(Table14[[#This Row],[Age]]&lt;=25,"Young",IF(Table14[[#This Row],[Age]]&gt;55,"Old",IF(Table14[[#This Row],[Age]]&gt;25,"Middle","Na")))</f>
        <v>Old</v>
      </c>
      <c r="H782" t="s">
        <v>16</v>
      </c>
      <c r="I782">
        <v>2</v>
      </c>
      <c r="J782">
        <v>500</v>
      </c>
      <c r="K782">
        <v>1000</v>
      </c>
      <c r="N782" s="11" t="s">
        <v>494</v>
      </c>
      <c r="O782" s="11" t="s">
        <v>16</v>
      </c>
      <c r="P782" s="11">
        <f>K780/J780</f>
        <v>3</v>
      </c>
      <c r="Q782" s="11">
        <v>1200</v>
      </c>
      <c r="R782" s="11">
        <v>1200</v>
      </c>
    </row>
    <row r="783" spans="2:18" x14ac:dyDescent="0.35">
      <c r="B783">
        <v>780</v>
      </c>
      <c r="C783" s="1">
        <v>44979</v>
      </c>
      <c r="D783" t="s">
        <v>793</v>
      </c>
      <c r="E783" t="s">
        <v>10</v>
      </c>
      <c r="F783">
        <v>52</v>
      </c>
      <c r="G783" t="str">
        <f>IF(Table14[[#This Row],[Age]]&lt;=25,"Young",IF(Table14[[#This Row],[Age]]&gt;55,"Old",IF(Table14[[#This Row],[Age]]&gt;25,"Middle","Na")))</f>
        <v>Middle</v>
      </c>
      <c r="H783" t="s">
        <v>16</v>
      </c>
      <c r="I783">
        <v>2</v>
      </c>
      <c r="J783">
        <v>25</v>
      </c>
      <c r="K783">
        <v>50</v>
      </c>
      <c r="N783" s="11" t="s">
        <v>497</v>
      </c>
      <c r="O783" s="11" t="s">
        <v>14</v>
      </c>
      <c r="P783" s="11">
        <f>K781/J781</f>
        <v>4</v>
      </c>
      <c r="Q783" s="11">
        <v>1200</v>
      </c>
      <c r="R783" s="11">
        <v>1200</v>
      </c>
    </row>
    <row r="784" spans="2:18" x14ac:dyDescent="0.35">
      <c r="B784">
        <v>781</v>
      </c>
      <c r="C784" s="1">
        <v>45283</v>
      </c>
      <c r="D784" t="s">
        <v>794</v>
      </c>
      <c r="E784" t="s">
        <v>10</v>
      </c>
      <c r="F784">
        <v>35</v>
      </c>
      <c r="G784" t="str">
        <f>IF(Table14[[#This Row],[Age]]&lt;=25,"Young",IF(Table14[[#This Row],[Age]]&gt;55,"Old",IF(Table14[[#This Row],[Age]]&gt;25,"Middle","Na")))</f>
        <v>Middle</v>
      </c>
      <c r="H784" t="s">
        <v>11</v>
      </c>
      <c r="I784">
        <v>1</v>
      </c>
      <c r="J784">
        <v>500</v>
      </c>
      <c r="K784">
        <v>500</v>
      </c>
      <c r="N784" s="11" t="s">
        <v>600</v>
      </c>
      <c r="O784" s="11" t="s">
        <v>11</v>
      </c>
      <c r="P784" s="11">
        <f>K782/J782</f>
        <v>2</v>
      </c>
      <c r="Q784" s="11">
        <v>1200</v>
      </c>
      <c r="R784" s="11">
        <v>1200</v>
      </c>
    </row>
    <row r="785" spans="2:18" x14ac:dyDescent="0.35">
      <c r="B785">
        <v>782</v>
      </c>
      <c r="C785" s="1">
        <v>45081</v>
      </c>
      <c r="D785" t="s">
        <v>795</v>
      </c>
      <c r="E785" t="s">
        <v>10</v>
      </c>
      <c r="F785">
        <v>59</v>
      </c>
      <c r="G785" t="str">
        <f>IF(Table14[[#This Row],[Age]]&lt;=25,"Young",IF(Table14[[#This Row],[Age]]&gt;55,"Old",IF(Table14[[#This Row],[Age]]&gt;25,"Middle","Na")))</f>
        <v>Old</v>
      </c>
      <c r="H785" t="s">
        <v>14</v>
      </c>
      <c r="I785">
        <v>3</v>
      </c>
      <c r="J785">
        <v>300</v>
      </c>
      <c r="K785">
        <v>900</v>
      </c>
      <c r="N785" s="11" t="s">
        <v>695</v>
      </c>
      <c r="O785" s="11" t="s">
        <v>11</v>
      </c>
      <c r="P785" s="11">
        <f>K783/J783</f>
        <v>2</v>
      </c>
      <c r="Q785" s="11">
        <v>1200</v>
      </c>
      <c r="R785" s="11">
        <v>1200</v>
      </c>
    </row>
    <row r="786" spans="2:18" x14ac:dyDescent="0.35">
      <c r="B786">
        <v>783</v>
      </c>
      <c r="C786" s="1">
        <v>45277</v>
      </c>
      <c r="D786" t="s">
        <v>796</v>
      </c>
      <c r="E786" t="s">
        <v>13</v>
      </c>
      <c r="F786">
        <v>56</v>
      </c>
      <c r="G786" t="str">
        <f>IF(Table14[[#This Row],[Age]]&lt;=25,"Young",IF(Table14[[#This Row],[Age]]&gt;55,"Old",IF(Table14[[#This Row],[Age]]&gt;25,"Middle","Na")))</f>
        <v>Old</v>
      </c>
      <c r="H786" t="s">
        <v>14</v>
      </c>
      <c r="I786">
        <v>1</v>
      </c>
      <c r="J786">
        <v>300</v>
      </c>
      <c r="K786">
        <v>300</v>
      </c>
      <c r="N786" s="11" t="s">
        <v>729</v>
      </c>
      <c r="O786" s="11" t="s">
        <v>14</v>
      </c>
      <c r="P786" s="11">
        <f>K784/J784</f>
        <v>1</v>
      </c>
      <c r="Q786" s="11">
        <v>1200</v>
      </c>
      <c r="R786" s="11">
        <v>1200</v>
      </c>
    </row>
    <row r="787" spans="2:18" x14ac:dyDescent="0.35">
      <c r="B787">
        <v>784</v>
      </c>
      <c r="C787" s="1">
        <v>45234</v>
      </c>
      <c r="D787" t="s">
        <v>797</v>
      </c>
      <c r="E787" t="s">
        <v>13</v>
      </c>
      <c r="F787">
        <v>34</v>
      </c>
      <c r="G787" t="str">
        <f>IF(Table14[[#This Row],[Age]]&lt;=25,"Young",IF(Table14[[#This Row],[Age]]&gt;55,"Old",IF(Table14[[#This Row],[Age]]&gt;25,"Middle","Na")))</f>
        <v>Middle</v>
      </c>
      <c r="H787" t="s">
        <v>16</v>
      </c>
      <c r="I787">
        <v>1</v>
      </c>
      <c r="J787">
        <v>500</v>
      </c>
      <c r="K787">
        <v>500</v>
      </c>
      <c r="N787" s="11" t="s">
        <v>742</v>
      </c>
      <c r="O787" s="11" t="s">
        <v>14</v>
      </c>
      <c r="P787" s="11">
        <f>K785/J785</f>
        <v>3</v>
      </c>
      <c r="Q787" s="11">
        <v>1200</v>
      </c>
      <c r="R787" s="11">
        <v>1200</v>
      </c>
    </row>
    <row r="788" spans="2:18" x14ac:dyDescent="0.35">
      <c r="B788">
        <v>785</v>
      </c>
      <c r="C788" s="1">
        <v>44988</v>
      </c>
      <c r="D788" t="s">
        <v>798</v>
      </c>
      <c r="E788" t="s">
        <v>13</v>
      </c>
      <c r="F788">
        <v>31</v>
      </c>
      <c r="G788" t="str">
        <f>IF(Table14[[#This Row],[Age]]&lt;=25,"Young",IF(Table14[[#This Row],[Age]]&gt;55,"Old",IF(Table14[[#This Row],[Age]]&gt;25,"Middle","Na")))</f>
        <v>Middle</v>
      </c>
      <c r="H788" t="s">
        <v>11</v>
      </c>
      <c r="I788">
        <v>4</v>
      </c>
      <c r="J788">
        <v>50</v>
      </c>
      <c r="K788">
        <v>200</v>
      </c>
      <c r="N788" s="11" t="s">
        <v>841</v>
      </c>
      <c r="O788" s="11" t="s">
        <v>16</v>
      </c>
      <c r="P788" s="11">
        <f>K786/J786</f>
        <v>1</v>
      </c>
      <c r="Q788" s="11">
        <v>1200</v>
      </c>
      <c r="R788" s="11">
        <v>1200</v>
      </c>
    </row>
    <row r="789" spans="2:18" x14ac:dyDescent="0.35">
      <c r="B789">
        <v>786</v>
      </c>
      <c r="C789" s="1">
        <v>45216</v>
      </c>
      <c r="D789" t="s">
        <v>799</v>
      </c>
      <c r="E789" t="s">
        <v>10</v>
      </c>
      <c r="F789">
        <v>48</v>
      </c>
      <c r="G789" t="str">
        <f>IF(Table14[[#This Row],[Age]]&lt;=25,"Young",IF(Table14[[#This Row],[Age]]&gt;55,"Old",IF(Table14[[#This Row],[Age]]&gt;25,"Middle","Na")))</f>
        <v>Middle</v>
      </c>
      <c r="H789" t="s">
        <v>14</v>
      </c>
      <c r="I789">
        <v>4</v>
      </c>
      <c r="J789">
        <v>25</v>
      </c>
      <c r="K789">
        <v>100</v>
      </c>
      <c r="N789" s="11" t="s">
        <v>921</v>
      </c>
      <c r="O789" s="11" t="s">
        <v>11</v>
      </c>
      <c r="P789" s="11">
        <f>K787/J787</f>
        <v>1</v>
      </c>
      <c r="Q789" s="11">
        <v>1200</v>
      </c>
      <c r="R789" s="11">
        <v>1200</v>
      </c>
    </row>
    <row r="790" spans="2:18" x14ac:dyDescent="0.35">
      <c r="B790">
        <v>787</v>
      </c>
      <c r="C790" s="1">
        <v>44948</v>
      </c>
      <c r="D790" t="s">
        <v>800</v>
      </c>
      <c r="E790" t="s">
        <v>10</v>
      </c>
      <c r="F790">
        <v>41</v>
      </c>
      <c r="G790" t="str">
        <f>IF(Table14[[#This Row],[Age]]&lt;=25,"Young",IF(Table14[[#This Row],[Age]]&gt;55,"Old",IF(Table14[[#This Row],[Age]]&gt;25,"Middle","Na")))</f>
        <v>Middle</v>
      </c>
      <c r="H790" t="s">
        <v>16</v>
      </c>
      <c r="I790">
        <v>1</v>
      </c>
      <c r="J790">
        <v>25</v>
      </c>
      <c r="K790">
        <v>25</v>
      </c>
      <c r="N790" s="11" t="s">
        <v>287</v>
      </c>
      <c r="O790" s="11" t="s">
        <v>14</v>
      </c>
      <c r="P790" s="11">
        <f>K788/J788</f>
        <v>4</v>
      </c>
      <c r="Q790" s="11">
        <v>1000</v>
      </c>
      <c r="R790" s="11">
        <v>1000</v>
      </c>
    </row>
    <row r="791" spans="2:18" x14ac:dyDescent="0.35">
      <c r="B791">
        <v>788</v>
      </c>
      <c r="C791" s="1">
        <v>45104</v>
      </c>
      <c r="D791" t="s">
        <v>801</v>
      </c>
      <c r="E791" t="s">
        <v>13</v>
      </c>
      <c r="F791">
        <v>52</v>
      </c>
      <c r="G791" t="str">
        <f>IF(Table14[[#This Row],[Age]]&lt;=25,"Young",IF(Table14[[#This Row],[Age]]&gt;55,"Old",IF(Table14[[#This Row],[Age]]&gt;25,"Middle","Na")))</f>
        <v>Middle</v>
      </c>
      <c r="H791" t="s">
        <v>11</v>
      </c>
      <c r="I791">
        <v>3</v>
      </c>
      <c r="J791">
        <v>300</v>
      </c>
      <c r="K791">
        <v>900</v>
      </c>
      <c r="N791" s="11" t="s">
        <v>395</v>
      </c>
      <c r="O791" s="11" t="s">
        <v>14</v>
      </c>
      <c r="P791" s="11">
        <f>K789/J789</f>
        <v>4</v>
      </c>
      <c r="Q791" s="11">
        <v>1000</v>
      </c>
      <c r="R791" s="11">
        <v>1000</v>
      </c>
    </row>
    <row r="792" spans="2:18" x14ac:dyDescent="0.35">
      <c r="B792">
        <v>789</v>
      </c>
      <c r="C792" s="1">
        <v>45199</v>
      </c>
      <c r="D792" t="s">
        <v>802</v>
      </c>
      <c r="E792" t="s">
        <v>13</v>
      </c>
      <c r="F792">
        <v>61</v>
      </c>
      <c r="G792" t="str">
        <f>IF(Table14[[#This Row],[Age]]&lt;=25,"Young",IF(Table14[[#This Row],[Age]]&gt;55,"Old",IF(Table14[[#This Row],[Age]]&gt;25,"Middle","Na")))</f>
        <v>Old</v>
      </c>
      <c r="H792" t="s">
        <v>14</v>
      </c>
      <c r="I792">
        <v>4</v>
      </c>
      <c r="J792">
        <v>500</v>
      </c>
      <c r="K792">
        <v>2000</v>
      </c>
      <c r="N792" s="11" t="s">
        <v>445</v>
      </c>
      <c r="O792" s="11" t="s">
        <v>16</v>
      </c>
      <c r="P792" s="11">
        <f>K790/J790</f>
        <v>1</v>
      </c>
      <c r="Q792" s="11">
        <v>1000</v>
      </c>
      <c r="R792" s="11">
        <v>1000</v>
      </c>
    </row>
    <row r="793" spans="2:18" x14ac:dyDescent="0.35">
      <c r="B793">
        <v>790</v>
      </c>
      <c r="C793" s="1">
        <v>45146</v>
      </c>
      <c r="D793" t="s">
        <v>803</v>
      </c>
      <c r="E793" t="s">
        <v>10</v>
      </c>
      <c r="F793">
        <v>62</v>
      </c>
      <c r="G793" t="str">
        <f>IF(Table14[[#This Row],[Age]]&lt;=25,"Young",IF(Table14[[#This Row],[Age]]&gt;55,"Old",IF(Table14[[#This Row],[Age]]&gt;25,"Middle","Na")))</f>
        <v>Old</v>
      </c>
      <c r="H793" t="s">
        <v>14</v>
      </c>
      <c r="I793">
        <v>1</v>
      </c>
      <c r="J793">
        <v>25</v>
      </c>
      <c r="K793">
        <v>25</v>
      </c>
      <c r="N793" s="11" t="s">
        <v>613</v>
      </c>
      <c r="O793" s="11" t="s">
        <v>11</v>
      </c>
      <c r="P793" s="11">
        <f>K791/J791</f>
        <v>3</v>
      </c>
      <c r="Q793" s="11">
        <v>1000</v>
      </c>
      <c r="R793" s="11">
        <v>1000</v>
      </c>
    </row>
    <row r="794" spans="2:18" x14ac:dyDescent="0.35">
      <c r="B794">
        <v>791</v>
      </c>
      <c r="C794" s="1">
        <v>45265</v>
      </c>
      <c r="D794" t="s">
        <v>804</v>
      </c>
      <c r="E794" t="s">
        <v>13</v>
      </c>
      <c r="F794">
        <v>51</v>
      </c>
      <c r="G794" t="str">
        <f>IF(Table14[[#This Row],[Age]]&lt;=25,"Young",IF(Table14[[#This Row],[Age]]&gt;55,"Old",IF(Table14[[#This Row],[Age]]&gt;25,"Middle","Na")))</f>
        <v>Middle</v>
      </c>
      <c r="H794" t="s">
        <v>11</v>
      </c>
      <c r="I794">
        <v>1</v>
      </c>
      <c r="J794">
        <v>25</v>
      </c>
      <c r="K794">
        <v>25</v>
      </c>
      <c r="N794" s="11" t="s">
        <v>675</v>
      </c>
      <c r="O794" s="11" t="s">
        <v>11</v>
      </c>
      <c r="P794" s="11">
        <f>K792/J792</f>
        <v>4</v>
      </c>
      <c r="Q794" s="11">
        <v>1000</v>
      </c>
      <c r="R794" s="11">
        <v>1000</v>
      </c>
    </row>
    <row r="795" spans="2:18" x14ac:dyDescent="0.35">
      <c r="B795">
        <v>792</v>
      </c>
      <c r="C795" s="1">
        <v>45116</v>
      </c>
      <c r="D795" t="s">
        <v>805</v>
      </c>
      <c r="E795" t="s">
        <v>13</v>
      </c>
      <c r="F795">
        <v>20</v>
      </c>
      <c r="G795" t="str">
        <f>IF(Table14[[#This Row],[Age]]&lt;=25,"Young",IF(Table14[[#This Row],[Age]]&gt;55,"Old",IF(Table14[[#This Row],[Age]]&gt;25,"Middle","Na")))</f>
        <v>Young</v>
      </c>
      <c r="H795" t="s">
        <v>11</v>
      </c>
      <c r="I795">
        <v>1</v>
      </c>
      <c r="J795">
        <v>50</v>
      </c>
      <c r="K795">
        <v>50</v>
      </c>
      <c r="N795" s="11" t="s">
        <v>697</v>
      </c>
      <c r="O795" s="11" t="s">
        <v>14</v>
      </c>
      <c r="P795" s="11">
        <f>K793/J793</f>
        <v>1</v>
      </c>
      <c r="Q795" s="11">
        <v>1000</v>
      </c>
      <c r="R795" s="11">
        <v>1000</v>
      </c>
    </row>
    <row r="796" spans="2:18" x14ac:dyDescent="0.35">
      <c r="B796">
        <v>793</v>
      </c>
      <c r="C796" s="1">
        <v>44962</v>
      </c>
      <c r="D796" t="s">
        <v>806</v>
      </c>
      <c r="E796" t="s">
        <v>10</v>
      </c>
      <c r="F796">
        <v>54</v>
      </c>
      <c r="G796" t="str">
        <f>IF(Table14[[#This Row],[Age]]&lt;=25,"Young",IF(Table14[[#This Row],[Age]]&gt;55,"Old",IF(Table14[[#This Row],[Age]]&gt;25,"Middle","Na")))</f>
        <v>Middle</v>
      </c>
      <c r="H796" t="s">
        <v>11</v>
      </c>
      <c r="I796">
        <v>1</v>
      </c>
      <c r="J796">
        <v>30</v>
      </c>
      <c r="K796">
        <v>30</v>
      </c>
      <c r="N796" s="11" t="s">
        <v>829</v>
      </c>
      <c r="O796" s="11" t="s">
        <v>11</v>
      </c>
      <c r="P796" s="11">
        <f>K794/J794</f>
        <v>1</v>
      </c>
      <c r="Q796" s="11">
        <v>1000</v>
      </c>
      <c r="R796" s="11">
        <v>1000</v>
      </c>
    </row>
    <row r="797" spans="2:18" x14ac:dyDescent="0.35">
      <c r="B797">
        <v>794</v>
      </c>
      <c r="C797" s="1">
        <v>45186</v>
      </c>
      <c r="D797" t="s">
        <v>807</v>
      </c>
      <c r="E797" t="s">
        <v>13</v>
      </c>
      <c r="F797">
        <v>60</v>
      </c>
      <c r="G797" t="str">
        <f>IF(Table14[[#This Row],[Age]]&lt;=25,"Young",IF(Table14[[#This Row],[Age]]&gt;55,"Old",IF(Table14[[#This Row],[Age]]&gt;25,"Middle","Na")))</f>
        <v>Old</v>
      </c>
      <c r="H797" t="s">
        <v>11</v>
      </c>
      <c r="I797">
        <v>1</v>
      </c>
      <c r="J797">
        <v>300</v>
      </c>
      <c r="K797">
        <v>300</v>
      </c>
      <c r="N797" s="11" t="s">
        <v>1003</v>
      </c>
      <c r="O797" s="11" t="s">
        <v>11</v>
      </c>
      <c r="P797" s="11">
        <f>K795/J795</f>
        <v>1</v>
      </c>
      <c r="Q797" s="11">
        <v>1000</v>
      </c>
      <c r="R797" s="11">
        <v>1000</v>
      </c>
    </row>
    <row r="798" spans="2:18" x14ac:dyDescent="0.35">
      <c r="B798">
        <v>795</v>
      </c>
      <c r="C798" s="1">
        <v>45258</v>
      </c>
      <c r="D798" t="s">
        <v>808</v>
      </c>
      <c r="E798" t="s">
        <v>10</v>
      </c>
      <c r="F798">
        <v>57</v>
      </c>
      <c r="G798" t="str">
        <f>IF(Table14[[#This Row],[Age]]&lt;=25,"Young",IF(Table14[[#This Row],[Age]]&gt;55,"Old",IF(Table14[[#This Row],[Age]]&gt;25,"Middle","Na")))</f>
        <v>Old</v>
      </c>
      <c r="H798" t="s">
        <v>16</v>
      </c>
      <c r="I798">
        <v>1</v>
      </c>
      <c r="J798">
        <v>300</v>
      </c>
      <c r="K798">
        <v>300</v>
      </c>
      <c r="N798" s="11" t="s">
        <v>43</v>
      </c>
      <c r="O798" s="11" t="s">
        <v>11</v>
      </c>
      <c r="P798" s="11">
        <f>K796/J796</f>
        <v>1</v>
      </c>
      <c r="Q798" s="11">
        <v>900</v>
      </c>
      <c r="R798" s="11">
        <v>900</v>
      </c>
    </row>
    <row r="799" spans="2:18" x14ac:dyDescent="0.35">
      <c r="B799">
        <v>796</v>
      </c>
      <c r="C799" s="1">
        <v>45101</v>
      </c>
      <c r="D799" t="s">
        <v>809</v>
      </c>
      <c r="E799" t="s">
        <v>10</v>
      </c>
      <c r="F799">
        <v>43</v>
      </c>
      <c r="G799" t="str">
        <f>IF(Table14[[#This Row],[Age]]&lt;=25,"Young",IF(Table14[[#This Row],[Age]]&gt;55,"Old",IF(Table14[[#This Row],[Age]]&gt;25,"Middle","Na")))</f>
        <v>Middle</v>
      </c>
      <c r="H799" t="s">
        <v>11</v>
      </c>
      <c r="I799">
        <v>4</v>
      </c>
      <c r="J799">
        <v>30</v>
      </c>
      <c r="K799">
        <v>120</v>
      </c>
      <c r="N799" s="11" t="s">
        <v>48</v>
      </c>
      <c r="O799" s="11" t="s">
        <v>11</v>
      </c>
      <c r="P799" s="11">
        <f>K797/J797</f>
        <v>1</v>
      </c>
      <c r="Q799" s="11">
        <v>900</v>
      </c>
      <c r="R799" s="11">
        <v>900</v>
      </c>
    </row>
    <row r="800" spans="2:18" x14ac:dyDescent="0.35">
      <c r="B800">
        <v>797</v>
      </c>
      <c r="C800" s="1">
        <v>44933</v>
      </c>
      <c r="D800" t="s">
        <v>810</v>
      </c>
      <c r="E800" t="s">
        <v>10</v>
      </c>
      <c r="F800">
        <v>40</v>
      </c>
      <c r="G800" t="str">
        <f>IF(Table14[[#This Row],[Age]]&lt;=25,"Young",IF(Table14[[#This Row],[Age]]&gt;55,"Old",IF(Table14[[#This Row],[Age]]&gt;25,"Middle","Na")))</f>
        <v>Middle</v>
      </c>
      <c r="H800" t="s">
        <v>14</v>
      </c>
      <c r="I800">
        <v>3</v>
      </c>
      <c r="J800">
        <v>25</v>
      </c>
      <c r="K800">
        <v>75</v>
      </c>
      <c r="N800" s="11" t="s">
        <v>49</v>
      </c>
      <c r="O800" s="11" t="s">
        <v>11</v>
      </c>
      <c r="P800" s="11">
        <f>K798/J798</f>
        <v>1</v>
      </c>
      <c r="Q800" s="11">
        <v>900</v>
      </c>
      <c r="R800" s="11">
        <v>900</v>
      </c>
    </row>
    <row r="801" spans="2:18" x14ac:dyDescent="0.35">
      <c r="B801">
        <v>798</v>
      </c>
      <c r="C801" s="1">
        <v>45142</v>
      </c>
      <c r="D801" t="s">
        <v>811</v>
      </c>
      <c r="E801" t="s">
        <v>10</v>
      </c>
      <c r="F801">
        <v>61</v>
      </c>
      <c r="G801" t="str">
        <f>IF(Table14[[#This Row],[Age]]&lt;=25,"Young",IF(Table14[[#This Row],[Age]]&gt;55,"Old",IF(Table14[[#This Row],[Age]]&gt;25,"Middle","Na")))</f>
        <v>Old</v>
      </c>
      <c r="H801" t="s">
        <v>14</v>
      </c>
      <c r="I801">
        <v>1</v>
      </c>
      <c r="J801">
        <v>50</v>
      </c>
      <c r="K801">
        <v>50</v>
      </c>
      <c r="N801" s="11" t="s">
        <v>277</v>
      </c>
      <c r="O801" s="11" t="s">
        <v>14</v>
      </c>
      <c r="P801" s="11">
        <f>K799/J799</f>
        <v>4</v>
      </c>
      <c r="Q801" s="11">
        <v>900</v>
      </c>
      <c r="R801" s="11">
        <v>900</v>
      </c>
    </row>
    <row r="802" spans="2:18" x14ac:dyDescent="0.35">
      <c r="B802">
        <v>799</v>
      </c>
      <c r="C802" s="1">
        <v>45177</v>
      </c>
      <c r="D802" t="s">
        <v>812</v>
      </c>
      <c r="E802" t="s">
        <v>10</v>
      </c>
      <c r="F802">
        <v>56</v>
      </c>
      <c r="G802" t="str">
        <f>IF(Table14[[#This Row],[Age]]&lt;=25,"Young",IF(Table14[[#This Row],[Age]]&gt;55,"Old",IF(Table14[[#This Row],[Age]]&gt;25,"Middle","Na")))</f>
        <v>Old</v>
      </c>
      <c r="H802" t="s">
        <v>16</v>
      </c>
      <c r="I802">
        <v>2</v>
      </c>
      <c r="J802">
        <v>50</v>
      </c>
      <c r="K802">
        <v>100</v>
      </c>
      <c r="N802" s="11" t="s">
        <v>336</v>
      </c>
      <c r="O802" s="11" t="s">
        <v>11</v>
      </c>
      <c r="P802" s="11">
        <f>K800/J800</f>
        <v>3</v>
      </c>
      <c r="Q802" s="11">
        <v>900</v>
      </c>
      <c r="R802" s="11">
        <v>900</v>
      </c>
    </row>
    <row r="803" spans="2:18" x14ac:dyDescent="0.35">
      <c r="B803">
        <v>800</v>
      </c>
      <c r="C803" s="1">
        <v>44981</v>
      </c>
      <c r="D803" t="s">
        <v>813</v>
      </c>
      <c r="E803" t="s">
        <v>10</v>
      </c>
      <c r="F803">
        <v>32</v>
      </c>
      <c r="G803" t="str">
        <f>IF(Table14[[#This Row],[Age]]&lt;=25,"Young",IF(Table14[[#This Row],[Age]]&gt;55,"Old",IF(Table14[[#This Row],[Age]]&gt;25,"Middle","Na")))</f>
        <v>Middle</v>
      </c>
      <c r="H803" t="s">
        <v>14</v>
      </c>
      <c r="I803">
        <v>4</v>
      </c>
      <c r="J803">
        <v>300</v>
      </c>
      <c r="K803">
        <v>1200</v>
      </c>
      <c r="N803" s="11" t="s">
        <v>347</v>
      </c>
      <c r="O803" s="11" t="s">
        <v>16</v>
      </c>
      <c r="P803" s="11">
        <f>K801/J801</f>
        <v>1</v>
      </c>
      <c r="Q803" s="11">
        <v>900</v>
      </c>
      <c r="R803" s="11">
        <v>900</v>
      </c>
    </row>
    <row r="804" spans="2:18" x14ac:dyDescent="0.35">
      <c r="B804">
        <v>801</v>
      </c>
      <c r="C804" s="1">
        <v>45148</v>
      </c>
      <c r="D804" t="s">
        <v>814</v>
      </c>
      <c r="E804" t="s">
        <v>10</v>
      </c>
      <c r="F804">
        <v>21</v>
      </c>
      <c r="G804" t="str">
        <f>IF(Table14[[#This Row],[Age]]&lt;=25,"Young",IF(Table14[[#This Row],[Age]]&gt;55,"Old",IF(Table14[[#This Row],[Age]]&gt;25,"Middle","Na")))</f>
        <v>Young</v>
      </c>
      <c r="H804" t="s">
        <v>14</v>
      </c>
      <c r="I804">
        <v>4</v>
      </c>
      <c r="J804">
        <v>50</v>
      </c>
      <c r="K804">
        <v>200</v>
      </c>
      <c r="N804" s="11" t="s">
        <v>422</v>
      </c>
      <c r="O804" s="11" t="s">
        <v>16</v>
      </c>
      <c r="P804" s="11">
        <f>K802/J802</f>
        <v>2</v>
      </c>
      <c r="Q804" s="11">
        <v>900</v>
      </c>
      <c r="R804" s="11">
        <v>900</v>
      </c>
    </row>
    <row r="805" spans="2:18" x14ac:dyDescent="0.35">
      <c r="B805">
        <v>802</v>
      </c>
      <c r="C805" s="1">
        <v>45112</v>
      </c>
      <c r="D805" t="s">
        <v>815</v>
      </c>
      <c r="E805" t="s">
        <v>13</v>
      </c>
      <c r="F805">
        <v>46</v>
      </c>
      <c r="G805" t="str">
        <f>IF(Table14[[#This Row],[Age]]&lt;=25,"Young",IF(Table14[[#This Row],[Age]]&gt;55,"Old",IF(Table14[[#This Row],[Age]]&gt;25,"Middle","Na")))</f>
        <v>Middle</v>
      </c>
      <c r="H805" t="s">
        <v>11</v>
      </c>
      <c r="I805">
        <v>1</v>
      </c>
      <c r="J805">
        <v>30</v>
      </c>
      <c r="K805">
        <v>30</v>
      </c>
      <c r="N805" s="11" t="s">
        <v>470</v>
      </c>
      <c r="O805" s="11" t="s">
        <v>11</v>
      </c>
      <c r="P805" s="11">
        <f>K803/J803</f>
        <v>4</v>
      </c>
      <c r="Q805" s="11">
        <v>900</v>
      </c>
      <c r="R805" s="11">
        <v>900</v>
      </c>
    </row>
    <row r="806" spans="2:18" x14ac:dyDescent="0.35">
      <c r="B806">
        <v>803</v>
      </c>
      <c r="C806" s="1">
        <v>45252</v>
      </c>
      <c r="D806" t="s">
        <v>816</v>
      </c>
      <c r="E806" t="s">
        <v>10</v>
      </c>
      <c r="F806">
        <v>39</v>
      </c>
      <c r="G806" t="str">
        <f>IF(Table14[[#This Row],[Age]]&lt;=25,"Young",IF(Table14[[#This Row],[Age]]&gt;55,"Old",IF(Table14[[#This Row],[Age]]&gt;25,"Middle","Na")))</f>
        <v>Middle</v>
      </c>
      <c r="H806" t="s">
        <v>14</v>
      </c>
      <c r="I806">
        <v>4</v>
      </c>
      <c r="J806">
        <v>25</v>
      </c>
      <c r="K806">
        <v>100</v>
      </c>
      <c r="N806" s="11" t="s">
        <v>501</v>
      </c>
      <c r="O806" s="11" t="s">
        <v>16</v>
      </c>
      <c r="P806" s="11">
        <f>K804/J804</f>
        <v>4</v>
      </c>
      <c r="Q806" s="11">
        <v>900</v>
      </c>
      <c r="R806" s="11">
        <v>900</v>
      </c>
    </row>
    <row r="807" spans="2:18" x14ac:dyDescent="0.35">
      <c r="B807">
        <v>804</v>
      </c>
      <c r="C807" s="1">
        <v>45162</v>
      </c>
      <c r="D807" t="s">
        <v>817</v>
      </c>
      <c r="E807" t="s">
        <v>10</v>
      </c>
      <c r="F807">
        <v>42</v>
      </c>
      <c r="G807" t="str">
        <f>IF(Table14[[#This Row],[Age]]&lt;=25,"Young",IF(Table14[[#This Row],[Age]]&gt;55,"Old",IF(Table14[[#This Row],[Age]]&gt;25,"Middle","Na")))</f>
        <v>Middle</v>
      </c>
      <c r="H807" t="s">
        <v>16</v>
      </c>
      <c r="I807">
        <v>1</v>
      </c>
      <c r="J807">
        <v>30</v>
      </c>
      <c r="K807">
        <v>30</v>
      </c>
      <c r="N807" s="11" t="s">
        <v>553</v>
      </c>
      <c r="O807" s="11" t="s">
        <v>16</v>
      </c>
      <c r="P807" s="11">
        <f>K805/J805</f>
        <v>1</v>
      </c>
      <c r="Q807" s="11">
        <v>900</v>
      </c>
      <c r="R807" s="11">
        <v>900</v>
      </c>
    </row>
    <row r="808" spans="2:18" x14ac:dyDescent="0.35">
      <c r="B808">
        <v>805</v>
      </c>
      <c r="C808" s="1">
        <v>45289</v>
      </c>
      <c r="D808" t="s">
        <v>818</v>
      </c>
      <c r="E808" t="s">
        <v>13</v>
      </c>
      <c r="F808">
        <v>30</v>
      </c>
      <c r="G808" t="str">
        <f>IF(Table14[[#This Row],[Age]]&lt;=25,"Young",IF(Table14[[#This Row],[Age]]&gt;55,"Old",IF(Table14[[#This Row],[Age]]&gt;25,"Middle","Na")))</f>
        <v>Middle</v>
      </c>
      <c r="H808" t="s">
        <v>11</v>
      </c>
      <c r="I808">
        <v>3</v>
      </c>
      <c r="J808">
        <v>500</v>
      </c>
      <c r="K808">
        <v>1500</v>
      </c>
      <c r="N808" s="11" t="s">
        <v>564</v>
      </c>
      <c r="O808" s="11" t="s">
        <v>16</v>
      </c>
      <c r="P808" s="11">
        <f>K806/J806</f>
        <v>4</v>
      </c>
      <c r="Q808" s="11">
        <v>900</v>
      </c>
      <c r="R808" s="11">
        <v>900</v>
      </c>
    </row>
    <row r="809" spans="2:18" x14ac:dyDescent="0.35">
      <c r="B809">
        <v>806</v>
      </c>
      <c r="C809" s="1">
        <v>45005</v>
      </c>
      <c r="D809" t="s">
        <v>819</v>
      </c>
      <c r="E809" t="s">
        <v>13</v>
      </c>
      <c r="F809">
        <v>35</v>
      </c>
      <c r="G809" t="str">
        <f>IF(Table14[[#This Row],[Age]]&lt;=25,"Young",IF(Table14[[#This Row],[Age]]&gt;55,"Old",IF(Table14[[#This Row],[Age]]&gt;25,"Middle","Na")))</f>
        <v>Middle</v>
      </c>
      <c r="H809" t="s">
        <v>11</v>
      </c>
      <c r="I809">
        <v>3</v>
      </c>
      <c r="J809">
        <v>300</v>
      </c>
      <c r="K809">
        <v>900</v>
      </c>
      <c r="N809" s="11" t="s">
        <v>595</v>
      </c>
      <c r="O809" s="11" t="s">
        <v>14</v>
      </c>
      <c r="P809" s="11">
        <f>K807/J807</f>
        <v>1</v>
      </c>
      <c r="Q809" s="11">
        <v>900</v>
      </c>
      <c r="R809" s="11">
        <v>900</v>
      </c>
    </row>
    <row r="810" spans="2:18" x14ac:dyDescent="0.35">
      <c r="B810">
        <v>807</v>
      </c>
      <c r="C810" s="1">
        <v>45149</v>
      </c>
      <c r="D810" t="s">
        <v>820</v>
      </c>
      <c r="E810" t="s">
        <v>13</v>
      </c>
      <c r="F810">
        <v>50</v>
      </c>
      <c r="G810" t="str">
        <f>IF(Table14[[#This Row],[Age]]&lt;=25,"Young",IF(Table14[[#This Row],[Age]]&gt;55,"Old",IF(Table14[[#This Row],[Age]]&gt;25,"Middle","Na")))</f>
        <v>Middle</v>
      </c>
      <c r="H810" t="s">
        <v>16</v>
      </c>
      <c r="I810">
        <v>4</v>
      </c>
      <c r="J810">
        <v>50</v>
      </c>
      <c r="K810">
        <v>200</v>
      </c>
      <c r="N810" s="11" t="s">
        <v>637</v>
      </c>
      <c r="O810" s="11" t="s">
        <v>11</v>
      </c>
      <c r="P810" s="11">
        <f>K808/J808</f>
        <v>3</v>
      </c>
      <c r="Q810" s="11">
        <v>900</v>
      </c>
      <c r="R810" s="11">
        <v>900</v>
      </c>
    </row>
    <row r="811" spans="2:18" x14ac:dyDescent="0.35">
      <c r="B811">
        <v>808</v>
      </c>
      <c r="C811" s="1">
        <v>45017</v>
      </c>
      <c r="D811" t="s">
        <v>821</v>
      </c>
      <c r="E811" t="s">
        <v>10</v>
      </c>
      <c r="F811">
        <v>33</v>
      </c>
      <c r="G811" t="str">
        <f>IF(Table14[[#This Row],[Age]]&lt;=25,"Young",IF(Table14[[#This Row],[Age]]&gt;55,"Old",IF(Table14[[#This Row],[Age]]&gt;25,"Middle","Na")))</f>
        <v>Middle</v>
      </c>
      <c r="H811" t="s">
        <v>11</v>
      </c>
      <c r="I811">
        <v>4</v>
      </c>
      <c r="J811">
        <v>500</v>
      </c>
      <c r="K811">
        <v>2000</v>
      </c>
      <c r="N811" s="11" t="s">
        <v>740</v>
      </c>
      <c r="O811" s="11" t="s">
        <v>11</v>
      </c>
      <c r="P811" s="11">
        <f>K809/J809</f>
        <v>3</v>
      </c>
      <c r="Q811" s="11">
        <v>900</v>
      </c>
      <c r="R811" s="11">
        <v>900</v>
      </c>
    </row>
    <row r="812" spans="2:18" x14ac:dyDescent="0.35">
      <c r="B812">
        <v>809</v>
      </c>
      <c r="C812" s="1">
        <v>45194</v>
      </c>
      <c r="D812" t="s">
        <v>822</v>
      </c>
      <c r="E812" t="s">
        <v>13</v>
      </c>
      <c r="F812">
        <v>62</v>
      </c>
      <c r="G812" t="str">
        <f>IF(Table14[[#This Row],[Age]]&lt;=25,"Young",IF(Table14[[#This Row],[Age]]&gt;55,"Old",IF(Table14[[#This Row],[Age]]&gt;25,"Middle","Na")))</f>
        <v>Old</v>
      </c>
      <c r="H812" t="s">
        <v>11</v>
      </c>
      <c r="I812">
        <v>2</v>
      </c>
      <c r="J812">
        <v>50</v>
      </c>
      <c r="K812">
        <v>100</v>
      </c>
      <c r="N812" s="11" t="s">
        <v>779</v>
      </c>
      <c r="O812" s="11" t="s">
        <v>16</v>
      </c>
      <c r="P812" s="11">
        <f>K810/J810</f>
        <v>4</v>
      </c>
      <c r="Q812" s="11">
        <v>900</v>
      </c>
      <c r="R812" s="11">
        <v>900</v>
      </c>
    </row>
    <row r="813" spans="2:18" x14ac:dyDescent="0.35">
      <c r="B813">
        <v>810</v>
      </c>
      <c r="C813" s="1">
        <v>45260</v>
      </c>
      <c r="D813" t="s">
        <v>823</v>
      </c>
      <c r="E813" t="s">
        <v>10</v>
      </c>
      <c r="F813">
        <v>59</v>
      </c>
      <c r="G813" t="str">
        <f>IF(Table14[[#This Row],[Age]]&lt;=25,"Young",IF(Table14[[#This Row],[Age]]&gt;55,"Old",IF(Table14[[#This Row],[Age]]&gt;25,"Middle","Na")))</f>
        <v>Old</v>
      </c>
      <c r="H813" t="s">
        <v>16</v>
      </c>
      <c r="I813">
        <v>4</v>
      </c>
      <c r="J813">
        <v>25</v>
      </c>
      <c r="K813">
        <v>100</v>
      </c>
      <c r="N813" s="11" t="s">
        <v>801</v>
      </c>
      <c r="O813" s="11" t="s">
        <v>11</v>
      </c>
      <c r="P813" s="11">
        <f>K811/J811</f>
        <v>4</v>
      </c>
      <c r="Q813" s="11">
        <v>900</v>
      </c>
      <c r="R813" s="11">
        <v>900</v>
      </c>
    </row>
    <row r="814" spans="2:18" x14ac:dyDescent="0.35">
      <c r="B814">
        <v>811</v>
      </c>
      <c r="C814" s="1">
        <v>45065</v>
      </c>
      <c r="D814" t="s">
        <v>824</v>
      </c>
      <c r="E814" t="s">
        <v>10</v>
      </c>
      <c r="F814">
        <v>61</v>
      </c>
      <c r="G814" t="str">
        <f>IF(Table14[[#This Row],[Age]]&lt;=25,"Young",IF(Table14[[#This Row],[Age]]&gt;55,"Old",IF(Table14[[#This Row],[Age]]&gt;25,"Middle","Na")))</f>
        <v>Old</v>
      </c>
      <c r="H814" t="s">
        <v>11</v>
      </c>
      <c r="I814">
        <v>2</v>
      </c>
      <c r="J814">
        <v>25</v>
      </c>
      <c r="K814">
        <v>50</v>
      </c>
      <c r="N814" s="11" t="s">
        <v>840</v>
      </c>
      <c r="O814" s="11" t="s">
        <v>11</v>
      </c>
      <c r="P814" s="11">
        <f>K812/J812</f>
        <v>2</v>
      </c>
      <c r="Q814" s="11">
        <v>900</v>
      </c>
      <c r="R814" s="11">
        <v>900</v>
      </c>
    </row>
    <row r="815" spans="2:18" x14ac:dyDescent="0.35">
      <c r="B815">
        <v>812</v>
      </c>
      <c r="C815" s="1">
        <v>45242</v>
      </c>
      <c r="D815" t="s">
        <v>825</v>
      </c>
      <c r="E815" t="s">
        <v>10</v>
      </c>
      <c r="F815">
        <v>19</v>
      </c>
      <c r="G815" t="str">
        <f>IF(Table14[[#This Row],[Age]]&lt;=25,"Young",IF(Table14[[#This Row],[Age]]&gt;55,"Old",IF(Table14[[#This Row],[Age]]&gt;25,"Middle","Na")))</f>
        <v>Young</v>
      </c>
      <c r="H815" t="s">
        <v>16</v>
      </c>
      <c r="I815">
        <v>3</v>
      </c>
      <c r="J815">
        <v>25</v>
      </c>
      <c r="K815">
        <v>75</v>
      </c>
      <c r="N815" s="11" t="s">
        <v>899</v>
      </c>
      <c r="O815" s="11" t="s">
        <v>16</v>
      </c>
      <c r="P815" s="11">
        <f>K813/J813</f>
        <v>4</v>
      </c>
      <c r="Q815" s="11">
        <v>900</v>
      </c>
      <c r="R815" s="11">
        <v>900</v>
      </c>
    </row>
    <row r="816" spans="2:18" x14ac:dyDescent="0.35">
      <c r="B816">
        <v>813</v>
      </c>
      <c r="C816" s="1">
        <v>45202</v>
      </c>
      <c r="D816" t="s">
        <v>826</v>
      </c>
      <c r="E816" t="s">
        <v>10</v>
      </c>
      <c r="F816">
        <v>52</v>
      </c>
      <c r="G816" t="str">
        <f>IF(Table14[[#This Row],[Age]]&lt;=25,"Young",IF(Table14[[#This Row],[Age]]&gt;55,"Old",IF(Table14[[#This Row],[Age]]&gt;25,"Middle","Na")))</f>
        <v>Middle</v>
      </c>
      <c r="H816" t="s">
        <v>16</v>
      </c>
      <c r="I816">
        <v>3</v>
      </c>
      <c r="J816">
        <v>50</v>
      </c>
      <c r="K816">
        <v>150</v>
      </c>
      <c r="N816" s="11" t="s">
        <v>936</v>
      </c>
      <c r="O816" s="11" t="s">
        <v>11</v>
      </c>
      <c r="P816" s="11">
        <f>K814/J814</f>
        <v>2</v>
      </c>
      <c r="Q816" s="11">
        <v>900</v>
      </c>
      <c r="R816" s="11">
        <v>900</v>
      </c>
    </row>
    <row r="817" spans="2:18" x14ac:dyDescent="0.35">
      <c r="B817">
        <v>814</v>
      </c>
      <c r="C817" s="1">
        <v>45174</v>
      </c>
      <c r="D817" t="s">
        <v>827</v>
      </c>
      <c r="E817" t="s">
        <v>13</v>
      </c>
      <c r="F817">
        <v>59</v>
      </c>
      <c r="G817" t="str">
        <f>IF(Table14[[#This Row],[Age]]&lt;=25,"Young",IF(Table14[[#This Row],[Age]]&gt;55,"Old",IF(Table14[[#This Row],[Age]]&gt;25,"Middle","Na")))</f>
        <v>Old</v>
      </c>
      <c r="H817" t="s">
        <v>14</v>
      </c>
      <c r="I817">
        <v>1</v>
      </c>
      <c r="J817">
        <v>500</v>
      </c>
      <c r="K817">
        <v>500</v>
      </c>
      <c r="N817" s="11" t="s">
        <v>142</v>
      </c>
      <c r="O817" s="11" t="s">
        <v>11</v>
      </c>
      <c r="P817" s="11">
        <f>K815/J815</f>
        <v>3</v>
      </c>
      <c r="Q817" s="11">
        <v>600</v>
      </c>
      <c r="R817" s="11">
        <v>600</v>
      </c>
    </row>
    <row r="818" spans="2:18" x14ac:dyDescent="0.35">
      <c r="B818">
        <v>815</v>
      </c>
      <c r="C818" s="1">
        <v>45165</v>
      </c>
      <c r="D818" t="s">
        <v>828</v>
      </c>
      <c r="E818" t="s">
        <v>13</v>
      </c>
      <c r="F818">
        <v>51</v>
      </c>
      <c r="G818" t="str">
        <f>IF(Table14[[#This Row],[Age]]&lt;=25,"Young",IF(Table14[[#This Row],[Age]]&gt;55,"Old",IF(Table14[[#This Row],[Age]]&gt;25,"Middle","Na")))</f>
        <v>Middle</v>
      </c>
      <c r="H818" t="s">
        <v>14</v>
      </c>
      <c r="I818">
        <v>3</v>
      </c>
      <c r="J818">
        <v>25</v>
      </c>
      <c r="K818">
        <v>75</v>
      </c>
      <c r="N818" s="11" t="s">
        <v>149</v>
      </c>
      <c r="O818" s="11" t="s">
        <v>16</v>
      </c>
      <c r="P818" s="11">
        <f>K816/J816</f>
        <v>3</v>
      </c>
      <c r="Q818" s="11">
        <v>600</v>
      </c>
      <c r="R818" s="11">
        <v>600</v>
      </c>
    </row>
    <row r="819" spans="2:18" x14ac:dyDescent="0.35">
      <c r="B819">
        <v>816</v>
      </c>
      <c r="C819" s="1">
        <v>45150</v>
      </c>
      <c r="D819" t="s">
        <v>829</v>
      </c>
      <c r="E819" t="s">
        <v>10</v>
      </c>
      <c r="F819">
        <v>47</v>
      </c>
      <c r="G819" t="str">
        <f>IF(Table14[[#This Row],[Age]]&lt;=25,"Young",IF(Table14[[#This Row],[Age]]&gt;55,"Old",IF(Table14[[#This Row],[Age]]&gt;25,"Middle","Na")))</f>
        <v>Middle</v>
      </c>
      <c r="H819" t="s">
        <v>11</v>
      </c>
      <c r="I819">
        <v>2</v>
      </c>
      <c r="J819">
        <v>500</v>
      </c>
      <c r="K819">
        <v>1000</v>
      </c>
      <c r="N819" s="11" t="s">
        <v>246</v>
      </c>
      <c r="O819" s="11" t="s">
        <v>11</v>
      </c>
      <c r="P819" s="11">
        <f>K817/J817</f>
        <v>1</v>
      </c>
      <c r="Q819" s="11">
        <v>600</v>
      </c>
      <c r="R819" s="11">
        <v>600</v>
      </c>
    </row>
    <row r="820" spans="2:18" x14ac:dyDescent="0.35">
      <c r="B820">
        <v>817</v>
      </c>
      <c r="C820" s="1">
        <v>45230</v>
      </c>
      <c r="D820" t="s">
        <v>830</v>
      </c>
      <c r="E820" t="s">
        <v>10</v>
      </c>
      <c r="F820">
        <v>30</v>
      </c>
      <c r="G820" t="str">
        <f>IF(Table14[[#This Row],[Age]]&lt;=25,"Young",IF(Table14[[#This Row],[Age]]&gt;55,"Old",IF(Table14[[#This Row],[Age]]&gt;25,"Middle","Na")))</f>
        <v>Middle</v>
      </c>
      <c r="H820" t="s">
        <v>11</v>
      </c>
      <c r="I820">
        <v>4</v>
      </c>
      <c r="J820">
        <v>50</v>
      </c>
      <c r="K820">
        <v>200</v>
      </c>
      <c r="N820" s="11" t="s">
        <v>393</v>
      </c>
      <c r="O820" s="11" t="s">
        <v>16</v>
      </c>
      <c r="P820" s="11">
        <f>K818/J818</f>
        <v>3</v>
      </c>
      <c r="Q820" s="11">
        <v>600</v>
      </c>
      <c r="R820" s="11">
        <v>600</v>
      </c>
    </row>
    <row r="821" spans="2:18" x14ac:dyDescent="0.35">
      <c r="B821">
        <v>818</v>
      </c>
      <c r="C821" s="1">
        <v>45064</v>
      </c>
      <c r="D821" t="s">
        <v>831</v>
      </c>
      <c r="E821" t="s">
        <v>10</v>
      </c>
      <c r="F821">
        <v>30</v>
      </c>
      <c r="G821" t="str">
        <f>IF(Table14[[#This Row],[Age]]&lt;=25,"Young",IF(Table14[[#This Row],[Age]]&gt;55,"Old",IF(Table14[[#This Row],[Age]]&gt;25,"Middle","Na")))</f>
        <v>Middle</v>
      </c>
      <c r="H821" t="s">
        <v>16</v>
      </c>
      <c r="I821">
        <v>1</v>
      </c>
      <c r="J821">
        <v>500</v>
      </c>
      <c r="K821">
        <v>500</v>
      </c>
      <c r="N821" s="11" t="s">
        <v>415</v>
      </c>
      <c r="O821" s="11" t="s">
        <v>14</v>
      </c>
      <c r="P821" s="11">
        <f>K819/J819</f>
        <v>2</v>
      </c>
      <c r="Q821" s="11">
        <v>600</v>
      </c>
      <c r="R821" s="11">
        <v>600</v>
      </c>
    </row>
    <row r="822" spans="2:18" x14ac:dyDescent="0.35">
      <c r="B822">
        <v>819</v>
      </c>
      <c r="C822" s="1">
        <v>45092</v>
      </c>
      <c r="D822" t="s">
        <v>832</v>
      </c>
      <c r="E822" t="s">
        <v>13</v>
      </c>
      <c r="F822">
        <v>35</v>
      </c>
      <c r="G822" t="str">
        <f>IF(Table14[[#This Row],[Age]]&lt;=25,"Young",IF(Table14[[#This Row],[Age]]&gt;55,"Old",IF(Table14[[#This Row],[Age]]&gt;25,"Middle","Na")))</f>
        <v>Middle</v>
      </c>
      <c r="H822" t="s">
        <v>11</v>
      </c>
      <c r="I822">
        <v>2</v>
      </c>
      <c r="J822">
        <v>50</v>
      </c>
      <c r="K822">
        <v>100</v>
      </c>
      <c r="N822" s="11" t="s">
        <v>453</v>
      </c>
      <c r="O822" s="11" t="s">
        <v>14</v>
      </c>
      <c r="P822" s="11">
        <f>K820/J820</f>
        <v>4</v>
      </c>
      <c r="Q822" s="11">
        <v>600</v>
      </c>
      <c r="R822" s="11">
        <v>600</v>
      </c>
    </row>
    <row r="823" spans="2:18" x14ac:dyDescent="0.35">
      <c r="B823">
        <v>820</v>
      </c>
      <c r="C823" s="1">
        <v>45052</v>
      </c>
      <c r="D823" t="s">
        <v>833</v>
      </c>
      <c r="E823" t="s">
        <v>10</v>
      </c>
      <c r="F823">
        <v>49</v>
      </c>
      <c r="G823" t="str">
        <f>IF(Table14[[#This Row],[Age]]&lt;=25,"Young",IF(Table14[[#This Row],[Age]]&gt;55,"Old",IF(Table14[[#This Row],[Age]]&gt;25,"Middle","Na")))</f>
        <v>Middle</v>
      </c>
      <c r="H823" t="s">
        <v>16</v>
      </c>
      <c r="I823">
        <v>4</v>
      </c>
      <c r="J823">
        <v>50</v>
      </c>
      <c r="K823">
        <v>200</v>
      </c>
      <c r="N823" s="11" t="s">
        <v>118</v>
      </c>
      <c r="O823" s="11" t="s">
        <v>16</v>
      </c>
      <c r="P823" s="11">
        <f>K821/J821</f>
        <v>1</v>
      </c>
      <c r="Q823" s="11">
        <v>500</v>
      </c>
      <c r="R823" s="11">
        <v>500</v>
      </c>
    </row>
    <row r="824" spans="2:18" x14ac:dyDescent="0.35">
      <c r="B824">
        <v>821</v>
      </c>
      <c r="C824" s="1">
        <v>44971</v>
      </c>
      <c r="D824" t="s">
        <v>834</v>
      </c>
      <c r="E824" t="s">
        <v>10</v>
      </c>
      <c r="F824">
        <v>49</v>
      </c>
      <c r="G824" t="str">
        <f>IF(Table14[[#This Row],[Age]]&lt;=25,"Young",IF(Table14[[#This Row],[Age]]&gt;55,"Old",IF(Table14[[#This Row],[Age]]&gt;25,"Middle","Na")))</f>
        <v>Middle</v>
      </c>
      <c r="H824" t="s">
        <v>16</v>
      </c>
      <c r="I824">
        <v>1</v>
      </c>
      <c r="J824">
        <v>300</v>
      </c>
      <c r="K824">
        <v>300</v>
      </c>
      <c r="N824" s="11" t="s">
        <v>141</v>
      </c>
      <c r="O824" s="11" t="s">
        <v>11</v>
      </c>
      <c r="P824" s="11">
        <f>K822/J822</f>
        <v>2</v>
      </c>
      <c r="Q824" s="11">
        <v>500</v>
      </c>
      <c r="R824" s="11">
        <v>500</v>
      </c>
    </row>
    <row r="825" spans="2:18" x14ac:dyDescent="0.35">
      <c r="B825">
        <v>822</v>
      </c>
      <c r="C825" s="1">
        <v>45069</v>
      </c>
      <c r="D825" t="s">
        <v>835</v>
      </c>
      <c r="E825" t="s">
        <v>13</v>
      </c>
      <c r="F825">
        <v>52</v>
      </c>
      <c r="G825" t="str">
        <f>IF(Table14[[#This Row],[Age]]&lt;=25,"Young",IF(Table14[[#This Row],[Age]]&gt;55,"Old",IF(Table14[[#This Row],[Age]]&gt;25,"Middle","Na")))</f>
        <v>Middle</v>
      </c>
      <c r="H825" t="s">
        <v>11</v>
      </c>
      <c r="I825">
        <v>3</v>
      </c>
      <c r="J825">
        <v>50</v>
      </c>
      <c r="K825">
        <v>150</v>
      </c>
      <c r="N825" s="11" t="s">
        <v>251</v>
      </c>
      <c r="O825" s="11" t="s">
        <v>11</v>
      </c>
      <c r="P825" s="11">
        <f>K823/J823</f>
        <v>4</v>
      </c>
      <c r="Q825" s="11">
        <v>500</v>
      </c>
      <c r="R825" s="11">
        <v>500</v>
      </c>
    </row>
    <row r="826" spans="2:18" x14ac:dyDescent="0.35">
      <c r="B826">
        <v>823</v>
      </c>
      <c r="C826" s="1">
        <v>45157</v>
      </c>
      <c r="D826" t="s">
        <v>836</v>
      </c>
      <c r="E826" t="s">
        <v>13</v>
      </c>
      <c r="F826">
        <v>56</v>
      </c>
      <c r="G826" t="str">
        <f>IF(Table14[[#This Row],[Age]]&lt;=25,"Young",IF(Table14[[#This Row],[Age]]&gt;55,"Old",IF(Table14[[#This Row],[Age]]&gt;25,"Middle","Na")))</f>
        <v>Old</v>
      </c>
      <c r="H826" t="s">
        <v>16</v>
      </c>
      <c r="I826">
        <v>2</v>
      </c>
      <c r="J826">
        <v>50</v>
      </c>
      <c r="K826">
        <v>100</v>
      </c>
      <c r="N826" s="11" t="s">
        <v>267</v>
      </c>
      <c r="O826" s="11" t="s">
        <v>16</v>
      </c>
      <c r="P826" s="11">
        <f>K824/J824</f>
        <v>1</v>
      </c>
      <c r="Q826" s="11">
        <v>500</v>
      </c>
      <c r="R826" s="11">
        <v>500</v>
      </c>
    </row>
    <row r="827" spans="2:18" x14ac:dyDescent="0.35">
      <c r="B827">
        <v>824</v>
      </c>
      <c r="C827" s="1">
        <v>45051</v>
      </c>
      <c r="D827" t="s">
        <v>837</v>
      </c>
      <c r="E827" t="s">
        <v>10</v>
      </c>
      <c r="F827">
        <v>63</v>
      </c>
      <c r="G827" t="str">
        <f>IF(Table14[[#This Row],[Age]]&lt;=25,"Young",IF(Table14[[#This Row],[Age]]&gt;55,"Old",IF(Table14[[#This Row],[Age]]&gt;25,"Middle","Na")))</f>
        <v>Old</v>
      </c>
      <c r="H827" t="s">
        <v>14</v>
      </c>
      <c r="I827">
        <v>4</v>
      </c>
      <c r="J827">
        <v>30</v>
      </c>
      <c r="K827">
        <v>120</v>
      </c>
      <c r="N827" s="11" t="s">
        <v>377</v>
      </c>
      <c r="O827" s="11" t="s">
        <v>11</v>
      </c>
      <c r="P827" s="11">
        <f>K825/J825</f>
        <v>3</v>
      </c>
      <c r="Q827" s="11">
        <v>500</v>
      </c>
      <c r="R827" s="11">
        <v>500</v>
      </c>
    </row>
    <row r="828" spans="2:18" x14ac:dyDescent="0.35">
      <c r="B828">
        <v>825</v>
      </c>
      <c r="C828" s="1">
        <v>45164</v>
      </c>
      <c r="D828" t="s">
        <v>838</v>
      </c>
      <c r="E828" t="s">
        <v>13</v>
      </c>
      <c r="F828">
        <v>46</v>
      </c>
      <c r="G828" t="str">
        <f>IF(Table14[[#This Row],[Age]]&lt;=25,"Young",IF(Table14[[#This Row],[Age]]&gt;55,"Old",IF(Table14[[#This Row],[Age]]&gt;25,"Middle","Na")))</f>
        <v>Middle</v>
      </c>
      <c r="H828" t="s">
        <v>11</v>
      </c>
      <c r="I828">
        <v>1</v>
      </c>
      <c r="J828">
        <v>25</v>
      </c>
      <c r="K828">
        <v>25</v>
      </c>
      <c r="N828" s="11" t="s">
        <v>397</v>
      </c>
      <c r="O828" s="11" t="s">
        <v>14</v>
      </c>
      <c r="P828" s="11">
        <f>K826/J826</f>
        <v>2</v>
      </c>
      <c r="Q828" s="11">
        <v>500</v>
      </c>
      <c r="R828" s="11">
        <v>500</v>
      </c>
    </row>
    <row r="829" spans="2:18" x14ac:dyDescent="0.35">
      <c r="B829">
        <v>826</v>
      </c>
      <c r="C829" s="1">
        <v>45218</v>
      </c>
      <c r="D829" t="s">
        <v>839</v>
      </c>
      <c r="E829" t="s">
        <v>13</v>
      </c>
      <c r="F829">
        <v>46</v>
      </c>
      <c r="G829" t="str">
        <f>IF(Table14[[#This Row],[Age]]&lt;=25,"Young",IF(Table14[[#This Row],[Age]]&gt;55,"Old",IF(Table14[[#This Row],[Age]]&gt;25,"Middle","Na")))</f>
        <v>Middle</v>
      </c>
      <c r="H829" t="s">
        <v>14</v>
      </c>
      <c r="I829">
        <v>1</v>
      </c>
      <c r="J829">
        <v>300</v>
      </c>
      <c r="K829">
        <v>300</v>
      </c>
      <c r="N829" s="11" t="s">
        <v>544</v>
      </c>
      <c r="O829" s="11" t="s">
        <v>16</v>
      </c>
      <c r="P829" s="11">
        <f>K827/J827</f>
        <v>4</v>
      </c>
      <c r="Q829" s="11">
        <v>500</v>
      </c>
      <c r="R829" s="11">
        <v>500</v>
      </c>
    </row>
    <row r="830" spans="2:18" x14ac:dyDescent="0.35">
      <c r="B830">
        <v>827</v>
      </c>
      <c r="C830" s="1">
        <v>45239</v>
      </c>
      <c r="D830" t="s">
        <v>840</v>
      </c>
      <c r="E830" t="s">
        <v>10</v>
      </c>
      <c r="F830">
        <v>61</v>
      </c>
      <c r="G830" t="str">
        <f>IF(Table14[[#This Row],[Age]]&lt;=25,"Young",IF(Table14[[#This Row],[Age]]&gt;55,"Old",IF(Table14[[#This Row],[Age]]&gt;25,"Middle","Na")))</f>
        <v>Old</v>
      </c>
      <c r="H830" t="s">
        <v>11</v>
      </c>
      <c r="I830">
        <v>3</v>
      </c>
      <c r="J830">
        <v>300</v>
      </c>
      <c r="K830">
        <v>900</v>
      </c>
      <c r="N830" s="11" t="s">
        <v>774</v>
      </c>
      <c r="O830" s="11" t="s">
        <v>14</v>
      </c>
      <c r="P830" s="11">
        <f>K828/J828</f>
        <v>1</v>
      </c>
      <c r="Q830" s="11">
        <v>500</v>
      </c>
      <c r="R830" s="11">
        <v>500</v>
      </c>
    </row>
    <row r="831" spans="2:18" x14ac:dyDescent="0.35">
      <c r="B831">
        <v>828</v>
      </c>
      <c r="C831" s="1">
        <v>45269</v>
      </c>
      <c r="D831" t="s">
        <v>841</v>
      </c>
      <c r="E831" t="s">
        <v>13</v>
      </c>
      <c r="F831">
        <v>33</v>
      </c>
      <c r="G831" t="str">
        <f>IF(Table14[[#This Row],[Age]]&lt;=25,"Young",IF(Table14[[#This Row],[Age]]&gt;55,"Old",IF(Table14[[#This Row],[Age]]&gt;25,"Middle","Na")))</f>
        <v>Middle</v>
      </c>
      <c r="H831" t="s">
        <v>16</v>
      </c>
      <c r="I831">
        <v>4</v>
      </c>
      <c r="J831">
        <v>300</v>
      </c>
      <c r="K831">
        <v>1200</v>
      </c>
      <c r="N831" s="11" t="s">
        <v>880</v>
      </c>
      <c r="O831" s="11" t="s">
        <v>16</v>
      </c>
      <c r="P831" s="11">
        <f>K829/J829</f>
        <v>1</v>
      </c>
      <c r="Q831" s="11">
        <v>500</v>
      </c>
      <c r="R831" s="11">
        <v>500</v>
      </c>
    </row>
    <row r="832" spans="2:18" x14ac:dyDescent="0.35">
      <c r="B832">
        <v>829</v>
      </c>
      <c r="C832" s="1">
        <v>45121</v>
      </c>
      <c r="D832" t="s">
        <v>842</v>
      </c>
      <c r="E832" t="s">
        <v>10</v>
      </c>
      <c r="F832">
        <v>61</v>
      </c>
      <c r="G832" t="str">
        <f>IF(Table14[[#This Row],[Age]]&lt;=25,"Young",IF(Table14[[#This Row],[Age]]&gt;55,"Old",IF(Table14[[#This Row],[Age]]&gt;25,"Middle","Na")))</f>
        <v>Old</v>
      </c>
      <c r="H832" t="s">
        <v>11</v>
      </c>
      <c r="I832">
        <v>3</v>
      </c>
      <c r="J832">
        <v>30</v>
      </c>
      <c r="K832">
        <v>90</v>
      </c>
      <c r="N832" s="11" t="s">
        <v>896</v>
      </c>
      <c r="O832" s="11" t="s">
        <v>16</v>
      </c>
      <c r="P832" s="11">
        <f>K830/J830</f>
        <v>3</v>
      </c>
      <c r="Q832" s="11">
        <v>500</v>
      </c>
      <c r="R832" s="11">
        <v>500</v>
      </c>
    </row>
    <row r="833" spans="2:18" x14ac:dyDescent="0.35">
      <c r="B833">
        <v>830</v>
      </c>
      <c r="C833" s="1">
        <v>45099</v>
      </c>
      <c r="D833" t="s">
        <v>843</v>
      </c>
      <c r="E833" t="s">
        <v>13</v>
      </c>
      <c r="F833">
        <v>64</v>
      </c>
      <c r="G833" t="str">
        <f>IF(Table14[[#This Row],[Age]]&lt;=25,"Young",IF(Table14[[#This Row],[Age]]&gt;55,"Old",IF(Table14[[#This Row],[Age]]&gt;25,"Middle","Na")))</f>
        <v>Old</v>
      </c>
      <c r="H833" t="s">
        <v>14</v>
      </c>
      <c r="I833">
        <v>3</v>
      </c>
      <c r="J833">
        <v>50</v>
      </c>
      <c r="K833">
        <v>150</v>
      </c>
      <c r="N833" s="11" t="s">
        <v>927</v>
      </c>
      <c r="O833" s="11" t="s">
        <v>16</v>
      </c>
      <c r="P833" s="11">
        <f>K831/J831</f>
        <v>4</v>
      </c>
      <c r="Q833" s="11">
        <v>500</v>
      </c>
      <c r="R833" s="11">
        <v>500</v>
      </c>
    </row>
    <row r="834" spans="2:18" x14ac:dyDescent="0.35">
      <c r="B834">
        <v>831</v>
      </c>
      <c r="C834" s="1">
        <v>44941</v>
      </c>
      <c r="D834" t="s">
        <v>844</v>
      </c>
      <c r="E834" t="s">
        <v>10</v>
      </c>
      <c r="F834">
        <v>27</v>
      </c>
      <c r="G834" t="str">
        <f>IF(Table14[[#This Row],[Age]]&lt;=25,"Young",IF(Table14[[#This Row],[Age]]&gt;55,"Old",IF(Table14[[#This Row],[Age]]&gt;25,"Middle","Na")))</f>
        <v>Middle</v>
      </c>
      <c r="H834" t="s">
        <v>16</v>
      </c>
      <c r="I834">
        <v>4</v>
      </c>
      <c r="J834">
        <v>25</v>
      </c>
      <c r="K834">
        <v>100</v>
      </c>
      <c r="N834" s="11" t="s">
        <v>950</v>
      </c>
      <c r="O834" s="11" t="s">
        <v>11</v>
      </c>
      <c r="P834" s="11">
        <f>K832/J832</f>
        <v>3</v>
      </c>
      <c r="Q834" s="11">
        <v>500</v>
      </c>
      <c r="R834" s="11">
        <v>500</v>
      </c>
    </row>
    <row r="835" spans="2:18" x14ac:dyDescent="0.35">
      <c r="B835">
        <v>832</v>
      </c>
      <c r="C835" s="1">
        <v>45180</v>
      </c>
      <c r="D835" t="s">
        <v>845</v>
      </c>
      <c r="E835" t="s">
        <v>10</v>
      </c>
      <c r="F835">
        <v>47</v>
      </c>
      <c r="G835" t="str">
        <f>IF(Table14[[#This Row],[Age]]&lt;=25,"Young",IF(Table14[[#This Row],[Age]]&gt;55,"Old",IF(Table14[[#This Row],[Age]]&gt;25,"Middle","Na")))</f>
        <v>Middle</v>
      </c>
      <c r="H835" t="s">
        <v>11</v>
      </c>
      <c r="I835">
        <v>4</v>
      </c>
      <c r="J835">
        <v>500</v>
      </c>
      <c r="K835">
        <v>2000</v>
      </c>
      <c r="N835" s="11" t="s">
        <v>65</v>
      </c>
      <c r="O835" s="11" t="s">
        <v>11</v>
      </c>
      <c r="P835" s="11">
        <f>K833/J833</f>
        <v>3</v>
      </c>
      <c r="Q835" s="11">
        <v>300</v>
      </c>
      <c r="R835" s="11">
        <v>300</v>
      </c>
    </row>
    <row r="836" spans="2:18" x14ac:dyDescent="0.35">
      <c r="B836">
        <v>833</v>
      </c>
      <c r="C836" s="1">
        <v>45093</v>
      </c>
      <c r="D836" t="s">
        <v>846</v>
      </c>
      <c r="E836" t="s">
        <v>10</v>
      </c>
      <c r="F836">
        <v>42</v>
      </c>
      <c r="G836" t="str">
        <f>IF(Table14[[#This Row],[Age]]&lt;=25,"Young",IF(Table14[[#This Row],[Age]]&gt;55,"Old",IF(Table14[[#This Row],[Age]]&gt;25,"Middle","Na")))</f>
        <v>Middle</v>
      </c>
      <c r="H836" t="s">
        <v>11</v>
      </c>
      <c r="I836">
        <v>4</v>
      </c>
      <c r="J836">
        <v>50</v>
      </c>
      <c r="K836">
        <v>200</v>
      </c>
      <c r="N836" s="11" t="s">
        <v>83</v>
      </c>
      <c r="O836" s="11" t="s">
        <v>14</v>
      </c>
      <c r="P836" s="11">
        <f>K834/J834</f>
        <v>4</v>
      </c>
      <c r="Q836" s="11">
        <v>300</v>
      </c>
      <c r="R836" s="11">
        <v>300</v>
      </c>
    </row>
    <row r="837" spans="2:18" x14ac:dyDescent="0.35">
      <c r="B837">
        <v>834</v>
      </c>
      <c r="C837" s="1">
        <v>45020</v>
      </c>
      <c r="D837" t="s">
        <v>847</v>
      </c>
      <c r="E837" t="s">
        <v>13</v>
      </c>
      <c r="F837">
        <v>56</v>
      </c>
      <c r="G837" t="str">
        <f>IF(Table14[[#This Row],[Age]]&lt;=25,"Young",IF(Table14[[#This Row],[Age]]&gt;55,"Old",IF(Table14[[#This Row],[Age]]&gt;25,"Middle","Na")))</f>
        <v>Old</v>
      </c>
      <c r="H837" t="s">
        <v>11</v>
      </c>
      <c r="I837">
        <v>2</v>
      </c>
      <c r="J837">
        <v>30</v>
      </c>
      <c r="K837">
        <v>60</v>
      </c>
      <c r="N837" s="11" t="s">
        <v>181</v>
      </c>
      <c r="O837" s="11" t="s">
        <v>14</v>
      </c>
      <c r="P837" s="11">
        <f>K835/J835</f>
        <v>4</v>
      </c>
      <c r="Q837" s="11">
        <v>300</v>
      </c>
      <c r="R837" s="11">
        <v>300</v>
      </c>
    </row>
    <row r="838" spans="2:18" x14ac:dyDescent="0.35">
      <c r="B838">
        <v>835</v>
      </c>
      <c r="C838" s="1">
        <v>45176</v>
      </c>
      <c r="D838" t="s">
        <v>848</v>
      </c>
      <c r="E838" t="s">
        <v>10</v>
      </c>
      <c r="F838">
        <v>37</v>
      </c>
      <c r="G838" t="str">
        <f>IF(Table14[[#This Row],[Age]]&lt;=25,"Young",IF(Table14[[#This Row],[Age]]&gt;55,"Old",IF(Table14[[#This Row],[Age]]&gt;25,"Middle","Na")))</f>
        <v>Middle</v>
      </c>
      <c r="H838" t="s">
        <v>14</v>
      </c>
      <c r="I838">
        <v>4</v>
      </c>
      <c r="J838">
        <v>50</v>
      </c>
      <c r="K838">
        <v>200</v>
      </c>
      <c r="N838" s="11" t="s">
        <v>187</v>
      </c>
      <c r="O838" s="11" t="s">
        <v>11</v>
      </c>
      <c r="P838" s="11">
        <f>K836/J836</f>
        <v>4</v>
      </c>
      <c r="Q838" s="11">
        <v>300</v>
      </c>
      <c r="R838" s="11">
        <v>300</v>
      </c>
    </row>
    <row r="839" spans="2:18" x14ac:dyDescent="0.35">
      <c r="B839">
        <v>836</v>
      </c>
      <c r="C839" s="1">
        <v>45035</v>
      </c>
      <c r="D839" t="s">
        <v>849</v>
      </c>
      <c r="E839" t="s">
        <v>13</v>
      </c>
      <c r="F839">
        <v>22</v>
      </c>
      <c r="G839" t="str">
        <f>IF(Table14[[#This Row],[Age]]&lt;=25,"Young",IF(Table14[[#This Row],[Age]]&gt;55,"Old",IF(Table14[[#This Row],[Age]]&gt;25,"Middle","Na")))</f>
        <v>Young</v>
      </c>
      <c r="H839" t="s">
        <v>14</v>
      </c>
      <c r="I839">
        <v>1</v>
      </c>
      <c r="J839">
        <v>50</v>
      </c>
      <c r="K839">
        <v>50</v>
      </c>
      <c r="N839" s="11" t="s">
        <v>265</v>
      </c>
      <c r="O839" s="11" t="s">
        <v>16</v>
      </c>
      <c r="P839" s="11">
        <f>K837/J837</f>
        <v>2</v>
      </c>
      <c r="Q839" s="11">
        <v>300</v>
      </c>
      <c r="R839" s="11">
        <v>300</v>
      </c>
    </row>
    <row r="840" spans="2:18" x14ac:dyDescent="0.35">
      <c r="B840">
        <v>837</v>
      </c>
      <c r="C840" s="1">
        <v>45108</v>
      </c>
      <c r="D840" t="s">
        <v>850</v>
      </c>
      <c r="E840" t="s">
        <v>10</v>
      </c>
      <c r="F840">
        <v>18</v>
      </c>
      <c r="G840" t="str">
        <f>IF(Table14[[#This Row],[Age]]&lt;=25,"Young",IF(Table14[[#This Row],[Age]]&gt;55,"Old",IF(Table14[[#This Row],[Age]]&gt;25,"Middle","Na")))</f>
        <v>Young</v>
      </c>
      <c r="H840" t="s">
        <v>11</v>
      </c>
      <c r="I840">
        <v>3</v>
      </c>
      <c r="J840">
        <v>30</v>
      </c>
      <c r="K840">
        <v>90</v>
      </c>
      <c r="N840" s="11" t="s">
        <v>283</v>
      </c>
      <c r="O840" s="11" t="s">
        <v>16</v>
      </c>
      <c r="P840" s="11">
        <f>K838/J838</f>
        <v>4</v>
      </c>
      <c r="Q840" s="11">
        <v>300</v>
      </c>
      <c r="R840" s="11">
        <v>300</v>
      </c>
    </row>
    <row r="841" spans="2:18" x14ac:dyDescent="0.35">
      <c r="B841">
        <v>838</v>
      </c>
      <c r="C841" s="1">
        <v>45059</v>
      </c>
      <c r="D841" t="s">
        <v>851</v>
      </c>
      <c r="E841" t="s">
        <v>10</v>
      </c>
      <c r="F841">
        <v>47</v>
      </c>
      <c r="G841" t="str">
        <f>IF(Table14[[#This Row],[Age]]&lt;=25,"Young",IF(Table14[[#This Row],[Age]]&gt;55,"Old",IF(Table14[[#This Row],[Age]]&gt;25,"Middle","Na")))</f>
        <v>Middle</v>
      </c>
      <c r="H841" t="s">
        <v>16</v>
      </c>
      <c r="I841">
        <v>2</v>
      </c>
      <c r="J841">
        <v>300</v>
      </c>
      <c r="K841">
        <v>600</v>
      </c>
      <c r="N841" s="11" t="s">
        <v>371</v>
      </c>
      <c r="O841" s="11" t="s">
        <v>11</v>
      </c>
      <c r="P841" s="11">
        <f>K839/J839</f>
        <v>1</v>
      </c>
      <c r="Q841" s="11">
        <v>300</v>
      </c>
      <c r="R841" s="11">
        <v>300</v>
      </c>
    </row>
    <row r="842" spans="2:18" x14ac:dyDescent="0.35">
      <c r="B842">
        <v>839</v>
      </c>
      <c r="C842" s="1">
        <v>45101</v>
      </c>
      <c r="D842" t="s">
        <v>852</v>
      </c>
      <c r="E842" t="s">
        <v>13</v>
      </c>
      <c r="F842">
        <v>20</v>
      </c>
      <c r="G842" t="str">
        <f>IF(Table14[[#This Row],[Age]]&lt;=25,"Young",IF(Table14[[#This Row],[Age]]&gt;55,"Old",IF(Table14[[#This Row],[Age]]&gt;25,"Middle","Na")))</f>
        <v>Young</v>
      </c>
      <c r="H842" t="s">
        <v>16</v>
      </c>
      <c r="I842">
        <v>4</v>
      </c>
      <c r="J842">
        <v>300</v>
      </c>
      <c r="K842">
        <v>1200</v>
      </c>
      <c r="N842" s="11" t="s">
        <v>378</v>
      </c>
      <c r="O842" s="11" t="s">
        <v>14</v>
      </c>
      <c r="P842" s="11">
        <f>K840/J840</f>
        <v>3</v>
      </c>
      <c r="Q842" s="11">
        <v>300</v>
      </c>
      <c r="R842" s="11">
        <v>300</v>
      </c>
    </row>
    <row r="843" spans="2:18" x14ac:dyDescent="0.35">
      <c r="B843">
        <v>840</v>
      </c>
      <c r="C843" s="1">
        <v>45070</v>
      </c>
      <c r="D843" t="s">
        <v>853</v>
      </c>
      <c r="E843" t="s">
        <v>10</v>
      </c>
      <c r="F843">
        <v>62</v>
      </c>
      <c r="G843" t="str">
        <f>IF(Table14[[#This Row],[Age]]&lt;=25,"Young",IF(Table14[[#This Row],[Age]]&gt;55,"Old",IF(Table14[[#This Row],[Age]]&gt;25,"Middle","Na")))</f>
        <v>Old</v>
      </c>
      <c r="H843" t="s">
        <v>14</v>
      </c>
      <c r="I843">
        <v>2</v>
      </c>
      <c r="J843">
        <v>25</v>
      </c>
      <c r="K843">
        <v>50</v>
      </c>
      <c r="N843" s="11" t="s">
        <v>414</v>
      </c>
      <c r="O843" s="11" t="s">
        <v>14</v>
      </c>
      <c r="P843" s="11">
        <f>K841/J841</f>
        <v>2</v>
      </c>
      <c r="Q843" s="11">
        <v>300</v>
      </c>
      <c r="R843" s="11">
        <v>300</v>
      </c>
    </row>
    <row r="844" spans="2:18" x14ac:dyDescent="0.35">
      <c r="B844">
        <v>841</v>
      </c>
      <c r="C844" s="1">
        <v>45232</v>
      </c>
      <c r="D844" t="s">
        <v>854</v>
      </c>
      <c r="E844" t="s">
        <v>10</v>
      </c>
      <c r="F844">
        <v>31</v>
      </c>
      <c r="G844" t="str">
        <f>IF(Table14[[#This Row],[Age]]&lt;=25,"Young",IF(Table14[[#This Row],[Age]]&gt;55,"Old",IF(Table14[[#This Row],[Age]]&gt;25,"Middle","Na")))</f>
        <v>Middle</v>
      </c>
      <c r="H844" t="s">
        <v>16</v>
      </c>
      <c r="I844">
        <v>4</v>
      </c>
      <c r="J844">
        <v>25</v>
      </c>
      <c r="K844">
        <v>100</v>
      </c>
      <c r="N844" s="11" t="s">
        <v>568</v>
      </c>
      <c r="O844" s="11" t="s">
        <v>11</v>
      </c>
      <c r="P844" s="11">
        <f>K842/J842</f>
        <v>4</v>
      </c>
      <c r="Q844" s="11">
        <v>300</v>
      </c>
      <c r="R844" s="11">
        <v>300</v>
      </c>
    </row>
    <row r="845" spans="2:18" x14ac:dyDescent="0.35">
      <c r="B845">
        <v>842</v>
      </c>
      <c r="C845" s="1">
        <v>45286</v>
      </c>
      <c r="D845" t="s">
        <v>855</v>
      </c>
      <c r="E845" t="s">
        <v>13</v>
      </c>
      <c r="F845">
        <v>47</v>
      </c>
      <c r="G845" t="str">
        <f>IF(Table14[[#This Row],[Age]]&lt;=25,"Young",IF(Table14[[#This Row],[Age]]&gt;55,"Old",IF(Table14[[#This Row],[Age]]&gt;25,"Middle","Na")))</f>
        <v>Middle</v>
      </c>
      <c r="H845" t="s">
        <v>14</v>
      </c>
      <c r="I845">
        <v>2</v>
      </c>
      <c r="J845">
        <v>300</v>
      </c>
      <c r="K845">
        <v>600</v>
      </c>
      <c r="N845" s="11" t="s">
        <v>638</v>
      </c>
      <c r="O845" s="11" t="s">
        <v>14</v>
      </c>
      <c r="P845" s="11">
        <f>K843/J843</f>
        <v>2</v>
      </c>
      <c r="Q845" s="11">
        <v>300</v>
      </c>
      <c r="R845" s="11">
        <v>300</v>
      </c>
    </row>
    <row r="846" spans="2:18" x14ac:dyDescent="0.35">
      <c r="B846">
        <v>843</v>
      </c>
      <c r="C846" s="1">
        <v>45068</v>
      </c>
      <c r="D846" t="s">
        <v>856</v>
      </c>
      <c r="E846" t="s">
        <v>10</v>
      </c>
      <c r="F846">
        <v>21</v>
      </c>
      <c r="G846" t="str">
        <f>IF(Table14[[#This Row],[Age]]&lt;=25,"Young",IF(Table14[[#This Row],[Age]]&gt;55,"Old",IF(Table14[[#This Row],[Age]]&gt;25,"Middle","Na")))</f>
        <v>Young</v>
      </c>
      <c r="H846" t="s">
        <v>11</v>
      </c>
      <c r="I846">
        <v>3</v>
      </c>
      <c r="J846">
        <v>500</v>
      </c>
      <c r="K846">
        <v>1500</v>
      </c>
      <c r="N846" s="11" t="s">
        <v>654</v>
      </c>
      <c r="O846" s="11" t="s">
        <v>16</v>
      </c>
      <c r="P846" s="11">
        <f>K844/J844</f>
        <v>4</v>
      </c>
      <c r="Q846" s="11">
        <v>300</v>
      </c>
      <c r="R846" s="11">
        <v>300</v>
      </c>
    </row>
    <row r="847" spans="2:18" x14ac:dyDescent="0.35">
      <c r="B847">
        <v>844</v>
      </c>
      <c r="C847" s="1">
        <v>45211</v>
      </c>
      <c r="D847" t="s">
        <v>857</v>
      </c>
      <c r="E847" t="s">
        <v>10</v>
      </c>
      <c r="F847">
        <v>35</v>
      </c>
      <c r="G847" t="str">
        <f>IF(Table14[[#This Row],[Age]]&lt;=25,"Young",IF(Table14[[#This Row],[Age]]&gt;55,"Old",IF(Table14[[#This Row],[Age]]&gt;25,"Middle","Na")))</f>
        <v>Middle</v>
      </c>
      <c r="H847" t="s">
        <v>14</v>
      </c>
      <c r="I847">
        <v>3</v>
      </c>
      <c r="J847">
        <v>50</v>
      </c>
      <c r="K847">
        <v>150</v>
      </c>
      <c r="N847" s="11" t="s">
        <v>700</v>
      </c>
      <c r="O847" s="11" t="s">
        <v>16</v>
      </c>
      <c r="P847" s="11">
        <f>K845/J845</f>
        <v>2</v>
      </c>
      <c r="Q847" s="11">
        <v>300</v>
      </c>
      <c r="R847" s="11">
        <v>300</v>
      </c>
    </row>
    <row r="848" spans="2:18" x14ac:dyDescent="0.35">
      <c r="B848">
        <v>845</v>
      </c>
      <c r="C848" s="1">
        <v>44932</v>
      </c>
      <c r="D848" t="s">
        <v>858</v>
      </c>
      <c r="E848" t="s">
        <v>10</v>
      </c>
      <c r="F848">
        <v>54</v>
      </c>
      <c r="G848" t="str">
        <f>IF(Table14[[#This Row],[Age]]&lt;=25,"Young",IF(Table14[[#This Row],[Age]]&gt;55,"Old",IF(Table14[[#This Row],[Age]]&gt;25,"Middle","Na")))</f>
        <v>Middle</v>
      </c>
      <c r="H848" t="s">
        <v>14</v>
      </c>
      <c r="I848">
        <v>1</v>
      </c>
      <c r="J848">
        <v>500</v>
      </c>
      <c r="K848">
        <v>500</v>
      </c>
      <c r="N848" s="11" t="s">
        <v>711</v>
      </c>
      <c r="O848" s="11" t="s">
        <v>16</v>
      </c>
      <c r="P848" s="11">
        <f>K846/J846</f>
        <v>3</v>
      </c>
      <c r="Q848" s="11">
        <v>300</v>
      </c>
      <c r="R848" s="11">
        <v>300</v>
      </c>
    </row>
    <row r="849" spans="2:18" x14ac:dyDescent="0.35">
      <c r="B849">
        <v>846</v>
      </c>
      <c r="C849" s="1">
        <v>45191</v>
      </c>
      <c r="D849" t="s">
        <v>859</v>
      </c>
      <c r="E849" t="s">
        <v>10</v>
      </c>
      <c r="F849">
        <v>42</v>
      </c>
      <c r="G849" t="str">
        <f>IF(Table14[[#This Row],[Age]]&lt;=25,"Young",IF(Table14[[#This Row],[Age]]&gt;55,"Old",IF(Table14[[#This Row],[Age]]&gt;25,"Middle","Na")))</f>
        <v>Middle</v>
      </c>
      <c r="H849" t="s">
        <v>11</v>
      </c>
      <c r="I849">
        <v>1</v>
      </c>
      <c r="J849">
        <v>50</v>
      </c>
      <c r="K849">
        <v>50</v>
      </c>
      <c r="N849" s="11" t="s">
        <v>808</v>
      </c>
      <c r="O849" s="11" t="s">
        <v>16</v>
      </c>
      <c r="P849" s="11">
        <f>K847/J847</f>
        <v>3</v>
      </c>
      <c r="Q849" s="11">
        <v>300</v>
      </c>
      <c r="R849" s="11">
        <v>300</v>
      </c>
    </row>
    <row r="850" spans="2:18" x14ac:dyDescent="0.35">
      <c r="B850">
        <v>847</v>
      </c>
      <c r="C850" s="1">
        <v>45024</v>
      </c>
      <c r="D850" t="s">
        <v>860</v>
      </c>
      <c r="E850" t="s">
        <v>13</v>
      </c>
      <c r="F850">
        <v>18</v>
      </c>
      <c r="G850" t="str">
        <f>IF(Table14[[#This Row],[Age]]&lt;=25,"Young",IF(Table14[[#This Row],[Age]]&gt;55,"Old",IF(Table14[[#This Row],[Age]]&gt;25,"Middle","Na")))</f>
        <v>Young</v>
      </c>
      <c r="H850" t="s">
        <v>16</v>
      </c>
      <c r="I850">
        <v>4</v>
      </c>
      <c r="J850">
        <v>300</v>
      </c>
      <c r="K850">
        <v>1200</v>
      </c>
      <c r="N850" s="11" t="s">
        <v>865</v>
      </c>
      <c r="O850" s="11" t="s">
        <v>14</v>
      </c>
      <c r="P850" s="11">
        <f>K848/J848</f>
        <v>1</v>
      </c>
      <c r="Q850" s="11">
        <v>300</v>
      </c>
      <c r="R850" s="11">
        <v>300</v>
      </c>
    </row>
    <row r="851" spans="2:18" x14ac:dyDescent="0.35">
      <c r="B851">
        <v>848</v>
      </c>
      <c r="C851" s="1">
        <v>44970</v>
      </c>
      <c r="D851" t="s">
        <v>861</v>
      </c>
      <c r="E851" t="s">
        <v>13</v>
      </c>
      <c r="F851">
        <v>63</v>
      </c>
      <c r="G851" t="str">
        <f>IF(Table14[[#This Row],[Age]]&lt;=25,"Young",IF(Table14[[#This Row],[Age]]&gt;55,"Old",IF(Table14[[#This Row],[Age]]&gt;25,"Middle","Na")))</f>
        <v>Old</v>
      </c>
      <c r="H851" t="s">
        <v>14</v>
      </c>
      <c r="I851">
        <v>3</v>
      </c>
      <c r="J851">
        <v>25</v>
      </c>
      <c r="K851">
        <v>75</v>
      </c>
      <c r="N851" s="11" t="s">
        <v>878</v>
      </c>
      <c r="O851" s="11" t="s">
        <v>14</v>
      </c>
      <c r="P851" s="11">
        <f>K849/J849</f>
        <v>1</v>
      </c>
      <c r="Q851" s="11">
        <v>300</v>
      </c>
      <c r="R851" s="11">
        <v>300</v>
      </c>
    </row>
    <row r="852" spans="2:18" x14ac:dyDescent="0.35">
      <c r="B852">
        <v>849</v>
      </c>
      <c r="C852" s="1">
        <v>45050</v>
      </c>
      <c r="D852" t="s">
        <v>862</v>
      </c>
      <c r="E852" t="s">
        <v>10</v>
      </c>
      <c r="F852">
        <v>32</v>
      </c>
      <c r="G852" t="str">
        <f>IF(Table14[[#This Row],[Age]]&lt;=25,"Young",IF(Table14[[#This Row],[Age]]&gt;55,"Old",IF(Table14[[#This Row],[Age]]&gt;25,"Middle","Na")))</f>
        <v>Middle</v>
      </c>
      <c r="H852" t="s">
        <v>14</v>
      </c>
      <c r="I852">
        <v>2</v>
      </c>
      <c r="J852">
        <v>25</v>
      </c>
      <c r="K852">
        <v>50</v>
      </c>
      <c r="N852" s="11" t="s">
        <v>952</v>
      </c>
      <c r="O852" s="11" t="s">
        <v>16</v>
      </c>
      <c r="P852" s="11">
        <f>K850/J850</f>
        <v>4</v>
      </c>
      <c r="Q852" s="11">
        <v>300</v>
      </c>
      <c r="R852" s="11">
        <v>300</v>
      </c>
    </row>
    <row r="853" spans="2:18" x14ac:dyDescent="0.35">
      <c r="B853">
        <v>850</v>
      </c>
      <c r="C853" s="1">
        <v>45135</v>
      </c>
      <c r="D853" t="s">
        <v>863</v>
      </c>
      <c r="E853" t="s">
        <v>13</v>
      </c>
      <c r="F853">
        <v>26</v>
      </c>
      <c r="G853" t="str">
        <f>IF(Table14[[#This Row],[Age]]&lt;=25,"Young",IF(Table14[[#This Row],[Age]]&gt;55,"Old",IF(Table14[[#This Row],[Age]]&gt;25,"Middle","Na")))</f>
        <v>Middle</v>
      </c>
      <c r="H853" t="s">
        <v>11</v>
      </c>
      <c r="I853">
        <v>2</v>
      </c>
      <c r="J853">
        <v>500</v>
      </c>
      <c r="K853">
        <v>1000</v>
      </c>
      <c r="N853" s="11" t="s">
        <v>996</v>
      </c>
      <c r="O853" s="11" t="s">
        <v>14</v>
      </c>
      <c r="P853" s="11">
        <f>K851/J851</f>
        <v>3</v>
      </c>
      <c r="Q853" s="11">
        <v>300</v>
      </c>
      <c r="R853" s="11">
        <v>300</v>
      </c>
    </row>
    <row r="854" spans="2:18" x14ac:dyDescent="0.35">
      <c r="B854">
        <v>851</v>
      </c>
      <c r="C854" s="1">
        <v>45177</v>
      </c>
      <c r="D854" t="s">
        <v>864</v>
      </c>
      <c r="E854" t="s">
        <v>10</v>
      </c>
      <c r="F854">
        <v>32</v>
      </c>
      <c r="G854" t="str">
        <f>IF(Table14[[#This Row],[Age]]&lt;=25,"Young",IF(Table14[[#This Row],[Age]]&gt;55,"Old",IF(Table14[[#This Row],[Age]]&gt;25,"Middle","Na")))</f>
        <v>Middle</v>
      </c>
      <c r="H854" t="s">
        <v>16</v>
      </c>
      <c r="I854">
        <v>2</v>
      </c>
      <c r="J854">
        <v>25</v>
      </c>
      <c r="K854">
        <v>50</v>
      </c>
      <c r="N854" s="11" t="s">
        <v>23</v>
      </c>
      <c r="O854" s="11" t="s">
        <v>14</v>
      </c>
      <c r="P854" s="11">
        <f>K852/J852</f>
        <v>2</v>
      </c>
      <c r="Q854" s="11">
        <v>200</v>
      </c>
      <c r="R854" s="11">
        <v>200</v>
      </c>
    </row>
    <row r="855" spans="2:18" x14ac:dyDescent="0.35">
      <c r="B855">
        <v>852</v>
      </c>
      <c r="C855" s="1">
        <v>45211</v>
      </c>
      <c r="D855" t="s">
        <v>865</v>
      </c>
      <c r="E855" t="s">
        <v>13</v>
      </c>
      <c r="F855">
        <v>41</v>
      </c>
      <c r="G855" t="str">
        <f>IF(Table14[[#This Row],[Age]]&lt;=25,"Young",IF(Table14[[#This Row],[Age]]&gt;55,"Old",IF(Table14[[#This Row],[Age]]&gt;25,"Middle","Na")))</f>
        <v>Middle</v>
      </c>
      <c r="H855" t="s">
        <v>14</v>
      </c>
      <c r="I855">
        <v>1</v>
      </c>
      <c r="J855">
        <v>300</v>
      </c>
      <c r="K855">
        <v>300</v>
      </c>
      <c r="N855" s="11" t="s">
        <v>95</v>
      </c>
      <c r="O855" s="11" t="s">
        <v>11</v>
      </c>
      <c r="P855" s="11">
        <f>K853/J853</f>
        <v>2</v>
      </c>
      <c r="Q855" s="11">
        <v>200</v>
      </c>
      <c r="R855" s="11">
        <v>200</v>
      </c>
    </row>
    <row r="856" spans="2:18" x14ac:dyDescent="0.35">
      <c r="B856">
        <v>853</v>
      </c>
      <c r="C856" s="1">
        <v>45050</v>
      </c>
      <c r="D856" t="s">
        <v>866</v>
      </c>
      <c r="E856" t="s">
        <v>10</v>
      </c>
      <c r="F856">
        <v>21</v>
      </c>
      <c r="G856" t="str">
        <f>IF(Table14[[#This Row],[Age]]&lt;=25,"Young",IF(Table14[[#This Row],[Age]]&gt;55,"Old",IF(Table14[[#This Row],[Age]]&gt;25,"Middle","Na")))</f>
        <v>Young</v>
      </c>
      <c r="H856" t="s">
        <v>11</v>
      </c>
      <c r="I856">
        <v>2</v>
      </c>
      <c r="J856">
        <v>500</v>
      </c>
      <c r="K856">
        <v>1000</v>
      </c>
      <c r="N856" s="11" t="s">
        <v>199</v>
      </c>
      <c r="O856" s="11" t="s">
        <v>14</v>
      </c>
      <c r="P856" s="11">
        <f>K854/J854</f>
        <v>2</v>
      </c>
      <c r="Q856" s="11">
        <v>200</v>
      </c>
      <c r="R856" s="11">
        <v>200</v>
      </c>
    </row>
    <row r="857" spans="2:18" x14ac:dyDescent="0.35">
      <c r="B857">
        <v>854</v>
      </c>
      <c r="C857" s="1">
        <v>45280</v>
      </c>
      <c r="D857" t="s">
        <v>867</v>
      </c>
      <c r="E857" t="s">
        <v>10</v>
      </c>
      <c r="F857">
        <v>29</v>
      </c>
      <c r="G857" t="str">
        <f>IF(Table14[[#This Row],[Age]]&lt;=25,"Young",IF(Table14[[#This Row],[Age]]&gt;55,"Old",IF(Table14[[#This Row],[Age]]&gt;25,"Middle","Na")))</f>
        <v>Middle</v>
      </c>
      <c r="H857" t="s">
        <v>14</v>
      </c>
      <c r="I857">
        <v>1</v>
      </c>
      <c r="J857">
        <v>50</v>
      </c>
      <c r="K857">
        <v>50</v>
      </c>
      <c r="N857" s="11" t="s">
        <v>390</v>
      </c>
      <c r="O857" s="11" t="s">
        <v>14</v>
      </c>
      <c r="P857" s="11">
        <f>K855/J855</f>
        <v>1</v>
      </c>
      <c r="Q857" s="11">
        <v>200</v>
      </c>
      <c r="R857" s="11">
        <v>200</v>
      </c>
    </row>
    <row r="858" spans="2:18" x14ac:dyDescent="0.35">
      <c r="B858">
        <v>855</v>
      </c>
      <c r="C858" s="1">
        <v>45170</v>
      </c>
      <c r="D858" t="s">
        <v>868</v>
      </c>
      <c r="E858" t="s">
        <v>10</v>
      </c>
      <c r="F858">
        <v>54</v>
      </c>
      <c r="G858" t="str">
        <f>IF(Table14[[#This Row],[Age]]&lt;=25,"Young",IF(Table14[[#This Row],[Age]]&gt;55,"Old",IF(Table14[[#This Row],[Age]]&gt;25,"Middle","Na")))</f>
        <v>Middle</v>
      </c>
      <c r="H858" t="s">
        <v>11</v>
      </c>
      <c r="I858">
        <v>1</v>
      </c>
      <c r="J858">
        <v>25</v>
      </c>
      <c r="K858">
        <v>25</v>
      </c>
      <c r="N858" s="11" t="s">
        <v>446</v>
      </c>
      <c r="O858" s="11" t="s">
        <v>11</v>
      </c>
      <c r="P858" s="11">
        <f>K856/J856</f>
        <v>2</v>
      </c>
      <c r="Q858" s="11">
        <v>200</v>
      </c>
      <c r="R858" s="11">
        <v>200</v>
      </c>
    </row>
    <row r="859" spans="2:18" x14ac:dyDescent="0.35">
      <c r="B859">
        <v>856</v>
      </c>
      <c r="C859" s="1">
        <v>45257</v>
      </c>
      <c r="D859" t="s">
        <v>869</v>
      </c>
      <c r="E859" t="s">
        <v>10</v>
      </c>
      <c r="F859">
        <v>54</v>
      </c>
      <c r="G859" t="str">
        <f>IF(Table14[[#This Row],[Age]]&lt;=25,"Young",IF(Table14[[#This Row],[Age]]&gt;55,"Old",IF(Table14[[#This Row],[Age]]&gt;25,"Middle","Na")))</f>
        <v>Middle</v>
      </c>
      <c r="H859" t="s">
        <v>16</v>
      </c>
      <c r="I859">
        <v>4</v>
      </c>
      <c r="J859">
        <v>30</v>
      </c>
      <c r="K859">
        <v>120</v>
      </c>
      <c r="N859" s="11" t="s">
        <v>709</v>
      </c>
      <c r="O859" s="11" t="s">
        <v>14</v>
      </c>
      <c r="P859" s="11">
        <f>K857/J857</f>
        <v>1</v>
      </c>
      <c r="Q859" s="11">
        <v>200</v>
      </c>
      <c r="R859" s="11">
        <v>200</v>
      </c>
    </row>
    <row r="860" spans="2:18" x14ac:dyDescent="0.35">
      <c r="B860">
        <v>857</v>
      </c>
      <c r="C860" s="1">
        <v>45291</v>
      </c>
      <c r="D860" t="s">
        <v>870</v>
      </c>
      <c r="E860" t="s">
        <v>10</v>
      </c>
      <c r="F860">
        <v>60</v>
      </c>
      <c r="G860" t="str">
        <f>IF(Table14[[#This Row],[Age]]&lt;=25,"Young",IF(Table14[[#This Row],[Age]]&gt;55,"Old",IF(Table14[[#This Row],[Age]]&gt;25,"Middle","Na")))</f>
        <v>Old</v>
      </c>
      <c r="H860" t="s">
        <v>16</v>
      </c>
      <c r="I860">
        <v>2</v>
      </c>
      <c r="J860">
        <v>25</v>
      </c>
      <c r="K860">
        <v>50</v>
      </c>
      <c r="N860" s="11" t="s">
        <v>830</v>
      </c>
      <c r="O860" s="11" t="s">
        <v>11</v>
      </c>
      <c r="P860" s="11">
        <f>K858/J858</f>
        <v>1</v>
      </c>
      <c r="Q860" s="11">
        <v>200</v>
      </c>
      <c r="R860" s="11">
        <v>200</v>
      </c>
    </row>
    <row r="861" spans="2:18" x14ac:dyDescent="0.35">
      <c r="B861">
        <v>858</v>
      </c>
      <c r="C861" s="1">
        <v>45178</v>
      </c>
      <c r="D861" t="s">
        <v>871</v>
      </c>
      <c r="E861" t="s">
        <v>10</v>
      </c>
      <c r="F861">
        <v>23</v>
      </c>
      <c r="G861" t="str">
        <f>IF(Table14[[#This Row],[Age]]&lt;=25,"Young",IF(Table14[[#This Row],[Age]]&gt;55,"Old",IF(Table14[[#This Row],[Age]]&gt;25,"Middle","Na")))</f>
        <v>Young</v>
      </c>
      <c r="H861" t="s">
        <v>16</v>
      </c>
      <c r="I861">
        <v>2</v>
      </c>
      <c r="J861">
        <v>50</v>
      </c>
      <c r="K861">
        <v>100</v>
      </c>
      <c r="N861" s="11" t="s">
        <v>833</v>
      </c>
      <c r="O861" s="11" t="s">
        <v>16</v>
      </c>
      <c r="P861" s="11">
        <f>K859/J859</f>
        <v>4</v>
      </c>
      <c r="Q861" s="11">
        <v>200</v>
      </c>
      <c r="R861" s="11">
        <v>200</v>
      </c>
    </row>
    <row r="862" spans="2:18" x14ac:dyDescent="0.35">
      <c r="B862">
        <v>859</v>
      </c>
      <c r="C862" s="1">
        <v>45156</v>
      </c>
      <c r="D862" t="s">
        <v>872</v>
      </c>
      <c r="E862" t="s">
        <v>13</v>
      </c>
      <c r="F862">
        <v>56</v>
      </c>
      <c r="G862" t="str">
        <f>IF(Table14[[#This Row],[Age]]&lt;=25,"Young",IF(Table14[[#This Row],[Age]]&gt;55,"Old",IF(Table14[[#This Row],[Age]]&gt;25,"Middle","Na")))</f>
        <v>Old</v>
      </c>
      <c r="H862" t="s">
        <v>16</v>
      </c>
      <c r="I862">
        <v>3</v>
      </c>
      <c r="J862">
        <v>500</v>
      </c>
      <c r="K862">
        <v>1500</v>
      </c>
      <c r="N862" s="11" t="s">
        <v>930</v>
      </c>
      <c r="O862" s="11" t="s">
        <v>16</v>
      </c>
      <c r="P862" s="11">
        <f>K860/J860</f>
        <v>2</v>
      </c>
      <c r="Q862" s="11">
        <v>200</v>
      </c>
      <c r="R862" s="11">
        <v>200</v>
      </c>
    </row>
    <row r="863" spans="2:18" x14ac:dyDescent="0.35">
      <c r="B863">
        <v>860</v>
      </c>
      <c r="C863" s="1">
        <v>44935</v>
      </c>
      <c r="D863" t="s">
        <v>873</v>
      </c>
      <c r="E863" t="s">
        <v>10</v>
      </c>
      <c r="F863">
        <v>63</v>
      </c>
      <c r="G863" t="str">
        <f>IF(Table14[[#This Row],[Age]]&lt;=25,"Young",IF(Table14[[#This Row],[Age]]&gt;55,"Old",IF(Table14[[#This Row],[Age]]&gt;25,"Middle","Na")))</f>
        <v>Old</v>
      </c>
      <c r="H863" t="s">
        <v>14</v>
      </c>
      <c r="I863">
        <v>4</v>
      </c>
      <c r="J863">
        <v>50</v>
      </c>
      <c r="K863">
        <v>200</v>
      </c>
      <c r="N863" s="11" t="s">
        <v>951</v>
      </c>
      <c r="O863" s="11" t="s">
        <v>14</v>
      </c>
      <c r="P863" s="11">
        <f>K861/J861</f>
        <v>2</v>
      </c>
      <c r="Q863" s="11">
        <v>200</v>
      </c>
      <c r="R863" s="11">
        <v>200</v>
      </c>
    </row>
    <row r="864" spans="2:18" x14ac:dyDescent="0.35">
      <c r="B864">
        <v>861</v>
      </c>
      <c r="C864" s="1">
        <v>44974</v>
      </c>
      <c r="D864" t="s">
        <v>874</v>
      </c>
      <c r="E864" t="s">
        <v>13</v>
      </c>
      <c r="F864">
        <v>41</v>
      </c>
      <c r="G864" t="str">
        <f>IF(Table14[[#This Row],[Age]]&lt;=25,"Young",IF(Table14[[#This Row],[Age]]&gt;55,"Old",IF(Table14[[#This Row],[Age]]&gt;25,"Middle","Na")))</f>
        <v>Middle</v>
      </c>
      <c r="H864" t="s">
        <v>14</v>
      </c>
      <c r="I864">
        <v>3</v>
      </c>
      <c r="J864">
        <v>30</v>
      </c>
      <c r="K864">
        <v>90</v>
      </c>
      <c r="N864" s="11" t="s">
        <v>47</v>
      </c>
      <c r="O864" s="11" t="s">
        <v>14</v>
      </c>
      <c r="P864" s="11">
        <f>K862/J862</f>
        <v>3</v>
      </c>
      <c r="Q864" s="11">
        <v>150</v>
      </c>
      <c r="R864" s="11">
        <v>150</v>
      </c>
    </row>
    <row r="865" spans="2:18" x14ac:dyDescent="0.35">
      <c r="B865">
        <v>862</v>
      </c>
      <c r="C865" s="1">
        <v>45077</v>
      </c>
      <c r="D865" t="s">
        <v>875</v>
      </c>
      <c r="E865" t="s">
        <v>10</v>
      </c>
      <c r="F865">
        <v>28</v>
      </c>
      <c r="G865" t="str">
        <f>IF(Table14[[#This Row],[Age]]&lt;=25,"Young",IF(Table14[[#This Row],[Age]]&gt;55,"Old",IF(Table14[[#This Row],[Age]]&gt;25,"Middle","Na")))</f>
        <v>Middle</v>
      </c>
      <c r="H865" t="s">
        <v>16</v>
      </c>
      <c r="I865">
        <v>4</v>
      </c>
      <c r="J865">
        <v>300</v>
      </c>
      <c r="K865">
        <v>1200</v>
      </c>
      <c r="N865" s="11" t="s">
        <v>337</v>
      </c>
      <c r="O865" s="11" t="s">
        <v>16</v>
      </c>
      <c r="P865" s="11">
        <f>K863/J863</f>
        <v>4</v>
      </c>
      <c r="Q865" s="11">
        <v>150</v>
      </c>
      <c r="R865" s="11">
        <v>150</v>
      </c>
    </row>
    <row r="866" spans="2:18" x14ac:dyDescent="0.35">
      <c r="B866">
        <v>863</v>
      </c>
      <c r="C866" s="1">
        <v>45040</v>
      </c>
      <c r="D866" t="s">
        <v>876</v>
      </c>
      <c r="E866" t="s">
        <v>13</v>
      </c>
      <c r="F866">
        <v>30</v>
      </c>
      <c r="G866" t="str">
        <f>IF(Table14[[#This Row],[Age]]&lt;=25,"Young",IF(Table14[[#This Row],[Age]]&gt;55,"Old",IF(Table14[[#This Row],[Age]]&gt;25,"Middle","Na")))</f>
        <v>Middle</v>
      </c>
      <c r="H866" t="s">
        <v>16</v>
      </c>
      <c r="I866">
        <v>2</v>
      </c>
      <c r="J866">
        <v>25</v>
      </c>
      <c r="K866">
        <v>50</v>
      </c>
      <c r="N866" s="11" t="s">
        <v>480</v>
      </c>
      <c r="O866" s="11" t="s">
        <v>16</v>
      </c>
      <c r="P866" s="11">
        <f>K864/J864</f>
        <v>3</v>
      </c>
      <c r="Q866" s="11">
        <v>150</v>
      </c>
      <c r="R866" s="11">
        <v>150</v>
      </c>
    </row>
    <row r="867" spans="2:18" x14ac:dyDescent="0.35">
      <c r="B867">
        <v>864</v>
      </c>
      <c r="C867" s="1">
        <v>45134</v>
      </c>
      <c r="D867" t="s">
        <v>877</v>
      </c>
      <c r="E867" t="s">
        <v>13</v>
      </c>
      <c r="F867">
        <v>51</v>
      </c>
      <c r="G867" t="str">
        <f>IF(Table14[[#This Row],[Age]]&lt;=25,"Young",IF(Table14[[#This Row],[Age]]&gt;55,"Old",IF(Table14[[#This Row],[Age]]&gt;25,"Middle","Na")))</f>
        <v>Middle</v>
      </c>
      <c r="H867" t="s">
        <v>16</v>
      </c>
      <c r="I867">
        <v>1</v>
      </c>
      <c r="J867">
        <v>500</v>
      </c>
      <c r="K867">
        <v>500</v>
      </c>
      <c r="N867" s="11" t="s">
        <v>664</v>
      </c>
      <c r="O867" s="11" t="s">
        <v>14</v>
      </c>
      <c r="P867" s="11">
        <f>K865/J865</f>
        <v>4</v>
      </c>
      <c r="Q867" s="11">
        <v>150</v>
      </c>
      <c r="R867" s="11">
        <v>150</v>
      </c>
    </row>
    <row r="868" spans="2:18" x14ac:dyDescent="0.35">
      <c r="B868">
        <v>865</v>
      </c>
      <c r="C868" s="1">
        <v>45281</v>
      </c>
      <c r="D868" t="s">
        <v>878</v>
      </c>
      <c r="E868" t="s">
        <v>13</v>
      </c>
      <c r="F868">
        <v>42</v>
      </c>
      <c r="G868" t="str">
        <f>IF(Table14[[#This Row],[Age]]&lt;=25,"Young",IF(Table14[[#This Row],[Age]]&gt;55,"Old",IF(Table14[[#This Row],[Age]]&gt;25,"Middle","Na")))</f>
        <v>Middle</v>
      </c>
      <c r="H868" t="s">
        <v>14</v>
      </c>
      <c r="I868">
        <v>1</v>
      </c>
      <c r="J868">
        <v>300</v>
      </c>
      <c r="K868">
        <v>300</v>
      </c>
      <c r="N868" s="11" t="s">
        <v>681</v>
      </c>
      <c r="O868" s="11" t="s">
        <v>16</v>
      </c>
      <c r="P868" s="11">
        <f>K866/J866</f>
        <v>2</v>
      </c>
      <c r="Q868" s="11">
        <v>150</v>
      </c>
      <c r="R868" s="11">
        <v>150</v>
      </c>
    </row>
    <row r="869" spans="2:18" x14ac:dyDescent="0.35">
      <c r="B869">
        <v>866</v>
      </c>
      <c r="C869" s="1">
        <v>45051</v>
      </c>
      <c r="D869" t="s">
        <v>879</v>
      </c>
      <c r="E869" t="s">
        <v>10</v>
      </c>
      <c r="F869">
        <v>24</v>
      </c>
      <c r="G869" t="str">
        <f>IF(Table14[[#This Row],[Age]]&lt;=25,"Young",IF(Table14[[#This Row],[Age]]&gt;55,"Old",IF(Table14[[#This Row],[Age]]&gt;25,"Middle","Na")))</f>
        <v>Young</v>
      </c>
      <c r="H869" t="s">
        <v>16</v>
      </c>
      <c r="I869">
        <v>1</v>
      </c>
      <c r="J869">
        <v>50</v>
      </c>
      <c r="K869">
        <v>50</v>
      </c>
      <c r="N869" s="11" t="s">
        <v>684</v>
      </c>
      <c r="O869" s="11" t="s">
        <v>16</v>
      </c>
      <c r="P869" s="11">
        <f>K867/J867</f>
        <v>1</v>
      </c>
      <c r="Q869" s="11">
        <v>150</v>
      </c>
      <c r="R869" s="11">
        <v>150</v>
      </c>
    </row>
    <row r="870" spans="2:18" x14ac:dyDescent="0.35">
      <c r="B870">
        <v>867</v>
      </c>
      <c r="C870" s="1">
        <v>45083</v>
      </c>
      <c r="D870" t="s">
        <v>880</v>
      </c>
      <c r="E870" t="s">
        <v>10</v>
      </c>
      <c r="F870">
        <v>21</v>
      </c>
      <c r="G870" t="str">
        <f>IF(Table14[[#This Row],[Age]]&lt;=25,"Young",IF(Table14[[#This Row],[Age]]&gt;55,"Old",IF(Table14[[#This Row],[Age]]&gt;25,"Middle","Na")))</f>
        <v>Young</v>
      </c>
      <c r="H870" t="s">
        <v>16</v>
      </c>
      <c r="I870">
        <v>1</v>
      </c>
      <c r="J870">
        <v>500</v>
      </c>
      <c r="K870">
        <v>500</v>
      </c>
      <c r="N870" s="11" t="s">
        <v>741</v>
      </c>
      <c r="O870" s="11" t="s">
        <v>16</v>
      </c>
      <c r="P870" s="11">
        <f>K868/J868</f>
        <v>1</v>
      </c>
      <c r="Q870" s="11">
        <v>150</v>
      </c>
      <c r="R870" s="11">
        <v>150</v>
      </c>
    </row>
    <row r="871" spans="2:18" x14ac:dyDescent="0.35">
      <c r="B871">
        <v>868</v>
      </c>
      <c r="C871" s="1">
        <v>45266</v>
      </c>
      <c r="D871" t="s">
        <v>881</v>
      </c>
      <c r="E871" t="s">
        <v>13</v>
      </c>
      <c r="F871">
        <v>25</v>
      </c>
      <c r="G871" t="str">
        <f>IF(Table14[[#This Row],[Age]]&lt;=25,"Young",IF(Table14[[#This Row],[Age]]&gt;55,"Old",IF(Table14[[#This Row],[Age]]&gt;25,"Middle","Na")))</f>
        <v>Young</v>
      </c>
      <c r="H871" t="s">
        <v>16</v>
      </c>
      <c r="I871">
        <v>1</v>
      </c>
      <c r="J871">
        <v>300</v>
      </c>
      <c r="K871">
        <v>300</v>
      </c>
      <c r="N871" s="11" t="s">
        <v>105</v>
      </c>
      <c r="O871" s="11" t="s">
        <v>16</v>
      </c>
      <c r="P871" s="11">
        <f>K869/J869</f>
        <v>1</v>
      </c>
      <c r="Q871" s="11">
        <v>120</v>
      </c>
      <c r="R871" s="11">
        <v>120</v>
      </c>
    </row>
    <row r="872" spans="2:18" x14ac:dyDescent="0.35">
      <c r="B872">
        <v>869</v>
      </c>
      <c r="C872" s="1">
        <v>45224</v>
      </c>
      <c r="D872" t="s">
        <v>882</v>
      </c>
      <c r="E872" t="s">
        <v>10</v>
      </c>
      <c r="F872">
        <v>37</v>
      </c>
      <c r="G872" t="str">
        <f>IF(Table14[[#This Row],[Age]]&lt;=25,"Young",IF(Table14[[#This Row],[Age]]&gt;55,"Old",IF(Table14[[#This Row],[Age]]&gt;25,"Middle","Na")))</f>
        <v>Middle</v>
      </c>
      <c r="H872" t="s">
        <v>11</v>
      </c>
      <c r="I872">
        <v>3</v>
      </c>
      <c r="J872">
        <v>500</v>
      </c>
      <c r="K872">
        <v>1500</v>
      </c>
      <c r="N872" s="11" t="s">
        <v>284</v>
      </c>
      <c r="O872" s="11" t="s">
        <v>11</v>
      </c>
      <c r="P872" s="11">
        <f>K870/J870</f>
        <v>1</v>
      </c>
      <c r="Q872" s="11">
        <v>120</v>
      </c>
      <c r="R872" s="11">
        <v>120</v>
      </c>
    </row>
    <row r="873" spans="2:18" x14ac:dyDescent="0.35">
      <c r="B873">
        <v>870</v>
      </c>
      <c r="C873" s="1">
        <v>45115</v>
      </c>
      <c r="D873" t="s">
        <v>883</v>
      </c>
      <c r="E873" t="s">
        <v>13</v>
      </c>
      <c r="F873">
        <v>46</v>
      </c>
      <c r="G873" t="str">
        <f>IF(Table14[[#This Row],[Age]]&lt;=25,"Young",IF(Table14[[#This Row],[Age]]&gt;55,"Old",IF(Table14[[#This Row],[Age]]&gt;25,"Middle","Na")))</f>
        <v>Middle</v>
      </c>
      <c r="H873" t="s">
        <v>16</v>
      </c>
      <c r="I873">
        <v>4</v>
      </c>
      <c r="J873">
        <v>30</v>
      </c>
      <c r="K873">
        <v>120</v>
      </c>
      <c r="N873" s="11" t="s">
        <v>314</v>
      </c>
      <c r="O873" s="11" t="s">
        <v>14</v>
      </c>
      <c r="P873" s="11">
        <f>K871/J871</f>
        <v>1</v>
      </c>
      <c r="Q873" s="11">
        <v>120</v>
      </c>
      <c r="R873" s="11">
        <v>120</v>
      </c>
    </row>
    <row r="874" spans="2:18" x14ac:dyDescent="0.35">
      <c r="B874">
        <v>871</v>
      </c>
      <c r="C874" s="1">
        <v>45169</v>
      </c>
      <c r="D874" t="s">
        <v>884</v>
      </c>
      <c r="E874" t="s">
        <v>10</v>
      </c>
      <c r="F874">
        <v>62</v>
      </c>
      <c r="G874" t="str">
        <f>IF(Table14[[#This Row],[Age]]&lt;=25,"Young",IF(Table14[[#This Row],[Age]]&gt;55,"Old",IF(Table14[[#This Row],[Age]]&gt;25,"Middle","Na")))</f>
        <v>Old</v>
      </c>
      <c r="H874" t="s">
        <v>11</v>
      </c>
      <c r="I874">
        <v>2</v>
      </c>
      <c r="J874">
        <v>30</v>
      </c>
      <c r="K874">
        <v>60</v>
      </c>
      <c r="N874" s="11" t="s">
        <v>438</v>
      </c>
      <c r="O874" s="11" t="s">
        <v>16</v>
      </c>
      <c r="P874" s="11">
        <f>K872/J872</f>
        <v>3</v>
      </c>
      <c r="Q874" s="11">
        <v>120</v>
      </c>
      <c r="R874" s="11">
        <v>120</v>
      </c>
    </row>
    <row r="875" spans="2:18" x14ac:dyDescent="0.35">
      <c r="B875">
        <v>872</v>
      </c>
      <c r="C875" s="1">
        <v>45210</v>
      </c>
      <c r="D875" t="s">
        <v>885</v>
      </c>
      <c r="E875" t="s">
        <v>13</v>
      </c>
      <c r="F875">
        <v>63</v>
      </c>
      <c r="G875" t="str">
        <f>IF(Table14[[#This Row],[Age]]&lt;=25,"Young",IF(Table14[[#This Row],[Age]]&gt;55,"Old",IF(Table14[[#This Row],[Age]]&gt;25,"Middle","Na")))</f>
        <v>Old</v>
      </c>
      <c r="H875" t="s">
        <v>11</v>
      </c>
      <c r="I875">
        <v>3</v>
      </c>
      <c r="J875">
        <v>25</v>
      </c>
      <c r="K875">
        <v>75</v>
      </c>
      <c r="N875" s="11" t="s">
        <v>534</v>
      </c>
      <c r="O875" s="11" t="s">
        <v>14</v>
      </c>
      <c r="P875" s="11">
        <f>K873/J873</f>
        <v>4</v>
      </c>
      <c r="Q875" s="11">
        <v>120</v>
      </c>
      <c r="R875" s="11">
        <v>120</v>
      </c>
    </row>
    <row r="876" spans="2:18" x14ac:dyDescent="0.35">
      <c r="B876">
        <v>873</v>
      </c>
      <c r="C876" s="1">
        <v>45198</v>
      </c>
      <c r="D876" t="s">
        <v>886</v>
      </c>
      <c r="E876" t="s">
        <v>13</v>
      </c>
      <c r="F876">
        <v>27</v>
      </c>
      <c r="G876" t="str">
        <f>IF(Table14[[#This Row],[Age]]&lt;=25,"Young",IF(Table14[[#This Row],[Age]]&gt;55,"Old",IF(Table14[[#This Row],[Age]]&gt;25,"Middle","Na")))</f>
        <v>Middle</v>
      </c>
      <c r="H876" t="s">
        <v>16</v>
      </c>
      <c r="I876">
        <v>4</v>
      </c>
      <c r="J876">
        <v>25</v>
      </c>
      <c r="K876">
        <v>100</v>
      </c>
      <c r="N876" s="11" t="s">
        <v>658</v>
      </c>
      <c r="O876" s="11" t="s">
        <v>16</v>
      </c>
      <c r="P876" s="11">
        <f>K874/J874</f>
        <v>2</v>
      </c>
      <c r="Q876" s="11">
        <v>120</v>
      </c>
      <c r="R876" s="11">
        <v>120</v>
      </c>
    </row>
    <row r="877" spans="2:18" x14ac:dyDescent="0.35">
      <c r="B877">
        <v>874</v>
      </c>
      <c r="C877" s="1">
        <v>45103</v>
      </c>
      <c r="D877" t="s">
        <v>887</v>
      </c>
      <c r="E877" t="s">
        <v>10</v>
      </c>
      <c r="F877">
        <v>60</v>
      </c>
      <c r="G877" t="str">
        <f>IF(Table14[[#This Row],[Age]]&lt;=25,"Young",IF(Table14[[#This Row],[Age]]&gt;55,"Old",IF(Table14[[#This Row],[Age]]&gt;25,"Middle","Na")))</f>
        <v>Old</v>
      </c>
      <c r="H877" t="s">
        <v>11</v>
      </c>
      <c r="I877">
        <v>1</v>
      </c>
      <c r="J877">
        <v>30</v>
      </c>
      <c r="K877">
        <v>30</v>
      </c>
      <c r="N877" s="11" t="s">
        <v>883</v>
      </c>
      <c r="O877" s="11" t="s">
        <v>16</v>
      </c>
      <c r="P877" s="11">
        <f>K875/J875</f>
        <v>3</v>
      </c>
      <c r="Q877" s="11">
        <v>120</v>
      </c>
      <c r="R877" s="11">
        <v>120</v>
      </c>
    </row>
    <row r="878" spans="2:18" x14ac:dyDescent="0.35">
      <c r="B878">
        <v>875</v>
      </c>
      <c r="C878" s="1">
        <v>45144</v>
      </c>
      <c r="D878" t="s">
        <v>888</v>
      </c>
      <c r="E878" t="s">
        <v>13</v>
      </c>
      <c r="F878">
        <v>51</v>
      </c>
      <c r="G878" t="str">
        <f>IF(Table14[[#This Row],[Age]]&lt;=25,"Young",IF(Table14[[#This Row],[Age]]&gt;55,"Old",IF(Table14[[#This Row],[Age]]&gt;25,"Middle","Na")))</f>
        <v>Middle</v>
      </c>
      <c r="H878" t="s">
        <v>16</v>
      </c>
      <c r="I878">
        <v>4</v>
      </c>
      <c r="J878">
        <v>500</v>
      </c>
      <c r="K878">
        <v>2000</v>
      </c>
      <c r="N878" s="11" t="s">
        <v>898</v>
      </c>
      <c r="O878" s="11" t="s">
        <v>14</v>
      </c>
      <c r="P878" s="11">
        <f>K876/J876</f>
        <v>4</v>
      </c>
      <c r="Q878" s="11">
        <v>120</v>
      </c>
      <c r="R878" s="11">
        <v>120</v>
      </c>
    </row>
    <row r="879" spans="2:18" x14ac:dyDescent="0.35">
      <c r="B879">
        <v>876</v>
      </c>
      <c r="C879" s="1">
        <v>45208</v>
      </c>
      <c r="D879" t="s">
        <v>889</v>
      </c>
      <c r="E879" t="s">
        <v>10</v>
      </c>
      <c r="F879">
        <v>43</v>
      </c>
      <c r="G879" t="str">
        <f>IF(Table14[[#This Row],[Age]]&lt;=25,"Young",IF(Table14[[#This Row],[Age]]&gt;55,"Old",IF(Table14[[#This Row],[Age]]&gt;25,"Middle","Na")))</f>
        <v>Middle</v>
      </c>
      <c r="H879" t="s">
        <v>14</v>
      </c>
      <c r="I879">
        <v>4</v>
      </c>
      <c r="J879">
        <v>30</v>
      </c>
      <c r="K879">
        <v>120</v>
      </c>
      <c r="N879" s="11" t="s">
        <v>944</v>
      </c>
      <c r="O879" s="11" t="s">
        <v>11</v>
      </c>
      <c r="P879" s="11">
        <f>K877/J877</f>
        <v>1</v>
      </c>
      <c r="Q879" s="11">
        <v>120</v>
      </c>
      <c r="R879" s="11">
        <v>120</v>
      </c>
    </row>
    <row r="880" spans="2:18" x14ac:dyDescent="0.35">
      <c r="B880">
        <v>877</v>
      </c>
      <c r="C880" s="1">
        <v>45096</v>
      </c>
      <c r="D880" t="s">
        <v>890</v>
      </c>
      <c r="E880" t="s">
        <v>13</v>
      </c>
      <c r="F880">
        <v>58</v>
      </c>
      <c r="G880" t="str">
        <f>IF(Table14[[#This Row],[Age]]&lt;=25,"Young",IF(Table14[[#This Row],[Age]]&gt;55,"Old",IF(Table14[[#This Row],[Age]]&gt;25,"Middle","Na")))</f>
        <v>Old</v>
      </c>
      <c r="H880" t="s">
        <v>14</v>
      </c>
      <c r="I880">
        <v>1</v>
      </c>
      <c r="J880">
        <v>25</v>
      </c>
      <c r="K880">
        <v>25</v>
      </c>
      <c r="N880" s="11" t="s">
        <v>970</v>
      </c>
      <c r="O880" s="11" t="s">
        <v>16</v>
      </c>
      <c r="P880" s="11">
        <f>K878/J878</f>
        <v>4</v>
      </c>
      <c r="Q880" s="11">
        <v>120</v>
      </c>
      <c r="R880" s="11">
        <v>120</v>
      </c>
    </row>
    <row r="881" spans="2:18" x14ac:dyDescent="0.35">
      <c r="B881">
        <v>878</v>
      </c>
      <c r="C881" s="1">
        <v>45107</v>
      </c>
      <c r="D881" t="s">
        <v>891</v>
      </c>
      <c r="E881" t="s">
        <v>13</v>
      </c>
      <c r="F881">
        <v>20</v>
      </c>
      <c r="G881" t="str">
        <f>IF(Table14[[#This Row],[Age]]&lt;=25,"Young",IF(Table14[[#This Row],[Age]]&gt;55,"Old",IF(Table14[[#This Row],[Age]]&gt;25,"Middle","Na")))</f>
        <v>Young</v>
      </c>
      <c r="H881" t="s">
        <v>14</v>
      </c>
      <c r="I881">
        <v>1</v>
      </c>
      <c r="J881">
        <v>30</v>
      </c>
      <c r="K881">
        <v>30</v>
      </c>
      <c r="N881" s="11" t="s">
        <v>21</v>
      </c>
      <c r="O881" s="11" t="s">
        <v>16</v>
      </c>
      <c r="P881" s="11">
        <f>K879/J879</f>
        <v>4</v>
      </c>
      <c r="Q881" s="11">
        <v>100</v>
      </c>
      <c r="R881" s="11">
        <v>100</v>
      </c>
    </row>
    <row r="882" spans="2:18" x14ac:dyDescent="0.35">
      <c r="B882">
        <v>879</v>
      </c>
      <c r="C882" s="1">
        <v>45286</v>
      </c>
      <c r="D882" t="s">
        <v>892</v>
      </c>
      <c r="E882" t="s">
        <v>10</v>
      </c>
      <c r="F882">
        <v>23</v>
      </c>
      <c r="G882" t="str">
        <f>IF(Table14[[#This Row],[Age]]&lt;=25,"Young",IF(Table14[[#This Row],[Age]]&gt;55,"Old",IF(Table14[[#This Row],[Age]]&gt;25,"Middle","Na")))</f>
        <v>Young</v>
      </c>
      <c r="H882" t="s">
        <v>14</v>
      </c>
      <c r="I882">
        <v>1</v>
      </c>
      <c r="J882">
        <v>30</v>
      </c>
      <c r="K882">
        <v>30</v>
      </c>
      <c r="N882" s="11" t="s">
        <v>300</v>
      </c>
      <c r="O882" s="11" t="s">
        <v>14</v>
      </c>
      <c r="P882" s="11">
        <f>K880/J880</f>
        <v>1</v>
      </c>
      <c r="Q882" s="11">
        <v>100</v>
      </c>
      <c r="R882" s="11">
        <v>100</v>
      </c>
    </row>
    <row r="883" spans="2:18" x14ac:dyDescent="0.35">
      <c r="B883">
        <v>880</v>
      </c>
      <c r="C883" s="1">
        <v>45159</v>
      </c>
      <c r="D883" t="s">
        <v>893</v>
      </c>
      <c r="E883" t="s">
        <v>10</v>
      </c>
      <c r="F883">
        <v>22</v>
      </c>
      <c r="G883" t="str">
        <f>IF(Table14[[#This Row],[Age]]&lt;=25,"Young",IF(Table14[[#This Row],[Age]]&gt;55,"Old",IF(Table14[[#This Row],[Age]]&gt;25,"Middle","Na")))</f>
        <v>Young</v>
      </c>
      <c r="H883" t="s">
        <v>11</v>
      </c>
      <c r="I883">
        <v>2</v>
      </c>
      <c r="J883">
        <v>500</v>
      </c>
      <c r="K883">
        <v>1000</v>
      </c>
      <c r="N883" s="11" t="s">
        <v>324</v>
      </c>
      <c r="O883" s="11" t="s">
        <v>11</v>
      </c>
      <c r="P883" s="11">
        <f>K881/J881</f>
        <v>1</v>
      </c>
      <c r="Q883" s="11">
        <v>100</v>
      </c>
      <c r="R883" s="11">
        <v>100</v>
      </c>
    </row>
    <row r="884" spans="2:18" x14ac:dyDescent="0.35">
      <c r="B884">
        <v>881</v>
      </c>
      <c r="C884" s="1">
        <v>45065</v>
      </c>
      <c r="D884" t="s">
        <v>894</v>
      </c>
      <c r="E884" t="s">
        <v>10</v>
      </c>
      <c r="F884">
        <v>22</v>
      </c>
      <c r="G884" t="str">
        <f>IF(Table14[[#This Row],[Age]]&lt;=25,"Young",IF(Table14[[#This Row],[Age]]&gt;55,"Old",IF(Table14[[#This Row],[Age]]&gt;25,"Middle","Na")))</f>
        <v>Young</v>
      </c>
      <c r="H884" t="s">
        <v>16</v>
      </c>
      <c r="I884">
        <v>1</v>
      </c>
      <c r="J884">
        <v>300</v>
      </c>
      <c r="K884">
        <v>300</v>
      </c>
      <c r="N884" s="11" t="s">
        <v>373</v>
      </c>
      <c r="O884" s="11" t="s">
        <v>14</v>
      </c>
      <c r="P884" s="11">
        <f>K882/J882</f>
        <v>1</v>
      </c>
      <c r="Q884" s="11">
        <v>100</v>
      </c>
      <c r="R884" s="11">
        <v>100</v>
      </c>
    </row>
    <row r="885" spans="2:18" x14ac:dyDescent="0.35">
      <c r="B885">
        <v>882</v>
      </c>
      <c r="C885" s="1">
        <v>45083</v>
      </c>
      <c r="D885" t="s">
        <v>895</v>
      </c>
      <c r="E885" t="s">
        <v>13</v>
      </c>
      <c r="F885">
        <v>64</v>
      </c>
      <c r="G885" t="str">
        <f>IF(Table14[[#This Row],[Age]]&lt;=25,"Young",IF(Table14[[#This Row],[Age]]&gt;55,"Old",IF(Table14[[#This Row],[Age]]&gt;25,"Middle","Na")))</f>
        <v>Old</v>
      </c>
      <c r="H885" t="s">
        <v>16</v>
      </c>
      <c r="I885">
        <v>2</v>
      </c>
      <c r="J885">
        <v>25</v>
      </c>
      <c r="K885">
        <v>50</v>
      </c>
      <c r="N885" s="11" t="s">
        <v>419</v>
      </c>
      <c r="O885" s="11" t="s">
        <v>11</v>
      </c>
      <c r="P885" s="11">
        <f>K883/J883</f>
        <v>2</v>
      </c>
      <c r="Q885" s="11">
        <v>100</v>
      </c>
      <c r="R885" s="11">
        <v>100</v>
      </c>
    </row>
    <row r="886" spans="2:18" x14ac:dyDescent="0.35">
      <c r="B886">
        <v>883</v>
      </c>
      <c r="C886" s="1">
        <v>45055</v>
      </c>
      <c r="D886" t="s">
        <v>896</v>
      </c>
      <c r="E886" t="s">
        <v>10</v>
      </c>
      <c r="F886">
        <v>40</v>
      </c>
      <c r="G886" t="str">
        <f>IF(Table14[[#This Row],[Age]]&lt;=25,"Young",IF(Table14[[#This Row],[Age]]&gt;55,"Old",IF(Table14[[#This Row],[Age]]&gt;25,"Middle","Na")))</f>
        <v>Middle</v>
      </c>
      <c r="H886" t="s">
        <v>16</v>
      </c>
      <c r="I886">
        <v>1</v>
      </c>
      <c r="J886">
        <v>500</v>
      </c>
      <c r="K886">
        <v>500</v>
      </c>
      <c r="N886" s="11" t="s">
        <v>505</v>
      </c>
      <c r="O886" s="11" t="s">
        <v>11</v>
      </c>
      <c r="P886" s="11">
        <f>K884/J884</f>
        <v>1</v>
      </c>
      <c r="Q886" s="11">
        <v>100</v>
      </c>
      <c r="R886" s="11">
        <v>100</v>
      </c>
    </row>
    <row r="887" spans="2:18" x14ac:dyDescent="0.35">
      <c r="B887">
        <v>884</v>
      </c>
      <c r="C887" s="1">
        <v>45045</v>
      </c>
      <c r="D887" t="s">
        <v>897</v>
      </c>
      <c r="E887" t="s">
        <v>13</v>
      </c>
      <c r="F887">
        <v>26</v>
      </c>
      <c r="G887" t="str">
        <f>IF(Table14[[#This Row],[Age]]&lt;=25,"Young",IF(Table14[[#This Row],[Age]]&gt;55,"Old",IF(Table14[[#This Row],[Age]]&gt;25,"Middle","Na")))</f>
        <v>Middle</v>
      </c>
      <c r="H887" t="s">
        <v>14</v>
      </c>
      <c r="I887">
        <v>2</v>
      </c>
      <c r="J887">
        <v>30</v>
      </c>
      <c r="K887">
        <v>60</v>
      </c>
      <c r="N887" s="11" t="s">
        <v>513</v>
      </c>
      <c r="O887" s="11" t="s">
        <v>11</v>
      </c>
      <c r="P887" s="11">
        <f>K885/J885</f>
        <v>2</v>
      </c>
      <c r="Q887" s="11">
        <v>100</v>
      </c>
      <c r="R887" s="11">
        <v>100</v>
      </c>
    </row>
    <row r="888" spans="2:18" x14ac:dyDescent="0.35">
      <c r="B888">
        <v>885</v>
      </c>
      <c r="C888" s="1">
        <v>44988</v>
      </c>
      <c r="D888" t="s">
        <v>898</v>
      </c>
      <c r="E888" t="s">
        <v>13</v>
      </c>
      <c r="F888">
        <v>52</v>
      </c>
      <c r="G888" t="str">
        <f>IF(Table14[[#This Row],[Age]]&lt;=25,"Young",IF(Table14[[#This Row],[Age]]&gt;55,"Old",IF(Table14[[#This Row],[Age]]&gt;25,"Middle","Na")))</f>
        <v>Middle</v>
      </c>
      <c r="H888" t="s">
        <v>14</v>
      </c>
      <c r="I888">
        <v>4</v>
      </c>
      <c r="J888">
        <v>30</v>
      </c>
      <c r="K888">
        <v>120</v>
      </c>
      <c r="N888" s="11" t="s">
        <v>529</v>
      </c>
      <c r="O888" s="11" t="s">
        <v>11</v>
      </c>
      <c r="P888" s="11">
        <f>K886/J886</f>
        <v>1</v>
      </c>
      <c r="Q888" s="11">
        <v>100</v>
      </c>
      <c r="R888" s="11">
        <v>100</v>
      </c>
    </row>
    <row r="889" spans="2:18" x14ac:dyDescent="0.35">
      <c r="B889">
        <v>886</v>
      </c>
      <c r="C889" s="1">
        <v>45025</v>
      </c>
      <c r="D889" t="s">
        <v>899</v>
      </c>
      <c r="E889" t="s">
        <v>10</v>
      </c>
      <c r="F889">
        <v>37</v>
      </c>
      <c r="G889" t="str">
        <f>IF(Table14[[#This Row],[Age]]&lt;=25,"Young",IF(Table14[[#This Row],[Age]]&gt;55,"Old",IF(Table14[[#This Row],[Age]]&gt;25,"Middle","Na")))</f>
        <v>Middle</v>
      </c>
      <c r="H889" t="s">
        <v>16</v>
      </c>
      <c r="I889">
        <v>3</v>
      </c>
      <c r="J889">
        <v>300</v>
      </c>
      <c r="K889">
        <v>900</v>
      </c>
      <c r="N889" s="11" t="s">
        <v>530</v>
      </c>
      <c r="O889" s="11" t="s">
        <v>14</v>
      </c>
      <c r="P889" s="11">
        <f>K887/J887</f>
        <v>2</v>
      </c>
      <c r="Q889" s="11">
        <v>100</v>
      </c>
      <c r="R889" s="11">
        <v>100</v>
      </c>
    </row>
    <row r="890" spans="2:18" x14ac:dyDescent="0.35">
      <c r="B890">
        <v>887</v>
      </c>
      <c r="C890" s="1">
        <v>45088</v>
      </c>
      <c r="D890" t="s">
        <v>900</v>
      </c>
      <c r="E890" t="s">
        <v>10</v>
      </c>
      <c r="F890">
        <v>59</v>
      </c>
      <c r="G890" t="str">
        <f>IF(Table14[[#This Row],[Age]]&lt;=25,"Young",IF(Table14[[#This Row],[Age]]&gt;55,"Old",IF(Table14[[#This Row],[Age]]&gt;25,"Middle","Na")))</f>
        <v>Old</v>
      </c>
      <c r="H890" t="s">
        <v>14</v>
      </c>
      <c r="I890">
        <v>4</v>
      </c>
      <c r="J890">
        <v>25</v>
      </c>
      <c r="K890">
        <v>100</v>
      </c>
      <c r="N890" s="11" t="s">
        <v>674</v>
      </c>
      <c r="O890" s="11" t="s">
        <v>14</v>
      </c>
      <c r="P890" s="11">
        <f>K888/J888</f>
        <v>4</v>
      </c>
      <c r="Q890" s="11">
        <v>100</v>
      </c>
      <c r="R890" s="11">
        <v>100</v>
      </c>
    </row>
    <row r="891" spans="2:18" x14ac:dyDescent="0.35">
      <c r="B891">
        <v>888</v>
      </c>
      <c r="C891" s="1">
        <v>44988</v>
      </c>
      <c r="D891" t="s">
        <v>901</v>
      </c>
      <c r="E891" t="s">
        <v>13</v>
      </c>
      <c r="F891">
        <v>52</v>
      </c>
      <c r="G891" t="str">
        <f>IF(Table14[[#This Row],[Age]]&lt;=25,"Young",IF(Table14[[#This Row],[Age]]&gt;55,"Old",IF(Table14[[#This Row],[Age]]&gt;25,"Middle","Na")))</f>
        <v>Middle</v>
      </c>
      <c r="H891" t="s">
        <v>16</v>
      </c>
      <c r="I891">
        <v>4</v>
      </c>
      <c r="J891">
        <v>25</v>
      </c>
      <c r="K891">
        <v>100</v>
      </c>
      <c r="N891" s="11" t="s">
        <v>771</v>
      </c>
      <c r="O891" s="11" t="s">
        <v>14</v>
      </c>
      <c r="P891" s="11">
        <f>K889/J889</f>
        <v>3</v>
      </c>
      <c r="Q891" s="11">
        <v>100</v>
      </c>
      <c r="R891" s="11">
        <v>100</v>
      </c>
    </row>
    <row r="892" spans="2:18" x14ac:dyDescent="0.35">
      <c r="B892">
        <v>889</v>
      </c>
      <c r="C892" s="1">
        <v>45201</v>
      </c>
      <c r="D892" t="s">
        <v>902</v>
      </c>
      <c r="E892" t="s">
        <v>13</v>
      </c>
      <c r="F892">
        <v>35</v>
      </c>
      <c r="G892" t="str">
        <f>IF(Table14[[#This Row],[Age]]&lt;=25,"Young",IF(Table14[[#This Row],[Age]]&gt;55,"Old",IF(Table14[[#This Row],[Age]]&gt;25,"Middle","Na")))</f>
        <v>Middle</v>
      </c>
      <c r="H892" t="s">
        <v>16</v>
      </c>
      <c r="I892">
        <v>1</v>
      </c>
      <c r="J892">
        <v>50</v>
      </c>
      <c r="K892">
        <v>50</v>
      </c>
      <c r="N892" s="11" t="s">
        <v>788</v>
      </c>
      <c r="O892" s="11" t="s">
        <v>16</v>
      </c>
      <c r="P892" s="11">
        <f>K890/J890</f>
        <v>4</v>
      </c>
      <c r="Q892" s="11">
        <v>100</v>
      </c>
      <c r="R892" s="11">
        <v>100</v>
      </c>
    </row>
    <row r="893" spans="2:18" x14ac:dyDescent="0.35">
      <c r="B893">
        <v>890</v>
      </c>
      <c r="C893" s="1">
        <v>45280</v>
      </c>
      <c r="D893" t="s">
        <v>903</v>
      </c>
      <c r="E893" t="s">
        <v>10</v>
      </c>
      <c r="F893">
        <v>34</v>
      </c>
      <c r="G893" t="str">
        <f>IF(Table14[[#This Row],[Age]]&lt;=25,"Young",IF(Table14[[#This Row],[Age]]&gt;55,"Old",IF(Table14[[#This Row],[Age]]&gt;25,"Middle","Na")))</f>
        <v>Middle</v>
      </c>
      <c r="H893" t="s">
        <v>16</v>
      </c>
      <c r="I893">
        <v>2</v>
      </c>
      <c r="J893">
        <v>25</v>
      </c>
      <c r="K893">
        <v>50</v>
      </c>
      <c r="N893" s="11" t="s">
        <v>945</v>
      </c>
      <c r="O893" s="11" t="s">
        <v>11</v>
      </c>
      <c r="P893" s="11">
        <f>K891/J891</f>
        <v>4</v>
      </c>
      <c r="Q893" s="11">
        <v>100</v>
      </c>
      <c r="R893" s="11">
        <v>100</v>
      </c>
    </row>
    <row r="894" spans="2:18" x14ac:dyDescent="0.35">
      <c r="B894">
        <v>891</v>
      </c>
      <c r="C894" s="1">
        <v>45021</v>
      </c>
      <c r="D894" t="s">
        <v>904</v>
      </c>
      <c r="E894" t="s">
        <v>10</v>
      </c>
      <c r="F894">
        <v>41</v>
      </c>
      <c r="G894" t="str">
        <f>IF(Table14[[#This Row],[Age]]&lt;=25,"Young",IF(Table14[[#This Row],[Age]]&gt;55,"Old",IF(Table14[[#This Row],[Age]]&gt;25,"Middle","Na")))</f>
        <v>Middle</v>
      </c>
      <c r="H894" t="s">
        <v>16</v>
      </c>
      <c r="I894">
        <v>3</v>
      </c>
      <c r="J894">
        <v>300</v>
      </c>
      <c r="K894">
        <v>900</v>
      </c>
      <c r="N894" s="11" t="s">
        <v>35</v>
      </c>
      <c r="O894" s="11" t="s">
        <v>14</v>
      </c>
      <c r="P894" s="11">
        <f>K892/J892</f>
        <v>1</v>
      </c>
      <c r="Q894" s="11">
        <v>100</v>
      </c>
      <c r="R894" s="11">
        <v>100</v>
      </c>
    </row>
    <row r="895" spans="2:18" x14ac:dyDescent="0.35">
      <c r="B895">
        <v>892</v>
      </c>
      <c r="C895" s="1">
        <v>45025</v>
      </c>
      <c r="D895" t="s">
        <v>905</v>
      </c>
      <c r="E895" t="s">
        <v>10</v>
      </c>
      <c r="F895">
        <v>20</v>
      </c>
      <c r="G895" t="str">
        <f>IF(Table14[[#This Row],[Age]]&lt;=25,"Young",IF(Table14[[#This Row],[Age]]&gt;55,"Old",IF(Table14[[#This Row],[Age]]&gt;25,"Middle","Na")))</f>
        <v>Young</v>
      </c>
      <c r="H895" t="s">
        <v>16</v>
      </c>
      <c r="I895">
        <v>1</v>
      </c>
      <c r="J895">
        <v>50</v>
      </c>
      <c r="K895">
        <v>50</v>
      </c>
      <c r="N895" s="11" t="s">
        <v>46</v>
      </c>
      <c r="O895" s="11" t="s">
        <v>16</v>
      </c>
      <c r="P895" s="11">
        <f>K893/J893</f>
        <v>2</v>
      </c>
      <c r="Q895" s="11">
        <v>100</v>
      </c>
      <c r="R895" s="11">
        <v>100</v>
      </c>
    </row>
    <row r="896" spans="2:18" x14ac:dyDescent="0.35">
      <c r="B896">
        <v>893</v>
      </c>
      <c r="C896" s="1">
        <v>45037</v>
      </c>
      <c r="D896" t="s">
        <v>906</v>
      </c>
      <c r="E896" t="s">
        <v>10</v>
      </c>
      <c r="F896">
        <v>49</v>
      </c>
      <c r="G896" t="str">
        <f>IF(Table14[[#This Row],[Age]]&lt;=25,"Young",IF(Table14[[#This Row],[Age]]&gt;55,"Old",IF(Table14[[#This Row],[Age]]&gt;25,"Middle","Na")))</f>
        <v>Middle</v>
      </c>
      <c r="H896" t="s">
        <v>16</v>
      </c>
      <c r="I896">
        <v>1</v>
      </c>
      <c r="J896">
        <v>50</v>
      </c>
      <c r="K896">
        <v>50</v>
      </c>
      <c r="N896" s="11" t="s">
        <v>90</v>
      </c>
      <c r="O896" s="11" t="s">
        <v>14</v>
      </c>
      <c r="P896" s="11">
        <f>K894/J894</f>
        <v>3</v>
      </c>
      <c r="Q896" s="11">
        <v>100</v>
      </c>
      <c r="R896" s="11">
        <v>100</v>
      </c>
    </row>
    <row r="897" spans="2:18" x14ac:dyDescent="0.35">
      <c r="B897">
        <v>894</v>
      </c>
      <c r="C897" s="1">
        <v>45174</v>
      </c>
      <c r="D897" t="s">
        <v>907</v>
      </c>
      <c r="E897" t="s">
        <v>10</v>
      </c>
      <c r="F897">
        <v>52</v>
      </c>
      <c r="G897" t="str">
        <f>IF(Table14[[#This Row],[Age]]&lt;=25,"Young",IF(Table14[[#This Row],[Age]]&gt;55,"Old",IF(Table14[[#This Row],[Age]]&gt;25,"Middle","Na")))</f>
        <v>Middle</v>
      </c>
      <c r="H897" t="s">
        <v>16</v>
      </c>
      <c r="I897">
        <v>1</v>
      </c>
      <c r="J897">
        <v>30</v>
      </c>
      <c r="K897">
        <v>30</v>
      </c>
      <c r="N897" s="11" t="s">
        <v>189</v>
      </c>
      <c r="O897" s="11" t="s">
        <v>11</v>
      </c>
      <c r="P897" s="11">
        <f>K895/J895</f>
        <v>1</v>
      </c>
      <c r="Q897" s="11">
        <v>100</v>
      </c>
      <c r="R897" s="11">
        <v>100</v>
      </c>
    </row>
    <row r="898" spans="2:18" x14ac:dyDescent="0.35">
      <c r="B898">
        <v>895</v>
      </c>
      <c r="C898" s="1">
        <v>45068</v>
      </c>
      <c r="D898" t="s">
        <v>908</v>
      </c>
      <c r="E898" t="s">
        <v>13</v>
      </c>
      <c r="F898">
        <v>55</v>
      </c>
      <c r="G898" t="str">
        <f>IF(Table14[[#This Row],[Age]]&lt;=25,"Young",IF(Table14[[#This Row],[Age]]&gt;55,"Old",IF(Table14[[#This Row],[Age]]&gt;25,"Middle","Na")))</f>
        <v>Middle</v>
      </c>
      <c r="H898" t="s">
        <v>14</v>
      </c>
      <c r="I898">
        <v>4</v>
      </c>
      <c r="J898">
        <v>30</v>
      </c>
      <c r="K898">
        <v>120</v>
      </c>
      <c r="N898" s="11" t="s">
        <v>240</v>
      </c>
      <c r="O898" s="11" t="s">
        <v>16</v>
      </c>
      <c r="P898" s="11">
        <f>K896/J896</f>
        <v>1</v>
      </c>
      <c r="Q898" s="11">
        <v>100</v>
      </c>
      <c r="R898" s="11">
        <v>100</v>
      </c>
    </row>
    <row r="899" spans="2:18" x14ac:dyDescent="0.35">
      <c r="B899">
        <v>896</v>
      </c>
      <c r="C899" s="1">
        <v>45228</v>
      </c>
      <c r="D899" t="s">
        <v>909</v>
      </c>
      <c r="E899" t="s">
        <v>13</v>
      </c>
      <c r="F899">
        <v>30</v>
      </c>
      <c r="G899" t="str">
        <f>IF(Table14[[#This Row],[Age]]&lt;=25,"Young",IF(Table14[[#This Row],[Age]]&gt;55,"Old",IF(Table14[[#This Row],[Age]]&gt;25,"Middle","Na")))</f>
        <v>Middle</v>
      </c>
      <c r="H899" t="s">
        <v>16</v>
      </c>
      <c r="I899">
        <v>2</v>
      </c>
      <c r="J899">
        <v>25</v>
      </c>
      <c r="K899">
        <v>50</v>
      </c>
      <c r="N899" s="11" t="s">
        <v>257</v>
      </c>
      <c r="O899" s="11" t="s">
        <v>11</v>
      </c>
      <c r="P899" s="11">
        <f>K897/J897</f>
        <v>1</v>
      </c>
      <c r="Q899" s="11">
        <v>100</v>
      </c>
      <c r="R899" s="11">
        <v>100</v>
      </c>
    </row>
    <row r="900" spans="2:18" x14ac:dyDescent="0.35">
      <c r="B900">
        <v>897</v>
      </c>
      <c r="C900" s="1">
        <v>45195</v>
      </c>
      <c r="D900" t="s">
        <v>910</v>
      </c>
      <c r="E900" t="s">
        <v>13</v>
      </c>
      <c r="F900">
        <v>64</v>
      </c>
      <c r="G900" t="str">
        <f>IF(Table14[[#This Row],[Age]]&lt;=25,"Young",IF(Table14[[#This Row],[Age]]&gt;55,"Old",IF(Table14[[#This Row],[Age]]&gt;25,"Middle","Na")))</f>
        <v>Old</v>
      </c>
      <c r="H900" t="s">
        <v>16</v>
      </c>
      <c r="I900">
        <v>2</v>
      </c>
      <c r="J900">
        <v>50</v>
      </c>
      <c r="K900">
        <v>100</v>
      </c>
      <c r="N900" s="11" t="s">
        <v>524</v>
      </c>
      <c r="O900" s="11" t="s">
        <v>11</v>
      </c>
      <c r="P900" s="11">
        <f>K898/J898</f>
        <v>4</v>
      </c>
      <c r="Q900" s="11">
        <v>100</v>
      </c>
      <c r="R900" s="11">
        <v>100</v>
      </c>
    </row>
    <row r="901" spans="2:18" x14ac:dyDescent="0.35">
      <c r="B901">
        <v>898</v>
      </c>
      <c r="C901" s="1">
        <v>45232</v>
      </c>
      <c r="D901" t="s">
        <v>911</v>
      </c>
      <c r="E901" t="s">
        <v>13</v>
      </c>
      <c r="F901">
        <v>42</v>
      </c>
      <c r="G901" t="str">
        <f>IF(Table14[[#This Row],[Age]]&lt;=25,"Young",IF(Table14[[#This Row],[Age]]&gt;55,"Old",IF(Table14[[#This Row],[Age]]&gt;25,"Middle","Na")))</f>
        <v>Middle</v>
      </c>
      <c r="H901" t="s">
        <v>14</v>
      </c>
      <c r="I901">
        <v>3</v>
      </c>
      <c r="J901">
        <v>30</v>
      </c>
      <c r="K901">
        <v>90</v>
      </c>
      <c r="N901" s="11" t="s">
        <v>562</v>
      </c>
      <c r="O901" s="11" t="s">
        <v>11</v>
      </c>
      <c r="P901" s="11">
        <f>K899/J899</f>
        <v>2</v>
      </c>
      <c r="Q901" s="11">
        <v>100</v>
      </c>
      <c r="R901" s="11">
        <v>100</v>
      </c>
    </row>
    <row r="902" spans="2:18" x14ac:dyDescent="0.35">
      <c r="B902">
        <v>899</v>
      </c>
      <c r="C902" s="1">
        <v>45071</v>
      </c>
      <c r="D902" t="s">
        <v>912</v>
      </c>
      <c r="E902" t="s">
        <v>10</v>
      </c>
      <c r="F902">
        <v>26</v>
      </c>
      <c r="G902" t="str">
        <f>IF(Table14[[#This Row],[Age]]&lt;=25,"Young",IF(Table14[[#This Row],[Age]]&gt;55,"Old",IF(Table14[[#This Row],[Age]]&gt;25,"Middle","Na")))</f>
        <v>Middle</v>
      </c>
      <c r="H902" t="s">
        <v>14</v>
      </c>
      <c r="I902">
        <v>2</v>
      </c>
      <c r="J902">
        <v>300</v>
      </c>
      <c r="K902">
        <v>600</v>
      </c>
      <c r="N902" s="11" t="s">
        <v>716</v>
      </c>
      <c r="O902" s="11" t="s">
        <v>16</v>
      </c>
      <c r="P902" s="11">
        <f>K900/J900</f>
        <v>2</v>
      </c>
      <c r="Q902" s="11">
        <v>100</v>
      </c>
      <c r="R902" s="11">
        <v>100</v>
      </c>
    </row>
    <row r="903" spans="2:18" x14ac:dyDescent="0.35">
      <c r="B903">
        <v>900</v>
      </c>
      <c r="C903" s="1">
        <v>44978</v>
      </c>
      <c r="D903" t="s">
        <v>913</v>
      </c>
      <c r="E903" t="s">
        <v>10</v>
      </c>
      <c r="F903">
        <v>21</v>
      </c>
      <c r="G903" t="str">
        <f>IF(Table14[[#This Row],[Age]]&lt;=25,"Young",IF(Table14[[#This Row],[Age]]&gt;55,"Old",IF(Table14[[#This Row],[Age]]&gt;25,"Middle","Na")))</f>
        <v>Young</v>
      </c>
      <c r="H903" t="s">
        <v>14</v>
      </c>
      <c r="I903">
        <v>2</v>
      </c>
      <c r="J903">
        <v>30</v>
      </c>
      <c r="K903">
        <v>60</v>
      </c>
      <c r="N903" s="11" t="s">
        <v>765</v>
      </c>
      <c r="O903" s="11" t="s">
        <v>14</v>
      </c>
      <c r="P903" s="11">
        <f>K901/J901</f>
        <v>3</v>
      </c>
      <c r="Q903" s="11">
        <v>100</v>
      </c>
      <c r="R903" s="11">
        <v>100</v>
      </c>
    </row>
    <row r="904" spans="2:18" x14ac:dyDescent="0.35">
      <c r="B904">
        <v>901</v>
      </c>
      <c r="C904" s="1">
        <v>45026</v>
      </c>
      <c r="D904" t="s">
        <v>914</v>
      </c>
      <c r="E904" t="s">
        <v>10</v>
      </c>
      <c r="F904">
        <v>31</v>
      </c>
      <c r="G904" t="str">
        <f>IF(Table14[[#This Row],[Age]]&lt;=25,"Young",IF(Table14[[#This Row],[Age]]&gt;55,"Old",IF(Table14[[#This Row],[Age]]&gt;25,"Middle","Na")))</f>
        <v>Middle</v>
      </c>
      <c r="H904" t="s">
        <v>16</v>
      </c>
      <c r="I904">
        <v>1</v>
      </c>
      <c r="J904">
        <v>30</v>
      </c>
      <c r="K904">
        <v>30</v>
      </c>
      <c r="N904" s="11" t="s">
        <v>964</v>
      </c>
      <c r="O904" s="11" t="s">
        <v>11</v>
      </c>
      <c r="P904" s="11">
        <f>K902/J902</f>
        <v>2</v>
      </c>
      <c r="Q904" s="11">
        <v>100</v>
      </c>
      <c r="R904" s="11">
        <v>100</v>
      </c>
    </row>
    <row r="905" spans="2:18" x14ac:dyDescent="0.35">
      <c r="B905">
        <v>902</v>
      </c>
      <c r="C905" s="1">
        <v>45078</v>
      </c>
      <c r="D905" t="s">
        <v>915</v>
      </c>
      <c r="E905" t="s">
        <v>13</v>
      </c>
      <c r="F905">
        <v>54</v>
      </c>
      <c r="G905" t="str">
        <f>IF(Table14[[#This Row],[Age]]&lt;=25,"Young",IF(Table14[[#This Row],[Age]]&gt;55,"Old",IF(Table14[[#This Row],[Age]]&gt;25,"Middle","Na")))</f>
        <v>Middle</v>
      </c>
      <c r="H905" t="s">
        <v>11</v>
      </c>
      <c r="I905">
        <v>1</v>
      </c>
      <c r="J905">
        <v>50</v>
      </c>
      <c r="K905">
        <v>50</v>
      </c>
      <c r="N905" s="11" t="s">
        <v>99</v>
      </c>
      <c r="O905" s="11" t="s">
        <v>11</v>
      </c>
      <c r="P905" s="11">
        <f>K903/J903</f>
        <v>2</v>
      </c>
      <c r="Q905" s="11">
        <v>90</v>
      </c>
      <c r="R905" s="11">
        <v>90</v>
      </c>
    </row>
    <row r="906" spans="2:18" x14ac:dyDescent="0.35">
      <c r="B906">
        <v>903</v>
      </c>
      <c r="C906" s="1">
        <v>45043</v>
      </c>
      <c r="D906" t="s">
        <v>916</v>
      </c>
      <c r="E906" t="s">
        <v>13</v>
      </c>
      <c r="F906">
        <v>51</v>
      </c>
      <c r="G906" t="str">
        <f>IF(Table14[[#This Row],[Age]]&lt;=25,"Young",IF(Table14[[#This Row],[Age]]&gt;55,"Old",IF(Table14[[#This Row],[Age]]&gt;25,"Middle","Na")))</f>
        <v>Middle</v>
      </c>
      <c r="H906" t="s">
        <v>11</v>
      </c>
      <c r="I906">
        <v>4</v>
      </c>
      <c r="J906">
        <v>50</v>
      </c>
      <c r="K906">
        <v>200</v>
      </c>
      <c r="N906" s="11" t="s">
        <v>203</v>
      </c>
      <c r="O906" s="11" t="s">
        <v>11</v>
      </c>
      <c r="P906" s="11">
        <f>K904/J904</f>
        <v>1</v>
      </c>
      <c r="Q906" s="11">
        <v>90</v>
      </c>
      <c r="R906" s="11">
        <v>90</v>
      </c>
    </row>
    <row r="907" spans="2:18" x14ac:dyDescent="0.35">
      <c r="B907">
        <v>904</v>
      </c>
      <c r="C907" s="1">
        <v>45111</v>
      </c>
      <c r="D907" t="s">
        <v>917</v>
      </c>
      <c r="E907" t="s">
        <v>10</v>
      </c>
      <c r="F907">
        <v>28</v>
      </c>
      <c r="G907" t="str">
        <f>IF(Table14[[#This Row],[Age]]&lt;=25,"Young",IF(Table14[[#This Row],[Age]]&gt;55,"Old",IF(Table14[[#This Row],[Age]]&gt;25,"Middle","Na")))</f>
        <v>Middle</v>
      </c>
      <c r="H907" t="s">
        <v>14</v>
      </c>
      <c r="I907">
        <v>1</v>
      </c>
      <c r="J907">
        <v>500</v>
      </c>
      <c r="K907">
        <v>500</v>
      </c>
      <c r="N907" s="11" t="s">
        <v>231</v>
      </c>
      <c r="O907" s="11" t="s">
        <v>11</v>
      </c>
      <c r="P907" s="11">
        <f>K905/J905</f>
        <v>1</v>
      </c>
      <c r="Q907" s="11">
        <v>90</v>
      </c>
      <c r="R907" s="11">
        <v>90</v>
      </c>
    </row>
    <row r="908" spans="2:18" x14ac:dyDescent="0.35">
      <c r="B908">
        <v>905</v>
      </c>
      <c r="C908" s="1">
        <v>45018</v>
      </c>
      <c r="D908" t="s">
        <v>918</v>
      </c>
      <c r="E908" t="s">
        <v>10</v>
      </c>
      <c r="F908">
        <v>58</v>
      </c>
      <c r="G908" t="str">
        <f>IF(Table14[[#This Row],[Age]]&lt;=25,"Young",IF(Table14[[#This Row],[Age]]&gt;55,"Old",IF(Table14[[#This Row],[Age]]&gt;25,"Middle","Na")))</f>
        <v>Old</v>
      </c>
      <c r="H908" t="s">
        <v>11</v>
      </c>
      <c r="I908">
        <v>1</v>
      </c>
      <c r="J908">
        <v>300</v>
      </c>
      <c r="K908">
        <v>300</v>
      </c>
      <c r="N908" s="11" t="s">
        <v>232</v>
      </c>
      <c r="O908" s="11" t="s">
        <v>16</v>
      </c>
      <c r="P908" s="11">
        <f>K906/J906</f>
        <v>4</v>
      </c>
      <c r="Q908" s="11">
        <v>90</v>
      </c>
      <c r="R908" s="11">
        <v>90</v>
      </c>
    </row>
    <row r="909" spans="2:18" x14ac:dyDescent="0.35">
      <c r="B909">
        <v>906</v>
      </c>
      <c r="C909" s="1">
        <v>45081</v>
      </c>
      <c r="D909" t="s">
        <v>919</v>
      </c>
      <c r="E909" t="s">
        <v>13</v>
      </c>
      <c r="F909">
        <v>20</v>
      </c>
      <c r="G909" t="str">
        <f>IF(Table14[[#This Row],[Age]]&lt;=25,"Young",IF(Table14[[#This Row],[Age]]&gt;55,"Old",IF(Table14[[#This Row],[Age]]&gt;25,"Middle","Na")))</f>
        <v>Young</v>
      </c>
      <c r="H909" t="s">
        <v>14</v>
      </c>
      <c r="I909">
        <v>1</v>
      </c>
      <c r="J909">
        <v>50</v>
      </c>
      <c r="K909">
        <v>50</v>
      </c>
      <c r="N909" s="11" t="s">
        <v>316</v>
      </c>
      <c r="O909" s="11" t="s">
        <v>16</v>
      </c>
      <c r="P909" s="11">
        <f>K907/J907</f>
        <v>1</v>
      </c>
      <c r="Q909" s="11">
        <v>90</v>
      </c>
      <c r="R909" s="11">
        <v>90</v>
      </c>
    </row>
    <row r="910" spans="2:18" x14ac:dyDescent="0.35">
      <c r="B910">
        <v>907</v>
      </c>
      <c r="C910" s="1">
        <v>44934</v>
      </c>
      <c r="D910" t="s">
        <v>920</v>
      </c>
      <c r="E910" t="s">
        <v>13</v>
      </c>
      <c r="F910">
        <v>45</v>
      </c>
      <c r="G910" t="str">
        <f>IF(Table14[[#This Row],[Age]]&lt;=25,"Young",IF(Table14[[#This Row],[Age]]&gt;55,"Old",IF(Table14[[#This Row],[Age]]&gt;25,"Middle","Na")))</f>
        <v>Middle</v>
      </c>
      <c r="H910" t="s">
        <v>16</v>
      </c>
      <c r="I910">
        <v>1</v>
      </c>
      <c r="J910">
        <v>25</v>
      </c>
      <c r="K910">
        <v>25</v>
      </c>
      <c r="N910" s="11" t="s">
        <v>344</v>
      </c>
      <c r="O910" s="11" t="s">
        <v>16</v>
      </c>
      <c r="P910" s="11">
        <f>K908/J908</f>
        <v>1</v>
      </c>
      <c r="Q910" s="11">
        <v>90</v>
      </c>
      <c r="R910" s="11">
        <v>90</v>
      </c>
    </row>
    <row r="911" spans="2:18" x14ac:dyDescent="0.35">
      <c r="B911">
        <v>908</v>
      </c>
      <c r="C911" s="1">
        <v>45289</v>
      </c>
      <c r="D911" t="s">
        <v>921</v>
      </c>
      <c r="E911" t="s">
        <v>10</v>
      </c>
      <c r="F911">
        <v>46</v>
      </c>
      <c r="G911" t="str">
        <f>IF(Table14[[#This Row],[Age]]&lt;=25,"Young",IF(Table14[[#This Row],[Age]]&gt;55,"Old",IF(Table14[[#This Row],[Age]]&gt;25,"Middle","Na")))</f>
        <v>Middle</v>
      </c>
      <c r="H911" t="s">
        <v>11</v>
      </c>
      <c r="I911">
        <v>4</v>
      </c>
      <c r="J911">
        <v>300</v>
      </c>
      <c r="K911">
        <v>1200</v>
      </c>
      <c r="N911" s="11" t="s">
        <v>432</v>
      </c>
      <c r="O911" s="11" t="s">
        <v>14</v>
      </c>
      <c r="P911" s="11">
        <f>K909/J909</f>
        <v>1</v>
      </c>
      <c r="Q911" s="11">
        <v>90</v>
      </c>
      <c r="R911" s="11">
        <v>90</v>
      </c>
    </row>
    <row r="912" spans="2:18" x14ac:dyDescent="0.35">
      <c r="B912">
        <v>909</v>
      </c>
      <c r="C912" s="1">
        <v>45200</v>
      </c>
      <c r="D912" t="s">
        <v>922</v>
      </c>
      <c r="E912" t="s">
        <v>10</v>
      </c>
      <c r="F912">
        <v>26</v>
      </c>
      <c r="G912" t="str">
        <f>IF(Table14[[#This Row],[Age]]&lt;=25,"Young",IF(Table14[[#This Row],[Age]]&gt;55,"Old",IF(Table14[[#This Row],[Age]]&gt;25,"Middle","Na")))</f>
        <v>Middle</v>
      </c>
      <c r="H912" t="s">
        <v>16</v>
      </c>
      <c r="I912">
        <v>1</v>
      </c>
      <c r="J912">
        <v>300</v>
      </c>
      <c r="K912">
        <v>300</v>
      </c>
      <c r="N912" s="11" t="s">
        <v>570</v>
      </c>
      <c r="O912" s="11" t="s">
        <v>11</v>
      </c>
      <c r="P912" s="11">
        <f>K910/J910</f>
        <v>1</v>
      </c>
      <c r="Q912" s="11">
        <v>90</v>
      </c>
      <c r="R912" s="11">
        <v>90</v>
      </c>
    </row>
    <row r="913" spans="2:18" x14ac:dyDescent="0.35">
      <c r="B913">
        <v>910</v>
      </c>
      <c r="C913" s="1">
        <v>44991</v>
      </c>
      <c r="D913" t="s">
        <v>923</v>
      </c>
      <c r="E913" t="s">
        <v>13</v>
      </c>
      <c r="F913">
        <v>20</v>
      </c>
      <c r="G913" t="str">
        <f>IF(Table14[[#This Row],[Age]]&lt;=25,"Young",IF(Table14[[#This Row],[Age]]&gt;55,"Old",IF(Table14[[#This Row],[Age]]&gt;25,"Middle","Na")))</f>
        <v>Young</v>
      </c>
      <c r="H913" t="s">
        <v>11</v>
      </c>
      <c r="I913">
        <v>3</v>
      </c>
      <c r="J913">
        <v>50</v>
      </c>
      <c r="K913">
        <v>150</v>
      </c>
      <c r="N913" s="11" t="s">
        <v>850</v>
      </c>
      <c r="O913" s="11" t="s">
        <v>11</v>
      </c>
      <c r="P913" s="11">
        <f>K911/J911</f>
        <v>4</v>
      </c>
      <c r="Q913" s="11">
        <v>90</v>
      </c>
      <c r="R913" s="11">
        <v>90</v>
      </c>
    </row>
    <row r="914" spans="2:18" x14ac:dyDescent="0.35">
      <c r="B914">
        <v>911</v>
      </c>
      <c r="C914" s="1">
        <v>45067</v>
      </c>
      <c r="D914" t="s">
        <v>924</v>
      </c>
      <c r="E914" t="s">
        <v>10</v>
      </c>
      <c r="F914">
        <v>42</v>
      </c>
      <c r="G914" t="str">
        <f>IF(Table14[[#This Row],[Age]]&lt;=25,"Young",IF(Table14[[#This Row],[Age]]&gt;55,"Old",IF(Table14[[#This Row],[Age]]&gt;25,"Middle","Na")))</f>
        <v>Middle</v>
      </c>
      <c r="H914" t="s">
        <v>16</v>
      </c>
      <c r="I914">
        <v>3</v>
      </c>
      <c r="J914">
        <v>300</v>
      </c>
      <c r="K914">
        <v>900</v>
      </c>
      <c r="N914" s="11" t="s">
        <v>50</v>
      </c>
      <c r="O914" s="11" t="s">
        <v>11</v>
      </c>
      <c r="P914" s="11">
        <f>K912/J912</f>
        <v>1</v>
      </c>
      <c r="Q914" s="11">
        <v>75</v>
      </c>
      <c r="R914" s="11">
        <v>75</v>
      </c>
    </row>
    <row r="915" spans="2:18" x14ac:dyDescent="0.35">
      <c r="B915">
        <v>912</v>
      </c>
      <c r="C915" s="1">
        <v>44950</v>
      </c>
      <c r="D915" t="s">
        <v>925</v>
      </c>
      <c r="E915" t="s">
        <v>10</v>
      </c>
      <c r="F915">
        <v>51</v>
      </c>
      <c r="G915" t="str">
        <f>IF(Table14[[#This Row],[Age]]&lt;=25,"Young",IF(Table14[[#This Row],[Age]]&gt;55,"Old",IF(Table14[[#This Row],[Age]]&gt;25,"Middle","Na")))</f>
        <v>Middle</v>
      </c>
      <c r="H915" t="s">
        <v>11</v>
      </c>
      <c r="I915">
        <v>3</v>
      </c>
      <c r="J915">
        <v>50</v>
      </c>
      <c r="K915">
        <v>150</v>
      </c>
      <c r="N915" s="11" t="s">
        <v>63</v>
      </c>
      <c r="O915" s="11" t="s">
        <v>11</v>
      </c>
      <c r="P915" s="11">
        <f>K913/J913</f>
        <v>3</v>
      </c>
      <c r="Q915" s="11">
        <v>75</v>
      </c>
      <c r="R915" s="11">
        <v>75</v>
      </c>
    </row>
    <row r="916" spans="2:18" x14ac:dyDescent="0.35">
      <c r="B916">
        <v>913</v>
      </c>
      <c r="C916" s="1">
        <v>44954</v>
      </c>
      <c r="D916" t="s">
        <v>926</v>
      </c>
      <c r="E916" t="s">
        <v>10</v>
      </c>
      <c r="F916">
        <v>29</v>
      </c>
      <c r="G916" t="str">
        <f>IF(Table14[[#This Row],[Age]]&lt;=25,"Young",IF(Table14[[#This Row],[Age]]&gt;55,"Old",IF(Table14[[#This Row],[Age]]&gt;25,"Middle","Na")))</f>
        <v>Middle</v>
      </c>
      <c r="H916" t="s">
        <v>16</v>
      </c>
      <c r="I916">
        <v>3</v>
      </c>
      <c r="J916">
        <v>30</v>
      </c>
      <c r="K916">
        <v>90</v>
      </c>
      <c r="N916" s="11" t="s">
        <v>363</v>
      </c>
      <c r="O916" s="11" t="s">
        <v>11</v>
      </c>
      <c r="P916" s="11">
        <f>K914/J914</f>
        <v>3</v>
      </c>
      <c r="Q916" s="11">
        <v>75</v>
      </c>
      <c r="R916" s="11">
        <v>75</v>
      </c>
    </row>
    <row r="917" spans="2:18" x14ac:dyDescent="0.35">
      <c r="B917">
        <v>914</v>
      </c>
      <c r="C917" s="1">
        <v>45210</v>
      </c>
      <c r="D917" t="s">
        <v>927</v>
      </c>
      <c r="E917" t="s">
        <v>13</v>
      </c>
      <c r="F917">
        <v>59</v>
      </c>
      <c r="G917" t="str">
        <f>IF(Table14[[#This Row],[Age]]&lt;=25,"Young",IF(Table14[[#This Row],[Age]]&gt;55,"Old",IF(Table14[[#This Row],[Age]]&gt;25,"Middle","Na")))</f>
        <v>Old</v>
      </c>
      <c r="H917" t="s">
        <v>16</v>
      </c>
      <c r="I917">
        <v>1</v>
      </c>
      <c r="J917">
        <v>500</v>
      </c>
      <c r="K917">
        <v>500</v>
      </c>
      <c r="N917" s="11" t="s">
        <v>565</v>
      </c>
      <c r="O917" s="11" t="s">
        <v>16</v>
      </c>
      <c r="P917" s="11">
        <f>K915/J915</f>
        <v>3</v>
      </c>
      <c r="Q917" s="11">
        <v>75</v>
      </c>
      <c r="R917" s="11">
        <v>75</v>
      </c>
    </row>
    <row r="918" spans="2:18" x14ac:dyDescent="0.35">
      <c r="B918">
        <v>915</v>
      </c>
      <c r="C918" s="1">
        <v>45076</v>
      </c>
      <c r="D918" t="s">
        <v>928</v>
      </c>
      <c r="E918" t="s">
        <v>13</v>
      </c>
      <c r="F918">
        <v>26</v>
      </c>
      <c r="G918" t="str">
        <f>IF(Table14[[#This Row],[Age]]&lt;=25,"Young",IF(Table14[[#This Row],[Age]]&gt;55,"Old",IF(Table14[[#This Row],[Age]]&gt;25,"Middle","Na")))</f>
        <v>Middle</v>
      </c>
      <c r="H918" t="s">
        <v>11</v>
      </c>
      <c r="I918">
        <v>3</v>
      </c>
      <c r="J918">
        <v>30</v>
      </c>
      <c r="K918">
        <v>90</v>
      </c>
      <c r="N918" s="11" t="s">
        <v>635</v>
      </c>
      <c r="O918" s="11" t="s">
        <v>11</v>
      </c>
      <c r="P918" s="11">
        <f>K916/J916</f>
        <v>3</v>
      </c>
      <c r="Q918" s="11">
        <v>75</v>
      </c>
      <c r="R918" s="11">
        <v>75</v>
      </c>
    </row>
    <row r="919" spans="2:18" x14ac:dyDescent="0.35">
      <c r="B919">
        <v>916</v>
      </c>
      <c r="C919" s="1">
        <v>45284</v>
      </c>
      <c r="D919" t="s">
        <v>929</v>
      </c>
      <c r="E919" t="s">
        <v>13</v>
      </c>
      <c r="F919">
        <v>32</v>
      </c>
      <c r="G919" t="str">
        <f>IF(Table14[[#This Row],[Age]]&lt;=25,"Young",IF(Table14[[#This Row],[Age]]&gt;55,"Old",IF(Table14[[#This Row],[Age]]&gt;25,"Middle","Na")))</f>
        <v>Middle</v>
      </c>
      <c r="H919" t="s">
        <v>16</v>
      </c>
      <c r="I919">
        <v>1</v>
      </c>
      <c r="J919">
        <v>50</v>
      </c>
      <c r="K919">
        <v>50</v>
      </c>
      <c r="N919" s="11" t="s">
        <v>726</v>
      </c>
      <c r="O919" s="11" t="s">
        <v>11</v>
      </c>
      <c r="P919" s="11">
        <f>K917/J917</f>
        <v>1</v>
      </c>
      <c r="Q919" s="11">
        <v>75</v>
      </c>
      <c r="R919" s="11">
        <v>75</v>
      </c>
    </row>
    <row r="920" spans="2:18" x14ac:dyDescent="0.35">
      <c r="B920">
        <v>917</v>
      </c>
      <c r="C920" s="1">
        <v>44991</v>
      </c>
      <c r="D920" t="s">
        <v>930</v>
      </c>
      <c r="E920" t="s">
        <v>13</v>
      </c>
      <c r="F920">
        <v>57</v>
      </c>
      <c r="G920" t="str">
        <f>IF(Table14[[#This Row],[Age]]&lt;=25,"Young",IF(Table14[[#This Row],[Age]]&gt;55,"Old",IF(Table14[[#This Row],[Age]]&gt;25,"Middle","Na")))</f>
        <v>Old</v>
      </c>
      <c r="H920" t="s">
        <v>16</v>
      </c>
      <c r="I920">
        <v>4</v>
      </c>
      <c r="J920">
        <v>50</v>
      </c>
      <c r="K920">
        <v>200</v>
      </c>
      <c r="N920" s="11" t="s">
        <v>780</v>
      </c>
      <c r="O920" s="11" t="s">
        <v>11</v>
      </c>
      <c r="P920" s="11">
        <f>K918/J918</f>
        <v>3</v>
      </c>
      <c r="Q920" s="11">
        <v>75</v>
      </c>
      <c r="R920" s="11">
        <v>75</v>
      </c>
    </row>
    <row r="921" spans="2:18" x14ac:dyDescent="0.35">
      <c r="B921">
        <v>918</v>
      </c>
      <c r="C921" s="1">
        <v>45253</v>
      </c>
      <c r="D921" t="s">
        <v>931</v>
      </c>
      <c r="E921" t="s">
        <v>13</v>
      </c>
      <c r="F921">
        <v>42</v>
      </c>
      <c r="G921" t="str">
        <f>IF(Table14[[#This Row],[Age]]&lt;=25,"Young",IF(Table14[[#This Row],[Age]]&gt;55,"Old",IF(Table14[[#This Row],[Age]]&gt;25,"Middle","Na")))</f>
        <v>Middle</v>
      </c>
      <c r="H921" t="s">
        <v>16</v>
      </c>
      <c r="I921">
        <v>3</v>
      </c>
      <c r="J921">
        <v>30</v>
      </c>
      <c r="K921">
        <v>90</v>
      </c>
      <c r="N921" s="11" t="s">
        <v>934</v>
      </c>
      <c r="O921" s="11" t="s">
        <v>16</v>
      </c>
      <c r="P921" s="11">
        <f>K919/J919</f>
        <v>1</v>
      </c>
      <c r="Q921" s="11">
        <v>75</v>
      </c>
      <c r="R921" s="11">
        <v>75</v>
      </c>
    </row>
    <row r="922" spans="2:18" x14ac:dyDescent="0.35">
      <c r="B922">
        <v>919</v>
      </c>
      <c r="C922" s="1">
        <v>45178</v>
      </c>
      <c r="D922" t="s">
        <v>932</v>
      </c>
      <c r="E922" t="s">
        <v>13</v>
      </c>
      <c r="F922">
        <v>22</v>
      </c>
      <c r="G922" t="str">
        <f>IF(Table14[[#This Row],[Age]]&lt;=25,"Young",IF(Table14[[#This Row],[Age]]&gt;55,"Old",IF(Table14[[#This Row],[Age]]&gt;25,"Middle","Na")))</f>
        <v>Young</v>
      </c>
      <c r="H922" t="s">
        <v>11</v>
      </c>
      <c r="I922">
        <v>2</v>
      </c>
      <c r="J922">
        <v>25</v>
      </c>
      <c r="K922">
        <v>50</v>
      </c>
      <c r="N922" s="11" t="s">
        <v>942</v>
      </c>
      <c r="O922" s="11" t="s">
        <v>11</v>
      </c>
      <c r="P922" s="11">
        <f>K920/J920</f>
        <v>4</v>
      </c>
      <c r="Q922" s="11">
        <v>75</v>
      </c>
      <c r="R922" s="11">
        <v>75</v>
      </c>
    </row>
    <row r="923" spans="2:18" x14ac:dyDescent="0.35">
      <c r="B923">
        <v>920</v>
      </c>
      <c r="C923" s="1">
        <v>44979</v>
      </c>
      <c r="D923" t="s">
        <v>933</v>
      </c>
      <c r="E923" t="s">
        <v>13</v>
      </c>
      <c r="F923">
        <v>28</v>
      </c>
      <c r="G923" t="str">
        <f>IF(Table14[[#This Row],[Age]]&lt;=25,"Young",IF(Table14[[#This Row],[Age]]&gt;55,"Old",IF(Table14[[#This Row],[Age]]&gt;25,"Middle","Na")))</f>
        <v>Middle</v>
      </c>
      <c r="H923" t="s">
        <v>11</v>
      </c>
      <c r="I923">
        <v>3</v>
      </c>
      <c r="J923">
        <v>25</v>
      </c>
      <c r="K923">
        <v>75</v>
      </c>
      <c r="N923" s="11" t="s">
        <v>993</v>
      </c>
      <c r="O923" s="11" t="s">
        <v>16</v>
      </c>
      <c r="P923" s="11">
        <f>K921/J921</f>
        <v>3</v>
      </c>
      <c r="Q923" s="11">
        <v>75</v>
      </c>
      <c r="R923" s="11">
        <v>75</v>
      </c>
    </row>
    <row r="924" spans="2:18" x14ac:dyDescent="0.35">
      <c r="B924">
        <v>921</v>
      </c>
      <c r="C924" s="1">
        <v>44933</v>
      </c>
      <c r="D924" t="s">
        <v>934</v>
      </c>
      <c r="E924" t="s">
        <v>10</v>
      </c>
      <c r="F924">
        <v>51</v>
      </c>
      <c r="G924" t="str">
        <f>IF(Table14[[#This Row],[Age]]&lt;=25,"Young",IF(Table14[[#This Row],[Age]]&gt;55,"Old",IF(Table14[[#This Row],[Age]]&gt;25,"Middle","Na")))</f>
        <v>Middle</v>
      </c>
      <c r="H924" t="s">
        <v>16</v>
      </c>
      <c r="I924">
        <v>3</v>
      </c>
      <c r="J924">
        <v>25</v>
      </c>
      <c r="K924">
        <v>75</v>
      </c>
      <c r="N924" s="11" t="s">
        <v>93</v>
      </c>
      <c r="O924" s="11" t="s">
        <v>14</v>
      </c>
      <c r="P924" s="11">
        <f>K922/J922</f>
        <v>2</v>
      </c>
      <c r="Q924" s="11">
        <v>60</v>
      </c>
      <c r="R924" s="11">
        <v>60</v>
      </c>
    </row>
    <row r="925" spans="2:18" x14ac:dyDescent="0.35">
      <c r="B925">
        <v>922</v>
      </c>
      <c r="C925" s="1">
        <v>45220</v>
      </c>
      <c r="D925" t="s">
        <v>935</v>
      </c>
      <c r="E925" t="s">
        <v>10</v>
      </c>
      <c r="F925">
        <v>41</v>
      </c>
      <c r="G925" t="str">
        <f>IF(Table14[[#This Row],[Age]]&lt;=25,"Young",IF(Table14[[#This Row],[Age]]&gt;55,"Old",IF(Table14[[#This Row],[Age]]&gt;25,"Middle","Na")))</f>
        <v>Middle</v>
      </c>
      <c r="H925" t="s">
        <v>16</v>
      </c>
      <c r="I925">
        <v>1</v>
      </c>
      <c r="J925">
        <v>50</v>
      </c>
      <c r="K925">
        <v>50</v>
      </c>
      <c r="N925" s="11" t="s">
        <v>136</v>
      </c>
      <c r="O925" s="11" t="s">
        <v>16</v>
      </c>
      <c r="P925" s="11">
        <f>K923/J923</f>
        <v>3</v>
      </c>
      <c r="Q925" s="11">
        <v>60</v>
      </c>
      <c r="R925" s="11">
        <v>60</v>
      </c>
    </row>
    <row r="926" spans="2:18" x14ac:dyDescent="0.35">
      <c r="B926">
        <v>923</v>
      </c>
      <c r="C926" s="1">
        <v>45072</v>
      </c>
      <c r="D926" t="s">
        <v>936</v>
      </c>
      <c r="E926" t="s">
        <v>10</v>
      </c>
      <c r="F926">
        <v>32</v>
      </c>
      <c r="G926" t="str">
        <f>IF(Table14[[#This Row],[Age]]&lt;=25,"Young",IF(Table14[[#This Row],[Age]]&gt;55,"Old",IF(Table14[[#This Row],[Age]]&gt;25,"Middle","Na")))</f>
        <v>Middle</v>
      </c>
      <c r="H926" t="s">
        <v>11</v>
      </c>
      <c r="I926">
        <v>3</v>
      </c>
      <c r="J926">
        <v>300</v>
      </c>
      <c r="K926">
        <v>900</v>
      </c>
      <c r="N926" s="11" t="s">
        <v>191</v>
      </c>
      <c r="O926" s="11" t="s">
        <v>14</v>
      </c>
      <c r="P926" s="11">
        <f>K924/J924</f>
        <v>3</v>
      </c>
      <c r="Q926" s="11">
        <v>60</v>
      </c>
      <c r="R926" s="11">
        <v>60</v>
      </c>
    </row>
    <row r="927" spans="2:18" x14ac:dyDescent="0.35">
      <c r="B927">
        <v>924</v>
      </c>
      <c r="C927" s="1">
        <v>45167</v>
      </c>
      <c r="D927" t="s">
        <v>937</v>
      </c>
      <c r="E927" t="s">
        <v>10</v>
      </c>
      <c r="F927">
        <v>55</v>
      </c>
      <c r="G927" t="str">
        <f>IF(Table14[[#This Row],[Age]]&lt;=25,"Young",IF(Table14[[#This Row],[Age]]&gt;55,"Old",IF(Table14[[#This Row],[Age]]&gt;25,"Middle","Na")))</f>
        <v>Middle</v>
      </c>
      <c r="H927" t="s">
        <v>11</v>
      </c>
      <c r="I927">
        <v>2</v>
      </c>
      <c r="J927">
        <v>50</v>
      </c>
      <c r="K927">
        <v>100</v>
      </c>
      <c r="N927" s="11" t="s">
        <v>260</v>
      </c>
      <c r="O927" s="11" t="s">
        <v>16</v>
      </c>
      <c r="P927" s="11">
        <f>K925/J925</f>
        <v>1</v>
      </c>
      <c r="Q927" s="11">
        <v>60</v>
      </c>
      <c r="R927" s="11">
        <v>60</v>
      </c>
    </row>
    <row r="928" spans="2:18" x14ac:dyDescent="0.35">
      <c r="B928">
        <v>925</v>
      </c>
      <c r="C928" s="1">
        <v>45172</v>
      </c>
      <c r="D928" t="s">
        <v>938</v>
      </c>
      <c r="E928" t="s">
        <v>10</v>
      </c>
      <c r="F928">
        <v>25</v>
      </c>
      <c r="G928" t="str">
        <f>IF(Table14[[#This Row],[Age]]&lt;=25,"Young",IF(Table14[[#This Row],[Age]]&gt;55,"Old",IF(Table14[[#This Row],[Age]]&gt;25,"Middle","Na")))</f>
        <v>Young</v>
      </c>
      <c r="H928" t="s">
        <v>16</v>
      </c>
      <c r="I928">
        <v>1</v>
      </c>
      <c r="J928">
        <v>300</v>
      </c>
      <c r="K928">
        <v>300</v>
      </c>
      <c r="N928" s="11" t="s">
        <v>276</v>
      </c>
      <c r="O928" s="11" t="s">
        <v>11</v>
      </c>
      <c r="P928" s="11">
        <f>K926/J926</f>
        <v>3</v>
      </c>
      <c r="Q928" s="11">
        <v>60</v>
      </c>
      <c r="R928" s="11">
        <v>60</v>
      </c>
    </row>
    <row r="929" spans="2:18" x14ac:dyDescent="0.35">
      <c r="B929">
        <v>926</v>
      </c>
      <c r="C929" s="1">
        <v>45152</v>
      </c>
      <c r="D929" t="s">
        <v>939</v>
      </c>
      <c r="E929" t="s">
        <v>10</v>
      </c>
      <c r="F929">
        <v>22</v>
      </c>
      <c r="G929" t="str">
        <f>IF(Table14[[#This Row],[Age]]&lt;=25,"Young",IF(Table14[[#This Row],[Age]]&gt;55,"Old",IF(Table14[[#This Row],[Age]]&gt;25,"Middle","Na")))</f>
        <v>Young</v>
      </c>
      <c r="H929" t="s">
        <v>16</v>
      </c>
      <c r="I929">
        <v>1</v>
      </c>
      <c r="J929">
        <v>30</v>
      </c>
      <c r="K929">
        <v>30</v>
      </c>
      <c r="N929" s="11" t="s">
        <v>328</v>
      </c>
      <c r="O929" s="11" t="s">
        <v>14</v>
      </c>
      <c r="P929" s="11">
        <f>K927/J927</f>
        <v>2</v>
      </c>
      <c r="Q929" s="11">
        <v>60</v>
      </c>
      <c r="R929" s="11">
        <v>60</v>
      </c>
    </row>
    <row r="930" spans="2:18" x14ac:dyDescent="0.35">
      <c r="B930">
        <v>927</v>
      </c>
      <c r="C930" s="1">
        <v>45101</v>
      </c>
      <c r="D930" t="s">
        <v>940</v>
      </c>
      <c r="E930" t="s">
        <v>10</v>
      </c>
      <c r="F930">
        <v>43</v>
      </c>
      <c r="G930" t="str">
        <f>IF(Table14[[#This Row],[Age]]&lt;=25,"Young",IF(Table14[[#This Row],[Age]]&gt;55,"Old",IF(Table14[[#This Row],[Age]]&gt;25,"Middle","Na")))</f>
        <v>Middle</v>
      </c>
      <c r="H930" t="s">
        <v>16</v>
      </c>
      <c r="I930">
        <v>4</v>
      </c>
      <c r="J930">
        <v>500</v>
      </c>
      <c r="K930">
        <v>2000</v>
      </c>
      <c r="N930" s="11" t="s">
        <v>508</v>
      </c>
      <c r="O930" s="11" t="s">
        <v>11</v>
      </c>
      <c r="P930" s="11">
        <f>K928/J928</f>
        <v>1</v>
      </c>
      <c r="Q930" s="11">
        <v>60</v>
      </c>
      <c r="R930" s="11">
        <v>60</v>
      </c>
    </row>
    <row r="931" spans="2:18" x14ac:dyDescent="0.35">
      <c r="B931">
        <v>928</v>
      </c>
      <c r="C931" s="1">
        <v>45021</v>
      </c>
      <c r="D931" t="s">
        <v>941</v>
      </c>
      <c r="E931" t="s">
        <v>13</v>
      </c>
      <c r="F931">
        <v>35</v>
      </c>
      <c r="G931" t="str">
        <f>IF(Table14[[#This Row],[Age]]&lt;=25,"Young",IF(Table14[[#This Row],[Age]]&gt;55,"Old",IF(Table14[[#This Row],[Age]]&gt;25,"Middle","Na")))</f>
        <v>Middle</v>
      </c>
      <c r="H931" t="s">
        <v>14</v>
      </c>
      <c r="I931">
        <v>4</v>
      </c>
      <c r="J931">
        <v>300</v>
      </c>
      <c r="K931">
        <v>1200</v>
      </c>
      <c r="N931" s="11" t="s">
        <v>512</v>
      </c>
      <c r="O931" s="11" t="s">
        <v>11</v>
      </c>
      <c r="P931" s="11">
        <f>K929/J929</f>
        <v>1</v>
      </c>
      <c r="Q931" s="11">
        <v>60</v>
      </c>
      <c r="R931" s="11">
        <v>60</v>
      </c>
    </row>
    <row r="932" spans="2:18" x14ac:dyDescent="0.35">
      <c r="B932">
        <v>929</v>
      </c>
      <c r="C932" s="1">
        <v>44953</v>
      </c>
      <c r="D932" t="s">
        <v>942</v>
      </c>
      <c r="E932" t="s">
        <v>13</v>
      </c>
      <c r="F932">
        <v>23</v>
      </c>
      <c r="G932" t="str">
        <f>IF(Table14[[#This Row],[Age]]&lt;=25,"Young",IF(Table14[[#This Row],[Age]]&gt;55,"Old",IF(Table14[[#This Row],[Age]]&gt;25,"Middle","Na")))</f>
        <v>Young</v>
      </c>
      <c r="H932" t="s">
        <v>11</v>
      </c>
      <c r="I932">
        <v>3</v>
      </c>
      <c r="J932">
        <v>25</v>
      </c>
      <c r="K932">
        <v>75</v>
      </c>
      <c r="N932" s="11" t="s">
        <v>561</v>
      </c>
      <c r="O932" s="11" t="s">
        <v>14</v>
      </c>
      <c r="P932" s="11">
        <f>K930/J930</f>
        <v>4</v>
      </c>
      <c r="Q932" s="11">
        <v>60</v>
      </c>
      <c r="R932" s="11">
        <v>60</v>
      </c>
    </row>
    <row r="933" spans="2:18" x14ac:dyDescent="0.35">
      <c r="B933">
        <v>930</v>
      </c>
      <c r="C933" s="1">
        <v>45056</v>
      </c>
      <c r="D933" t="s">
        <v>943</v>
      </c>
      <c r="E933" t="s">
        <v>10</v>
      </c>
      <c r="F933">
        <v>54</v>
      </c>
      <c r="G933" t="str">
        <f>IF(Table14[[#This Row],[Age]]&lt;=25,"Young",IF(Table14[[#This Row],[Age]]&gt;55,"Old",IF(Table14[[#This Row],[Age]]&gt;25,"Middle","Na")))</f>
        <v>Middle</v>
      </c>
      <c r="H933" t="s">
        <v>14</v>
      </c>
      <c r="I933">
        <v>4</v>
      </c>
      <c r="J933">
        <v>50</v>
      </c>
      <c r="K933">
        <v>200</v>
      </c>
      <c r="N933" s="11" t="s">
        <v>606</v>
      </c>
      <c r="O933" s="11" t="s">
        <v>16</v>
      </c>
      <c r="P933" s="11">
        <f>K931/J931</f>
        <v>4</v>
      </c>
      <c r="Q933" s="11">
        <v>60</v>
      </c>
      <c r="R933" s="11">
        <v>60</v>
      </c>
    </row>
    <row r="934" spans="2:18" x14ac:dyDescent="0.35">
      <c r="B934">
        <v>931</v>
      </c>
      <c r="C934" s="1">
        <v>45171</v>
      </c>
      <c r="D934" t="s">
        <v>944</v>
      </c>
      <c r="E934" t="s">
        <v>10</v>
      </c>
      <c r="F934">
        <v>30</v>
      </c>
      <c r="G934" t="str">
        <f>IF(Table14[[#This Row],[Age]]&lt;=25,"Young",IF(Table14[[#This Row],[Age]]&gt;55,"Old",IF(Table14[[#This Row],[Age]]&gt;25,"Middle","Na")))</f>
        <v>Middle</v>
      </c>
      <c r="H934" t="s">
        <v>11</v>
      </c>
      <c r="I934">
        <v>4</v>
      </c>
      <c r="J934">
        <v>30</v>
      </c>
      <c r="K934">
        <v>120</v>
      </c>
      <c r="N934" s="11" t="s">
        <v>694</v>
      </c>
      <c r="O934" s="11" t="s">
        <v>16</v>
      </c>
      <c r="P934" s="11">
        <f>K932/J932</f>
        <v>3</v>
      </c>
      <c r="Q934" s="11">
        <v>60</v>
      </c>
      <c r="R934" s="11">
        <v>60</v>
      </c>
    </row>
    <row r="935" spans="2:18" x14ac:dyDescent="0.35">
      <c r="B935">
        <v>932</v>
      </c>
      <c r="C935" s="1">
        <v>44985</v>
      </c>
      <c r="D935" t="s">
        <v>945</v>
      </c>
      <c r="E935" t="s">
        <v>13</v>
      </c>
      <c r="F935">
        <v>45</v>
      </c>
      <c r="G935" t="str">
        <f>IF(Table14[[#This Row],[Age]]&lt;=25,"Young",IF(Table14[[#This Row],[Age]]&gt;55,"Old",IF(Table14[[#This Row],[Age]]&gt;25,"Middle","Na")))</f>
        <v>Middle</v>
      </c>
      <c r="H935" t="s">
        <v>11</v>
      </c>
      <c r="I935">
        <v>4</v>
      </c>
      <c r="J935">
        <v>25</v>
      </c>
      <c r="K935">
        <v>100</v>
      </c>
      <c r="N935" s="11" t="s">
        <v>975</v>
      </c>
      <c r="O935" s="11" t="s">
        <v>14</v>
      </c>
      <c r="P935" s="11">
        <f>K933/J933</f>
        <v>4</v>
      </c>
      <c r="Q935" s="11">
        <v>60</v>
      </c>
      <c r="R935" s="11">
        <v>60</v>
      </c>
    </row>
    <row r="936" spans="2:18" x14ac:dyDescent="0.35">
      <c r="B936">
        <v>933</v>
      </c>
      <c r="C936" s="1">
        <v>44960</v>
      </c>
      <c r="D936" t="s">
        <v>946</v>
      </c>
      <c r="E936" t="s">
        <v>10</v>
      </c>
      <c r="F936">
        <v>22</v>
      </c>
      <c r="G936" t="str">
        <f>IF(Table14[[#This Row],[Age]]&lt;=25,"Young",IF(Table14[[#This Row],[Age]]&gt;55,"Old",IF(Table14[[#This Row],[Age]]&gt;25,"Middle","Na")))</f>
        <v>Young</v>
      </c>
      <c r="H936" t="s">
        <v>11</v>
      </c>
      <c r="I936">
        <v>1</v>
      </c>
      <c r="J936">
        <v>30</v>
      </c>
      <c r="K936">
        <v>30</v>
      </c>
      <c r="N936" s="11" t="s">
        <v>1005</v>
      </c>
      <c r="O936" s="11" t="s">
        <v>16</v>
      </c>
      <c r="P936" s="11">
        <f>K934/J934</f>
        <v>4</v>
      </c>
      <c r="Q936" s="11">
        <v>60</v>
      </c>
      <c r="R936" s="11">
        <v>60</v>
      </c>
    </row>
    <row r="937" spans="2:18" x14ac:dyDescent="0.35">
      <c r="B937">
        <v>934</v>
      </c>
      <c r="C937" s="1">
        <v>45132</v>
      </c>
      <c r="D937" t="s">
        <v>947</v>
      </c>
      <c r="E937" t="s">
        <v>10</v>
      </c>
      <c r="F937">
        <v>30</v>
      </c>
      <c r="G937" t="str">
        <f>IF(Table14[[#This Row],[Age]]&lt;=25,"Young",IF(Table14[[#This Row],[Age]]&gt;55,"Old",IF(Table14[[#This Row],[Age]]&gt;25,"Middle","Na")))</f>
        <v>Middle</v>
      </c>
      <c r="H937" t="s">
        <v>11</v>
      </c>
      <c r="I937">
        <v>1</v>
      </c>
      <c r="J937">
        <v>500</v>
      </c>
      <c r="K937">
        <v>500</v>
      </c>
      <c r="N937" s="11" t="s">
        <v>20</v>
      </c>
      <c r="O937" s="11" t="s">
        <v>14</v>
      </c>
      <c r="P937" s="11">
        <f>K935/J935</f>
        <v>4</v>
      </c>
      <c r="Q937" s="11">
        <v>50</v>
      </c>
      <c r="R937" s="11">
        <v>50</v>
      </c>
    </row>
    <row r="938" spans="2:18" x14ac:dyDescent="0.35">
      <c r="B938">
        <v>935</v>
      </c>
      <c r="C938" s="1">
        <v>45178</v>
      </c>
      <c r="D938" t="s">
        <v>948</v>
      </c>
      <c r="E938" t="s">
        <v>13</v>
      </c>
      <c r="F938">
        <v>34</v>
      </c>
      <c r="G938" t="str">
        <f>IF(Table14[[#This Row],[Age]]&lt;=25,"Young",IF(Table14[[#This Row],[Age]]&gt;55,"Old",IF(Table14[[#This Row],[Age]]&gt;25,"Middle","Na")))</f>
        <v>Middle</v>
      </c>
      <c r="H938" t="s">
        <v>11</v>
      </c>
      <c r="I938">
        <v>1</v>
      </c>
      <c r="J938">
        <v>50</v>
      </c>
      <c r="K938">
        <v>50</v>
      </c>
      <c r="N938" s="11" t="s">
        <v>40</v>
      </c>
      <c r="O938" s="11" t="s">
        <v>11</v>
      </c>
      <c r="P938" s="11">
        <f>K936/J936</f>
        <v>1</v>
      </c>
      <c r="Q938" s="11">
        <v>50</v>
      </c>
      <c r="R938" s="11">
        <v>50</v>
      </c>
    </row>
    <row r="939" spans="2:18" x14ac:dyDescent="0.35">
      <c r="B939">
        <v>936</v>
      </c>
      <c r="C939" s="1">
        <v>44964</v>
      </c>
      <c r="D939" t="s">
        <v>949</v>
      </c>
      <c r="E939" t="s">
        <v>10</v>
      </c>
      <c r="F939">
        <v>57</v>
      </c>
      <c r="G939" t="str">
        <f>IF(Table14[[#This Row],[Age]]&lt;=25,"Young",IF(Table14[[#This Row],[Age]]&gt;55,"Old",IF(Table14[[#This Row],[Age]]&gt;25,"Middle","Na")))</f>
        <v>Old</v>
      </c>
      <c r="H939" t="s">
        <v>11</v>
      </c>
      <c r="I939">
        <v>4</v>
      </c>
      <c r="J939">
        <v>50</v>
      </c>
      <c r="K939">
        <v>200</v>
      </c>
      <c r="N939" s="11" t="s">
        <v>115</v>
      </c>
      <c r="O939" s="11" t="s">
        <v>11</v>
      </c>
      <c r="P939" s="11">
        <f>K937/J937</f>
        <v>1</v>
      </c>
      <c r="Q939" s="11">
        <v>50</v>
      </c>
      <c r="R939" s="11">
        <v>50</v>
      </c>
    </row>
    <row r="940" spans="2:18" x14ac:dyDescent="0.35">
      <c r="B940">
        <v>937</v>
      </c>
      <c r="C940" s="1">
        <v>45222</v>
      </c>
      <c r="D940" t="s">
        <v>950</v>
      </c>
      <c r="E940" t="s">
        <v>13</v>
      </c>
      <c r="F940">
        <v>62</v>
      </c>
      <c r="G940" t="str">
        <f>IF(Table14[[#This Row],[Age]]&lt;=25,"Young",IF(Table14[[#This Row],[Age]]&gt;55,"Old",IF(Table14[[#This Row],[Age]]&gt;25,"Middle","Na")))</f>
        <v>Old</v>
      </c>
      <c r="H940" t="s">
        <v>11</v>
      </c>
      <c r="I940">
        <v>1</v>
      </c>
      <c r="J940">
        <v>500</v>
      </c>
      <c r="K940">
        <v>500</v>
      </c>
      <c r="N940" s="11" t="s">
        <v>126</v>
      </c>
      <c r="O940" s="11" t="s">
        <v>16</v>
      </c>
      <c r="P940" s="11">
        <f>K938/J938</f>
        <v>1</v>
      </c>
      <c r="Q940" s="11">
        <v>50</v>
      </c>
      <c r="R940" s="11">
        <v>50</v>
      </c>
    </row>
    <row r="941" spans="2:18" x14ac:dyDescent="0.35">
      <c r="B941">
        <v>938</v>
      </c>
      <c r="C941" s="1">
        <v>45249</v>
      </c>
      <c r="D941" t="s">
        <v>951</v>
      </c>
      <c r="E941" t="s">
        <v>10</v>
      </c>
      <c r="F941">
        <v>49</v>
      </c>
      <c r="G941" t="str">
        <f>IF(Table14[[#This Row],[Age]]&lt;=25,"Young",IF(Table14[[#This Row],[Age]]&gt;55,"Old",IF(Table14[[#This Row],[Age]]&gt;25,"Middle","Na")))</f>
        <v>Middle</v>
      </c>
      <c r="H941" t="s">
        <v>14</v>
      </c>
      <c r="I941">
        <v>4</v>
      </c>
      <c r="J941">
        <v>50</v>
      </c>
      <c r="K941">
        <v>200</v>
      </c>
      <c r="N941" s="11" t="s">
        <v>140</v>
      </c>
      <c r="O941" s="11" t="s">
        <v>14</v>
      </c>
      <c r="P941" s="11">
        <f>K939/J939</f>
        <v>4</v>
      </c>
      <c r="Q941" s="11">
        <v>50</v>
      </c>
      <c r="R941" s="11">
        <v>50</v>
      </c>
    </row>
    <row r="942" spans="2:18" x14ac:dyDescent="0.35">
      <c r="B942">
        <v>939</v>
      </c>
      <c r="C942" s="1">
        <v>45278</v>
      </c>
      <c r="D942" t="s">
        <v>952</v>
      </c>
      <c r="E942" t="s">
        <v>13</v>
      </c>
      <c r="F942">
        <v>46</v>
      </c>
      <c r="G942" t="str">
        <f>IF(Table14[[#This Row],[Age]]&lt;=25,"Young",IF(Table14[[#This Row],[Age]]&gt;55,"Old",IF(Table14[[#This Row],[Age]]&gt;25,"Middle","Na")))</f>
        <v>Middle</v>
      </c>
      <c r="H942" t="s">
        <v>16</v>
      </c>
      <c r="I942">
        <v>1</v>
      </c>
      <c r="J942">
        <v>300</v>
      </c>
      <c r="K942">
        <v>300</v>
      </c>
      <c r="N942" s="11" t="s">
        <v>148</v>
      </c>
      <c r="O942" s="11" t="s">
        <v>14</v>
      </c>
      <c r="P942" s="11">
        <f>K940/J940</f>
        <v>1</v>
      </c>
      <c r="Q942" s="11">
        <v>50</v>
      </c>
      <c r="R942" s="11">
        <v>50</v>
      </c>
    </row>
    <row r="943" spans="2:18" x14ac:dyDescent="0.35">
      <c r="B943">
        <v>940</v>
      </c>
      <c r="C943" s="1">
        <v>44954</v>
      </c>
      <c r="D943" t="s">
        <v>953</v>
      </c>
      <c r="E943" t="s">
        <v>13</v>
      </c>
      <c r="F943">
        <v>20</v>
      </c>
      <c r="G943" t="str">
        <f>IF(Table14[[#This Row],[Age]]&lt;=25,"Young",IF(Table14[[#This Row],[Age]]&gt;55,"Old",IF(Table14[[#This Row],[Age]]&gt;25,"Middle","Na")))</f>
        <v>Young</v>
      </c>
      <c r="H943" t="s">
        <v>16</v>
      </c>
      <c r="I943">
        <v>1</v>
      </c>
      <c r="J943">
        <v>30</v>
      </c>
      <c r="K943">
        <v>30</v>
      </c>
      <c r="N943" s="11" t="s">
        <v>183</v>
      </c>
      <c r="O943" s="11" t="s">
        <v>14</v>
      </c>
      <c r="P943" s="11">
        <f>K941/J941</f>
        <v>4</v>
      </c>
      <c r="Q943" s="11">
        <v>50</v>
      </c>
      <c r="R943" s="11">
        <v>50</v>
      </c>
    </row>
    <row r="944" spans="2:18" x14ac:dyDescent="0.35">
      <c r="B944">
        <v>941</v>
      </c>
      <c r="C944" s="1">
        <v>45004</v>
      </c>
      <c r="D944" t="s">
        <v>954</v>
      </c>
      <c r="E944" t="s">
        <v>13</v>
      </c>
      <c r="F944">
        <v>57</v>
      </c>
      <c r="G944" t="str">
        <f>IF(Table14[[#This Row],[Age]]&lt;=25,"Young",IF(Table14[[#This Row],[Age]]&gt;55,"Old",IF(Table14[[#This Row],[Age]]&gt;25,"Middle","Na")))</f>
        <v>Old</v>
      </c>
      <c r="H944" t="s">
        <v>14</v>
      </c>
      <c r="I944">
        <v>2</v>
      </c>
      <c r="J944">
        <v>25</v>
      </c>
      <c r="K944">
        <v>50</v>
      </c>
      <c r="N944" s="11" t="s">
        <v>185</v>
      </c>
      <c r="O944" s="11" t="s">
        <v>11</v>
      </c>
      <c r="P944" s="11">
        <f>K942/J942</f>
        <v>1</v>
      </c>
      <c r="Q944" s="11">
        <v>50</v>
      </c>
      <c r="R944" s="11">
        <v>50</v>
      </c>
    </row>
    <row r="945" spans="2:18" x14ac:dyDescent="0.35">
      <c r="B945">
        <v>942</v>
      </c>
      <c r="C945" s="1">
        <v>45003</v>
      </c>
      <c r="D945" t="s">
        <v>955</v>
      </c>
      <c r="E945" t="s">
        <v>10</v>
      </c>
      <c r="F945">
        <v>51</v>
      </c>
      <c r="G945" t="str">
        <f>IF(Table14[[#This Row],[Age]]&lt;=25,"Young",IF(Table14[[#This Row],[Age]]&gt;55,"Old",IF(Table14[[#This Row],[Age]]&gt;25,"Middle","Na")))</f>
        <v>Middle</v>
      </c>
      <c r="H945" t="s">
        <v>14</v>
      </c>
      <c r="I945">
        <v>3</v>
      </c>
      <c r="J945">
        <v>500</v>
      </c>
      <c r="K945">
        <v>1500</v>
      </c>
      <c r="N945" s="11" t="s">
        <v>259</v>
      </c>
      <c r="O945" s="11" t="s">
        <v>16</v>
      </c>
      <c r="P945" s="11">
        <f>K943/J943</f>
        <v>1</v>
      </c>
      <c r="Q945" s="11">
        <v>50</v>
      </c>
      <c r="R945" s="11">
        <v>50</v>
      </c>
    </row>
    <row r="946" spans="2:18" x14ac:dyDescent="0.35">
      <c r="B946">
        <v>943</v>
      </c>
      <c r="C946" s="1">
        <v>45215</v>
      </c>
      <c r="D946" t="s">
        <v>956</v>
      </c>
      <c r="E946" t="s">
        <v>13</v>
      </c>
      <c r="F946">
        <v>57</v>
      </c>
      <c r="G946" t="str">
        <f>IF(Table14[[#This Row],[Age]]&lt;=25,"Young",IF(Table14[[#This Row],[Age]]&gt;55,"Old",IF(Table14[[#This Row],[Age]]&gt;25,"Middle","Na")))</f>
        <v>Old</v>
      </c>
      <c r="H946" t="s">
        <v>14</v>
      </c>
      <c r="I946">
        <v>4</v>
      </c>
      <c r="J946">
        <v>300</v>
      </c>
      <c r="K946">
        <v>1200</v>
      </c>
      <c r="N946" s="11" t="s">
        <v>329</v>
      </c>
      <c r="O946" s="11" t="s">
        <v>14</v>
      </c>
      <c r="P946" s="11">
        <f>K944/J944</f>
        <v>2</v>
      </c>
      <c r="Q946" s="11">
        <v>50</v>
      </c>
      <c r="R946" s="11">
        <v>50</v>
      </c>
    </row>
    <row r="947" spans="2:18" x14ac:dyDescent="0.35">
      <c r="B947">
        <v>944</v>
      </c>
      <c r="C947" s="1">
        <v>45082</v>
      </c>
      <c r="D947" t="s">
        <v>957</v>
      </c>
      <c r="E947" t="s">
        <v>10</v>
      </c>
      <c r="F947">
        <v>44</v>
      </c>
      <c r="G947" t="str">
        <f>IF(Table14[[#This Row],[Age]]&lt;=25,"Young",IF(Table14[[#This Row],[Age]]&gt;55,"Old",IF(Table14[[#This Row],[Age]]&gt;25,"Middle","Na")))</f>
        <v>Middle</v>
      </c>
      <c r="H947" t="s">
        <v>14</v>
      </c>
      <c r="I947">
        <v>2</v>
      </c>
      <c r="J947">
        <v>25</v>
      </c>
      <c r="K947">
        <v>50</v>
      </c>
      <c r="N947" s="11" t="s">
        <v>338</v>
      </c>
      <c r="O947" s="11" t="s">
        <v>16</v>
      </c>
      <c r="P947" s="11">
        <f>K945/J945</f>
        <v>3</v>
      </c>
      <c r="Q947" s="11">
        <v>50</v>
      </c>
      <c r="R947" s="11">
        <v>50</v>
      </c>
    </row>
    <row r="948" spans="2:18" x14ac:dyDescent="0.35">
      <c r="B948">
        <v>945</v>
      </c>
      <c r="C948" s="1">
        <v>44970</v>
      </c>
      <c r="D948" t="s">
        <v>958</v>
      </c>
      <c r="E948" t="s">
        <v>10</v>
      </c>
      <c r="F948">
        <v>30</v>
      </c>
      <c r="G948" t="str">
        <f>IF(Table14[[#This Row],[Age]]&lt;=25,"Young",IF(Table14[[#This Row],[Age]]&gt;55,"Old",IF(Table14[[#This Row],[Age]]&gt;25,"Middle","Na")))</f>
        <v>Middle</v>
      </c>
      <c r="H948" t="s">
        <v>11</v>
      </c>
      <c r="I948">
        <v>1</v>
      </c>
      <c r="J948">
        <v>25</v>
      </c>
      <c r="K948">
        <v>25</v>
      </c>
      <c r="N948" s="11" t="s">
        <v>540</v>
      </c>
      <c r="O948" s="11" t="s">
        <v>14</v>
      </c>
      <c r="P948" s="11">
        <f>K946/J946</f>
        <v>4</v>
      </c>
      <c r="Q948" s="11">
        <v>50</v>
      </c>
      <c r="R948" s="11">
        <v>50</v>
      </c>
    </row>
    <row r="949" spans="2:18" x14ac:dyDescent="0.35">
      <c r="B949">
        <v>946</v>
      </c>
      <c r="C949" s="1">
        <v>45054</v>
      </c>
      <c r="D949" t="s">
        <v>959</v>
      </c>
      <c r="E949" t="s">
        <v>10</v>
      </c>
      <c r="F949">
        <v>62</v>
      </c>
      <c r="G949" t="str">
        <f>IF(Table14[[#This Row],[Age]]&lt;=25,"Young",IF(Table14[[#This Row],[Age]]&gt;55,"Old",IF(Table14[[#This Row],[Age]]&gt;25,"Middle","Na")))</f>
        <v>Old</v>
      </c>
      <c r="H949" t="s">
        <v>16</v>
      </c>
      <c r="I949">
        <v>4</v>
      </c>
      <c r="J949">
        <v>500</v>
      </c>
      <c r="K949">
        <v>2000</v>
      </c>
      <c r="N949" s="11" t="s">
        <v>642</v>
      </c>
      <c r="O949" s="11" t="s">
        <v>16</v>
      </c>
      <c r="P949" s="11">
        <f>K947/J947</f>
        <v>2</v>
      </c>
      <c r="Q949" s="11">
        <v>50</v>
      </c>
      <c r="R949" s="11">
        <v>50</v>
      </c>
    </row>
    <row r="950" spans="2:18" x14ac:dyDescent="0.35">
      <c r="B950">
        <v>947</v>
      </c>
      <c r="C950" s="1">
        <v>44987</v>
      </c>
      <c r="D950" t="s">
        <v>960</v>
      </c>
      <c r="E950" t="s">
        <v>10</v>
      </c>
      <c r="F950">
        <v>50</v>
      </c>
      <c r="G950" t="str">
        <f>IF(Table14[[#This Row],[Age]]&lt;=25,"Young",IF(Table14[[#This Row],[Age]]&gt;55,"Old",IF(Table14[[#This Row],[Age]]&gt;25,"Middle","Na")))</f>
        <v>Middle</v>
      </c>
      <c r="H950" t="s">
        <v>11</v>
      </c>
      <c r="I950">
        <v>1</v>
      </c>
      <c r="J950">
        <v>300</v>
      </c>
      <c r="K950">
        <v>300</v>
      </c>
      <c r="N950" s="11" t="s">
        <v>718</v>
      </c>
      <c r="O950" s="11" t="s">
        <v>16</v>
      </c>
      <c r="P950" s="11">
        <f>K948/J948</f>
        <v>1</v>
      </c>
      <c r="Q950" s="11">
        <v>50</v>
      </c>
      <c r="R950" s="11">
        <v>50</v>
      </c>
    </row>
    <row r="951" spans="2:18" x14ac:dyDescent="0.35">
      <c r="B951">
        <v>948</v>
      </c>
      <c r="C951" s="1">
        <v>45212</v>
      </c>
      <c r="D951" t="s">
        <v>961</v>
      </c>
      <c r="E951" t="s">
        <v>13</v>
      </c>
      <c r="F951">
        <v>23</v>
      </c>
      <c r="G951" t="str">
        <f>IF(Table14[[#This Row],[Age]]&lt;=25,"Young",IF(Table14[[#This Row],[Age]]&gt;55,"Old",IF(Table14[[#This Row],[Age]]&gt;25,"Middle","Na")))</f>
        <v>Young</v>
      </c>
      <c r="H951" t="s">
        <v>16</v>
      </c>
      <c r="I951">
        <v>3</v>
      </c>
      <c r="J951">
        <v>25</v>
      </c>
      <c r="K951">
        <v>75</v>
      </c>
      <c r="N951" s="11" t="s">
        <v>775</v>
      </c>
      <c r="O951" s="11" t="s">
        <v>16</v>
      </c>
      <c r="P951" s="11">
        <f>K949/J949</f>
        <v>4</v>
      </c>
      <c r="Q951" s="11">
        <v>50</v>
      </c>
      <c r="R951" s="11">
        <v>50</v>
      </c>
    </row>
    <row r="952" spans="2:18" x14ac:dyDescent="0.35">
      <c r="B952">
        <v>949</v>
      </c>
      <c r="C952" s="1">
        <v>45140</v>
      </c>
      <c r="D952" t="s">
        <v>962</v>
      </c>
      <c r="E952" t="s">
        <v>13</v>
      </c>
      <c r="F952">
        <v>41</v>
      </c>
      <c r="G952" t="str">
        <f>IF(Table14[[#This Row],[Age]]&lt;=25,"Young",IF(Table14[[#This Row],[Age]]&gt;55,"Old",IF(Table14[[#This Row],[Age]]&gt;25,"Middle","Na")))</f>
        <v>Middle</v>
      </c>
      <c r="H952" t="s">
        <v>16</v>
      </c>
      <c r="I952">
        <v>2</v>
      </c>
      <c r="J952">
        <v>25</v>
      </c>
      <c r="K952">
        <v>50</v>
      </c>
      <c r="N952" s="11" t="s">
        <v>776</v>
      </c>
      <c r="O952" s="11" t="s">
        <v>14</v>
      </c>
      <c r="P952" s="11">
        <f>K950/J950</f>
        <v>1</v>
      </c>
      <c r="Q952" s="11">
        <v>50</v>
      </c>
      <c r="R952" s="11">
        <v>50</v>
      </c>
    </row>
    <row r="953" spans="2:18" x14ac:dyDescent="0.35">
      <c r="B953">
        <v>950</v>
      </c>
      <c r="C953" s="1">
        <v>45237</v>
      </c>
      <c r="D953" t="s">
        <v>963</v>
      </c>
      <c r="E953" t="s">
        <v>10</v>
      </c>
      <c r="F953">
        <v>36</v>
      </c>
      <c r="G953" t="str">
        <f>IF(Table14[[#This Row],[Age]]&lt;=25,"Young",IF(Table14[[#This Row],[Age]]&gt;55,"Old",IF(Table14[[#This Row],[Age]]&gt;25,"Middle","Na")))</f>
        <v>Middle</v>
      </c>
      <c r="H953" t="s">
        <v>14</v>
      </c>
      <c r="I953">
        <v>3</v>
      </c>
      <c r="J953">
        <v>300</v>
      </c>
      <c r="K953">
        <v>900</v>
      </c>
      <c r="N953" s="11" t="s">
        <v>895</v>
      </c>
      <c r="O953" s="11" t="s">
        <v>16</v>
      </c>
      <c r="P953" s="11">
        <f>K951/J951</f>
        <v>3</v>
      </c>
      <c r="Q953" s="11">
        <v>50</v>
      </c>
      <c r="R953" s="11">
        <v>50</v>
      </c>
    </row>
    <row r="954" spans="2:18" x14ac:dyDescent="0.35">
      <c r="B954">
        <v>951</v>
      </c>
      <c r="C954" s="1">
        <v>45232</v>
      </c>
      <c r="D954" t="s">
        <v>964</v>
      </c>
      <c r="E954" t="s">
        <v>10</v>
      </c>
      <c r="F954">
        <v>33</v>
      </c>
      <c r="G954" t="str">
        <f>IF(Table14[[#This Row],[Age]]&lt;=25,"Young",IF(Table14[[#This Row],[Age]]&gt;55,"Old",IF(Table14[[#This Row],[Age]]&gt;25,"Middle","Na")))</f>
        <v>Middle</v>
      </c>
      <c r="H954" t="s">
        <v>11</v>
      </c>
      <c r="I954">
        <v>2</v>
      </c>
      <c r="J954">
        <v>50</v>
      </c>
      <c r="K954">
        <v>100</v>
      </c>
      <c r="N954" s="11" t="s">
        <v>38</v>
      </c>
      <c r="O954" s="11" t="s">
        <v>11</v>
      </c>
      <c r="P954" s="11">
        <f>K952/J952</f>
        <v>2</v>
      </c>
      <c r="Q954" s="11">
        <v>50</v>
      </c>
      <c r="R954" s="11">
        <v>50</v>
      </c>
    </row>
    <row r="955" spans="2:18" x14ac:dyDescent="0.35">
      <c r="B955">
        <v>952</v>
      </c>
      <c r="C955" s="1">
        <v>45243</v>
      </c>
      <c r="D955" t="s">
        <v>965</v>
      </c>
      <c r="E955" t="s">
        <v>13</v>
      </c>
      <c r="F955">
        <v>57</v>
      </c>
      <c r="G955" t="str">
        <f>IF(Table14[[#This Row],[Age]]&lt;=25,"Young",IF(Table14[[#This Row],[Age]]&gt;55,"Old",IF(Table14[[#This Row],[Age]]&gt;25,"Middle","Na")))</f>
        <v>Old</v>
      </c>
      <c r="H955" t="s">
        <v>14</v>
      </c>
      <c r="I955">
        <v>1</v>
      </c>
      <c r="J955">
        <v>25</v>
      </c>
      <c r="K955">
        <v>25</v>
      </c>
      <c r="N955" s="11" t="s">
        <v>53</v>
      </c>
      <c r="O955" s="11" t="s">
        <v>11</v>
      </c>
      <c r="P955" s="11">
        <f>K953/J953</f>
        <v>3</v>
      </c>
      <c r="Q955" s="11">
        <v>50</v>
      </c>
      <c r="R955" s="11">
        <v>50</v>
      </c>
    </row>
    <row r="956" spans="2:18" x14ac:dyDescent="0.35">
      <c r="B956">
        <v>953</v>
      </c>
      <c r="C956" s="1">
        <v>45042</v>
      </c>
      <c r="D956" t="s">
        <v>966</v>
      </c>
      <c r="E956" t="s">
        <v>10</v>
      </c>
      <c r="F956">
        <v>45</v>
      </c>
      <c r="G956" t="str">
        <f>IF(Table14[[#This Row],[Age]]&lt;=25,"Young",IF(Table14[[#This Row],[Age]]&gt;55,"Old",IF(Table14[[#This Row],[Age]]&gt;25,"Middle","Na")))</f>
        <v>Middle</v>
      </c>
      <c r="H956" t="s">
        <v>11</v>
      </c>
      <c r="I956">
        <v>3</v>
      </c>
      <c r="J956">
        <v>30</v>
      </c>
      <c r="K956">
        <v>90</v>
      </c>
      <c r="N956" s="11" t="s">
        <v>154</v>
      </c>
      <c r="O956" s="11" t="s">
        <v>16</v>
      </c>
      <c r="P956" s="11">
        <f>K954/J954</f>
        <v>2</v>
      </c>
      <c r="Q956" s="11">
        <v>50</v>
      </c>
      <c r="R956" s="11">
        <v>50</v>
      </c>
    </row>
    <row r="957" spans="2:18" x14ac:dyDescent="0.35">
      <c r="B957">
        <v>954</v>
      </c>
      <c r="C957" s="1">
        <v>45194</v>
      </c>
      <c r="D957" t="s">
        <v>967</v>
      </c>
      <c r="E957" t="s">
        <v>13</v>
      </c>
      <c r="F957">
        <v>50</v>
      </c>
      <c r="G957" t="str">
        <f>IF(Table14[[#This Row],[Age]]&lt;=25,"Young",IF(Table14[[#This Row],[Age]]&gt;55,"Old",IF(Table14[[#This Row],[Age]]&gt;25,"Middle","Na")))</f>
        <v>Middle</v>
      </c>
      <c r="H957" t="s">
        <v>16</v>
      </c>
      <c r="I957">
        <v>3</v>
      </c>
      <c r="J957">
        <v>300</v>
      </c>
      <c r="K957">
        <v>900</v>
      </c>
      <c r="N957" s="11" t="s">
        <v>164</v>
      </c>
      <c r="O957" s="11" t="s">
        <v>14</v>
      </c>
      <c r="P957" s="11">
        <f>K955/J955</f>
        <v>1</v>
      </c>
      <c r="Q957" s="11">
        <v>50</v>
      </c>
      <c r="R957" s="11">
        <v>50</v>
      </c>
    </row>
    <row r="958" spans="2:18" x14ac:dyDescent="0.35">
      <c r="B958">
        <v>955</v>
      </c>
      <c r="C958" s="1">
        <v>45121</v>
      </c>
      <c r="D958" t="s">
        <v>968</v>
      </c>
      <c r="E958" t="s">
        <v>10</v>
      </c>
      <c r="F958">
        <v>58</v>
      </c>
      <c r="G958" t="str">
        <f>IF(Table14[[#This Row],[Age]]&lt;=25,"Young",IF(Table14[[#This Row],[Age]]&gt;55,"Old",IF(Table14[[#This Row],[Age]]&gt;25,"Middle","Na")))</f>
        <v>Old</v>
      </c>
      <c r="H958" t="s">
        <v>14</v>
      </c>
      <c r="I958">
        <v>1</v>
      </c>
      <c r="J958">
        <v>25</v>
      </c>
      <c r="K958">
        <v>25</v>
      </c>
      <c r="N958" s="11" t="s">
        <v>202</v>
      </c>
      <c r="O958" s="11" t="s">
        <v>11</v>
      </c>
      <c r="P958" s="11">
        <f>K956/J956</f>
        <v>3</v>
      </c>
      <c r="Q958" s="11">
        <v>50</v>
      </c>
      <c r="R958" s="11">
        <v>50</v>
      </c>
    </row>
    <row r="959" spans="2:18" x14ac:dyDescent="0.35">
      <c r="B959">
        <v>956</v>
      </c>
      <c r="C959" s="1">
        <v>45157</v>
      </c>
      <c r="D959" t="s">
        <v>969</v>
      </c>
      <c r="E959" t="s">
        <v>10</v>
      </c>
      <c r="F959">
        <v>30</v>
      </c>
      <c r="G959" t="str">
        <f>IF(Table14[[#This Row],[Age]]&lt;=25,"Young",IF(Table14[[#This Row],[Age]]&gt;55,"Old",IF(Table14[[#This Row],[Age]]&gt;25,"Middle","Na")))</f>
        <v>Middle</v>
      </c>
      <c r="H959" t="s">
        <v>14</v>
      </c>
      <c r="I959">
        <v>3</v>
      </c>
      <c r="J959">
        <v>500</v>
      </c>
      <c r="K959">
        <v>1500</v>
      </c>
      <c r="N959" s="11" t="s">
        <v>372</v>
      </c>
      <c r="O959" s="11" t="s">
        <v>14</v>
      </c>
      <c r="P959" s="11">
        <f>K957/J957</f>
        <v>3</v>
      </c>
      <c r="Q959" s="11">
        <v>50</v>
      </c>
      <c r="R959" s="11">
        <v>50</v>
      </c>
    </row>
    <row r="960" spans="2:18" x14ac:dyDescent="0.35">
      <c r="B960">
        <v>957</v>
      </c>
      <c r="C960" s="1">
        <v>45153</v>
      </c>
      <c r="D960" t="s">
        <v>970</v>
      </c>
      <c r="E960" t="s">
        <v>13</v>
      </c>
      <c r="F960">
        <v>60</v>
      </c>
      <c r="G960" t="str">
        <f>IF(Table14[[#This Row],[Age]]&lt;=25,"Young",IF(Table14[[#This Row],[Age]]&gt;55,"Old",IF(Table14[[#This Row],[Age]]&gt;25,"Middle","Na")))</f>
        <v>Old</v>
      </c>
      <c r="H960" t="s">
        <v>16</v>
      </c>
      <c r="I960">
        <v>4</v>
      </c>
      <c r="J960">
        <v>30</v>
      </c>
      <c r="K960">
        <v>120</v>
      </c>
      <c r="N960" s="11" t="s">
        <v>380</v>
      </c>
      <c r="O960" s="11" t="s">
        <v>16</v>
      </c>
      <c r="P960" s="11">
        <f>K958/J958</f>
        <v>1</v>
      </c>
      <c r="Q960" s="11">
        <v>50</v>
      </c>
      <c r="R960" s="11">
        <v>50</v>
      </c>
    </row>
    <row r="961" spans="2:18" x14ac:dyDescent="0.35">
      <c r="B961">
        <v>958</v>
      </c>
      <c r="C961" s="1">
        <v>45079</v>
      </c>
      <c r="D961" t="s">
        <v>971</v>
      </c>
      <c r="E961" t="s">
        <v>10</v>
      </c>
      <c r="F961">
        <v>62</v>
      </c>
      <c r="G961" t="str">
        <f>IF(Table14[[#This Row],[Age]]&lt;=25,"Young",IF(Table14[[#This Row],[Age]]&gt;55,"Old",IF(Table14[[#This Row],[Age]]&gt;25,"Middle","Na")))</f>
        <v>Old</v>
      </c>
      <c r="H961" t="s">
        <v>16</v>
      </c>
      <c r="I961">
        <v>2</v>
      </c>
      <c r="J961">
        <v>25</v>
      </c>
      <c r="K961">
        <v>50</v>
      </c>
      <c r="N961" s="11" t="s">
        <v>388</v>
      </c>
      <c r="O961" s="11" t="s">
        <v>14</v>
      </c>
      <c r="P961" s="11">
        <f>K959/J959</f>
        <v>3</v>
      </c>
      <c r="Q961" s="11">
        <v>50</v>
      </c>
      <c r="R961" s="11">
        <v>50</v>
      </c>
    </row>
    <row r="962" spans="2:18" x14ac:dyDescent="0.35">
      <c r="B962">
        <v>959</v>
      </c>
      <c r="C962" s="1">
        <v>45228</v>
      </c>
      <c r="D962" t="s">
        <v>972</v>
      </c>
      <c r="E962" t="s">
        <v>13</v>
      </c>
      <c r="F962">
        <v>42</v>
      </c>
      <c r="G962" t="str">
        <f>IF(Table14[[#This Row],[Age]]&lt;=25,"Young",IF(Table14[[#This Row],[Age]]&gt;55,"Old",IF(Table14[[#This Row],[Age]]&gt;25,"Middle","Na")))</f>
        <v>Middle</v>
      </c>
      <c r="H962" t="s">
        <v>16</v>
      </c>
      <c r="I962">
        <v>2</v>
      </c>
      <c r="J962">
        <v>30</v>
      </c>
      <c r="K962">
        <v>60</v>
      </c>
      <c r="N962" s="11" t="s">
        <v>459</v>
      </c>
      <c r="O962" s="11" t="s">
        <v>16</v>
      </c>
      <c r="P962" s="11">
        <f>K960/J960</f>
        <v>4</v>
      </c>
      <c r="Q962" s="11">
        <v>50</v>
      </c>
      <c r="R962" s="11">
        <v>50</v>
      </c>
    </row>
    <row r="963" spans="2:18" x14ac:dyDescent="0.35">
      <c r="B963">
        <v>960</v>
      </c>
      <c r="C963" s="1">
        <v>45146</v>
      </c>
      <c r="D963" t="s">
        <v>973</v>
      </c>
      <c r="E963" t="s">
        <v>10</v>
      </c>
      <c r="F963">
        <v>59</v>
      </c>
      <c r="G963" t="str">
        <f>IF(Table14[[#This Row],[Age]]&lt;=25,"Young",IF(Table14[[#This Row],[Age]]&gt;55,"Old",IF(Table14[[#This Row],[Age]]&gt;25,"Middle","Na")))</f>
        <v>Old</v>
      </c>
      <c r="H963" t="s">
        <v>14</v>
      </c>
      <c r="I963">
        <v>2</v>
      </c>
      <c r="J963">
        <v>30</v>
      </c>
      <c r="K963">
        <v>60</v>
      </c>
      <c r="N963" s="11" t="s">
        <v>473</v>
      </c>
      <c r="O963" s="11" t="s">
        <v>11</v>
      </c>
      <c r="P963" s="11">
        <f>K961/J961</f>
        <v>2</v>
      </c>
      <c r="Q963" s="11">
        <v>50</v>
      </c>
      <c r="R963" s="11">
        <v>50</v>
      </c>
    </row>
    <row r="964" spans="2:18" x14ac:dyDescent="0.35">
      <c r="B964">
        <v>961</v>
      </c>
      <c r="C964" s="1">
        <v>45083</v>
      </c>
      <c r="D964" t="s">
        <v>974</v>
      </c>
      <c r="E964" t="s">
        <v>10</v>
      </c>
      <c r="F964">
        <v>53</v>
      </c>
      <c r="G964" t="str">
        <f>IF(Table14[[#This Row],[Age]]&lt;=25,"Young",IF(Table14[[#This Row],[Age]]&gt;55,"Old",IF(Table14[[#This Row],[Age]]&gt;25,"Middle","Na")))</f>
        <v>Middle</v>
      </c>
      <c r="H964" t="s">
        <v>11</v>
      </c>
      <c r="I964">
        <v>4</v>
      </c>
      <c r="J964">
        <v>50</v>
      </c>
      <c r="K964">
        <v>200</v>
      </c>
      <c r="N964" s="11" t="s">
        <v>584</v>
      </c>
      <c r="O964" s="11" t="s">
        <v>16</v>
      </c>
      <c r="P964" s="11">
        <f>K962/J962</f>
        <v>2</v>
      </c>
      <c r="Q964" s="11">
        <v>50</v>
      </c>
      <c r="R964" s="11">
        <v>50</v>
      </c>
    </row>
    <row r="965" spans="2:18" x14ac:dyDescent="0.35">
      <c r="B965">
        <v>962</v>
      </c>
      <c r="C965" s="1">
        <v>45218</v>
      </c>
      <c r="D965" t="s">
        <v>975</v>
      </c>
      <c r="E965" t="s">
        <v>10</v>
      </c>
      <c r="F965">
        <v>44</v>
      </c>
      <c r="G965" t="str">
        <f>IF(Table14[[#This Row],[Age]]&lt;=25,"Young",IF(Table14[[#This Row],[Age]]&gt;55,"Old",IF(Table14[[#This Row],[Age]]&gt;25,"Middle","Na")))</f>
        <v>Middle</v>
      </c>
      <c r="H965" t="s">
        <v>14</v>
      </c>
      <c r="I965">
        <v>2</v>
      </c>
      <c r="J965">
        <v>30</v>
      </c>
      <c r="K965">
        <v>60</v>
      </c>
      <c r="N965" s="11" t="s">
        <v>631</v>
      </c>
      <c r="O965" s="11" t="s">
        <v>11</v>
      </c>
      <c r="P965" s="11">
        <f>K963/J963</f>
        <v>2</v>
      </c>
      <c r="Q965" s="11">
        <v>50</v>
      </c>
      <c r="R965" s="11">
        <v>50</v>
      </c>
    </row>
    <row r="966" spans="2:18" x14ac:dyDescent="0.35">
      <c r="B966">
        <v>963</v>
      </c>
      <c r="C966" s="1">
        <v>45244</v>
      </c>
      <c r="D966" t="s">
        <v>976</v>
      </c>
      <c r="E966" t="s">
        <v>13</v>
      </c>
      <c r="F966">
        <v>55</v>
      </c>
      <c r="G966" t="str">
        <f>IF(Table14[[#This Row],[Age]]&lt;=25,"Young",IF(Table14[[#This Row],[Age]]&gt;55,"Old",IF(Table14[[#This Row],[Age]]&gt;25,"Middle","Na")))</f>
        <v>Middle</v>
      </c>
      <c r="H966" t="s">
        <v>11</v>
      </c>
      <c r="I966">
        <v>1</v>
      </c>
      <c r="J966">
        <v>50</v>
      </c>
      <c r="K966">
        <v>50</v>
      </c>
      <c r="N966" s="11" t="s">
        <v>640</v>
      </c>
      <c r="O966" s="11" t="s">
        <v>14</v>
      </c>
      <c r="P966" s="11">
        <f>K964/J964</f>
        <v>4</v>
      </c>
      <c r="Q966" s="11">
        <v>50</v>
      </c>
      <c r="R966" s="11">
        <v>50</v>
      </c>
    </row>
    <row r="967" spans="2:18" x14ac:dyDescent="0.35">
      <c r="B967">
        <v>964</v>
      </c>
      <c r="C967" s="1">
        <v>44957</v>
      </c>
      <c r="D967" t="s">
        <v>977</v>
      </c>
      <c r="E967" t="s">
        <v>10</v>
      </c>
      <c r="F967">
        <v>24</v>
      </c>
      <c r="G967" t="str">
        <f>IF(Table14[[#This Row],[Age]]&lt;=25,"Young",IF(Table14[[#This Row],[Age]]&gt;55,"Old",IF(Table14[[#This Row],[Age]]&gt;25,"Middle","Na")))</f>
        <v>Young</v>
      </c>
      <c r="H967" t="s">
        <v>14</v>
      </c>
      <c r="I967">
        <v>3</v>
      </c>
      <c r="J967">
        <v>300</v>
      </c>
      <c r="K967">
        <v>900</v>
      </c>
      <c r="N967" s="11" t="s">
        <v>678</v>
      </c>
      <c r="O967" s="11" t="s">
        <v>14</v>
      </c>
      <c r="P967" s="11">
        <f>K965/J965</f>
        <v>2</v>
      </c>
      <c r="Q967" s="11">
        <v>50</v>
      </c>
      <c r="R967" s="11">
        <v>50</v>
      </c>
    </row>
    <row r="968" spans="2:18" x14ac:dyDescent="0.35">
      <c r="B968">
        <v>965</v>
      </c>
      <c r="C968" s="1">
        <v>45239</v>
      </c>
      <c r="D968" t="s">
        <v>978</v>
      </c>
      <c r="E968" t="s">
        <v>10</v>
      </c>
      <c r="F968">
        <v>22</v>
      </c>
      <c r="G968" t="str">
        <f>IF(Table14[[#This Row],[Age]]&lt;=25,"Young",IF(Table14[[#This Row],[Age]]&gt;55,"Old",IF(Table14[[#This Row],[Age]]&gt;25,"Middle","Na")))</f>
        <v>Young</v>
      </c>
      <c r="H968" t="s">
        <v>14</v>
      </c>
      <c r="I968">
        <v>4</v>
      </c>
      <c r="J968">
        <v>50</v>
      </c>
      <c r="K968">
        <v>200</v>
      </c>
      <c r="N968" s="11" t="s">
        <v>783</v>
      </c>
      <c r="O968" s="11" t="s">
        <v>14</v>
      </c>
      <c r="P968" s="11">
        <f>K966/J966</f>
        <v>1</v>
      </c>
      <c r="Q968" s="11">
        <v>50</v>
      </c>
      <c r="R968" s="11">
        <v>50</v>
      </c>
    </row>
    <row r="969" spans="2:18" x14ac:dyDescent="0.35">
      <c r="B969">
        <v>966</v>
      </c>
      <c r="C969" s="1">
        <v>44977</v>
      </c>
      <c r="D969" t="s">
        <v>979</v>
      </c>
      <c r="E969" t="s">
        <v>10</v>
      </c>
      <c r="F969">
        <v>60</v>
      </c>
      <c r="G969" t="str">
        <f>IF(Table14[[#This Row],[Age]]&lt;=25,"Young",IF(Table14[[#This Row],[Age]]&gt;55,"Old",IF(Table14[[#This Row],[Age]]&gt;25,"Middle","Na")))</f>
        <v>Old</v>
      </c>
      <c r="H969" t="s">
        <v>16</v>
      </c>
      <c r="I969">
        <v>2</v>
      </c>
      <c r="J969">
        <v>500</v>
      </c>
      <c r="K969">
        <v>1000</v>
      </c>
      <c r="N969" s="11" t="s">
        <v>811</v>
      </c>
      <c r="O969" s="11" t="s">
        <v>14</v>
      </c>
      <c r="P969" s="11">
        <f>K967/J967</f>
        <v>3</v>
      </c>
      <c r="Q969" s="11">
        <v>50</v>
      </c>
      <c r="R969" s="11">
        <v>50</v>
      </c>
    </row>
    <row r="970" spans="2:18" x14ac:dyDescent="0.35">
      <c r="B970">
        <v>967</v>
      </c>
      <c r="C970" s="1">
        <v>45033</v>
      </c>
      <c r="D970" t="s">
        <v>980</v>
      </c>
      <c r="E970" t="s">
        <v>10</v>
      </c>
      <c r="F970">
        <v>62</v>
      </c>
      <c r="G970" t="str">
        <f>IF(Table14[[#This Row],[Age]]&lt;=25,"Young",IF(Table14[[#This Row],[Age]]&gt;55,"Old",IF(Table14[[#This Row],[Age]]&gt;25,"Middle","Na")))</f>
        <v>Old</v>
      </c>
      <c r="H970" t="s">
        <v>11</v>
      </c>
      <c r="I970">
        <v>1</v>
      </c>
      <c r="J970">
        <v>25</v>
      </c>
      <c r="K970">
        <v>25</v>
      </c>
      <c r="N970" s="11" t="s">
        <v>905</v>
      </c>
      <c r="O970" s="11" t="s">
        <v>16</v>
      </c>
      <c r="P970" s="11">
        <f>K968/J968</f>
        <v>4</v>
      </c>
      <c r="Q970" s="11">
        <v>50</v>
      </c>
      <c r="R970" s="11">
        <v>50</v>
      </c>
    </row>
    <row r="971" spans="2:18" x14ac:dyDescent="0.35">
      <c r="B971">
        <v>968</v>
      </c>
      <c r="C971" s="1">
        <v>45247</v>
      </c>
      <c r="D971" t="s">
        <v>981</v>
      </c>
      <c r="E971" t="s">
        <v>13</v>
      </c>
      <c r="F971">
        <v>48</v>
      </c>
      <c r="G971" t="str">
        <f>IF(Table14[[#This Row],[Age]]&lt;=25,"Young",IF(Table14[[#This Row],[Age]]&gt;55,"Old",IF(Table14[[#This Row],[Age]]&gt;25,"Middle","Na")))</f>
        <v>Middle</v>
      </c>
      <c r="H971" t="s">
        <v>14</v>
      </c>
      <c r="I971">
        <v>3</v>
      </c>
      <c r="J971">
        <v>300</v>
      </c>
      <c r="K971">
        <v>900</v>
      </c>
      <c r="N971" s="11" t="s">
        <v>919</v>
      </c>
      <c r="O971" s="11" t="s">
        <v>14</v>
      </c>
      <c r="P971" s="11">
        <f>K969/J969</f>
        <v>2</v>
      </c>
      <c r="Q971" s="11">
        <v>50</v>
      </c>
      <c r="R971" s="11">
        <v>50</v>
      </c>
    </row>
    <row r="972" spans="2:18" x14ac:dyDescent="0.35">
      <c r="B972">
        <v>969</v>
      </c>
      <c r="C972" s="1">
        <v>45035</v>
      </c>
      <c r="D972" t="s">
        <v>982</v>
      </c>
      <c r="E972" t="s">
        <v>13</v>
      </c>
      <c r="F972">
        <v>40</v>
      </c>
      <c r="G972" t="str">
        <f>IF(Table14[[#This Row],[Age]]&lt;=25,"Young",IF(Table14[[#This Row],[Age]]&gt;55,"Old",IF(Table14[[#This Row],[Age]]&gt;25,"Middle","Na")))</f>
        <v>Middle</v>
      </c>
      <c r="H972" t="s">
        <v>14</v>
      </c>
      <c r="I972">
        <v>3</v>
      </c>
      <c r="J972">
        <v>300</v>
      </c>
      <c r="K972">
        <v>900</v>
      </c>
      <c r="N972" s="11" t="s">
        <v>929</v>
      </c>
      <c r="O972" s="11" t="s">
        <v>16</v>
      </c>
      <c r="P972" s="11">
        <f>K970/J970</f>
        <v>1</v>
      </c>
      <c r="Q972" s="11">
        <v>50</v>
      </c>
      <c r="R972" s="11">
        <v>50</v>
      </c>
    </row>
    <row r="973" spans="2:18" x14ac:dyDescent="0.35">
      <c r="B973">
        <v>970</v>
      </c>
      <c r="C973" s="1">
        <v>45062</v>
      </c>
      <c r="D973" t="s">
        <v>983</v>
      </c>
      <c r="E973" t="s">
        <v>10</v>
      </c>
      <c r="F973">
        <v>59</v>
      </c>
      <c r="G973" t="str">
        <f>IF(Table14[[#This Row],[Age]]&lt;=25,"Young",IF(Table14[[#This Row],[Age]]&gt;55,"Old",IF(Table14[[#This Row],[Age]]&gt;25,"Middle","Na")))</f>
        <v>Old</v>
      </c>
      <c r="H973" t="s">
        <v>16</v>
      </c>
      <c r="I973">
        <v>4</v>
      </c>
      <c r="J973">
        <v>500</v>
      </c>
      <c r="K973">
        <v>2000</v>
      </c>
      <c r="N973" s="11" t="s">
        <v>935</v>
      </c>
      <c r="O973" s="11" t="s">
        <v>16</v>
      </c>
      <c r="P973" s="11">
        <f>K971/J971</f>
        <v>3</v>
      </c>
      <c r="Q973" s="11">
        <v>50</v>
      </c>
      <c r="R973" s="11">
        <v>50</v>
      </c>
    </row>
    <row r="974" spans="2:18" x14ac:dyDescent="0.35">
      <c r="B974">
        <v>971</v>
      </c>
      <c r="C974" s="1">
        <v>45265</v>
      </c>
      <c r="D974" t="s">
        <v>984</v>
      </c>
      <c r="E974" t="s">
        <v>13</v>
      </c>
      <c r="F974">
        <v>27</v>
      </c>
      <c r="G974" t="str">
        <f>IF(Table14[[#This Row],[Age]]&lt;=25,"Young",IF(Table14[[#This Row],[Age]]&gt;55,"Old",IF(Table14[[#This Row],[Age]]&gt;25,"Middle","Na")))</f>
        <v>Middle</v>
      </c>
      <c r="H974" t="s">
        <v>16</v>
      </c>
      <c r="I974">
        <v>4</v>
      </c>
      <c r="J974">
        <v>50</v>
      </c>
      <c r="K974">
        <v>200</v>
      </c>
      <c r="N974" s="11" t="s">
        <v>42</v>
      </c>
      <c r="O974" s="11" t="s">
        <v>16</v>
      </c>
      <c r="P974" s="11">
        <f>K972/J972</f>
        <v>3</v>
      </c>
      <c r="Q974" s="11">
        <v>30</v>
      </c>
      <c r="R974" s="11">
        <v>30</v>
      </c>
    </row>
    <row r="975" spans="2:18" x14ac:dyDescent="0.35">
      <c r="B975">
        <v>972</v>
      </c>
      <c r="C975" s="1">
        <v>44968</v>
      </c>
      <c r="D975" t="s">
        <v>985</v>
      </c>
      <c r="E975" t="s">
        <v>10</v>
      </c>
      <c r="F975">
        <v>49</v>
      </c>
      <c r="G975" t="str">
        <f>IF(Table14[[#This Row],[Age]]&lt;=25,"Young",IF(Table14[[#This Row],[Age]]&gt;55,"Old",IF(Table14[[#This Row],[Age]]&gt;25,"Middle","Na")))</f>
        <v>Middle</v>
      </c>
      <c r="H975" t="s">
        <v>11</v>
      </c>
      <c r="I975">
        <v>4</v>
      </c>
      <c r="J975">
        <v>25</v>
      </c>
      <c r="K975">
        <v>100</v>
      </c>
      <c r="N975" s="11" t="s">
        <v>58</v>
      </c>
      <c r="O975" s="11" t="s">
        <v>16</v>
      </c>
      <c r="P975" s="11">
        <f>K973/J973</f>
        <v>4</v>
      </c>
      <c r="Q975" s="11">
        <v>30</v>
      </c>
      <c r="R975" s="11">
        <v>30</v>
      </c>
    </row>
    <row r="976" spans="2:18" x14ac:dyDescent="0.35">
      <c r="B976">
        <v>973</v>
      </c>
      <c r="C976" s="1">
        <v>45007</v>
      </c>
      <c r="D976" t="s">
        <v>986</v>
      </c>
      <c r="E976" t="s">
        <v>10</v>
      </c>
      <c r="F976">
        <v>60</v>
      </c>
      <c r="G976" t="str">
        <f>IF(Table14[[#This Row],[Age]]&lt;=25,"Young",IF(Table14[[#This Row],[Age]]&gt;55,"Old",IF(Table14[[#This Row],[Age]]&gt;25,"Middle","Na")))</f>
        <v>Old</v>
      </c>
      <c r="H976" t="s">
        <v>14</v>
      </c>
      <c r="I976">
        <v>1</v>
      </c>
      <c r="J976">
        <v>50</v>
      </c>
      <c r="K976">
        <v>50</v>
      </c>
      <c r="N976" s="11" t="s">
        <v>79</v>
      </c>
      <c r="O976" s="11" t="s">
        <v>16</v>
      </c>
      <c r="P976" s="11">
        <f>K974/J974</f>
        <v>4</v>
      </c>
      <c r="Q976" s="11">
        <v>30</v>
      </c>
      <c r="R976" s="11">
        <v>30</v>
      </c>
    </row>
    <row r="977" spans="2:18" x14ac:dyDescent="0.35">
      <c r="B977">
        <v>974</v>
      </c>
      <c r="C977" s="1">
        <v>45049</v>
      </c>
      <c r="D977" t="s">
        <v>987</v>
      </c>
      <c r="E977" t="s">
        <v>10</v>
      </c>
      <c r="F977">
        <v>47</v>
      </c>
      <c r="G977" t="str">
        <f>IF(Table14[[#This Row],[Age]]&lt;=25,"Young",IF(Table14[[#This Row],[Age]]&gt;55,"Old",IF(Table14[[#This Row],[Age]]&gt;25,"Middle","Na")))</f>
        <v>Middle</v>
      </c>
      <c r="H977" t="s">
        <v>11</v>
      </c>
      <c r="I977">
        <v>1</v>
      </c>
      <c r="J977">
        <v>30</v>
      </c>
      <c r="K977">
        <v>30</v>
      </c>
      <c r="N977" s="11" t="s">
        <v>103</v>
      </c>
      <c r="O977" s="11" t="s">
        <v>16</v>
      </c>
      <c r="P977" s="11">
        <f>K975/J975</f>
        <v>4</v>
      </c>
      <c r="Q977" s="11">
        <v>30</v>
      </c>
      <c r="R977" s="11">
        <v>30</v>
      </c>
    </row>
    <row r="978" spans="2:18" x14ac:dyDescent="0.35">
      <c r="B978">
        <v>975</v>
      </c>
      <c r="C978" s="1">
        <v>45015</v>
      </c>
      <c r="D978" t="s">
        <v>988</v>
      </c>
      <c r="E978" t="s">
        <v>13</v>
      </c>
      <c r="F978">
        <v>56</v>
      </c>
      <c r="G978" t="str">
        <f>IF(Table14[[#This Row],[Age]]&lt;=25,"Young",IF(Table14[[#This Row],[Age]]&gt;55,"Old",IF(Table14[[#This Row],[Age]]&gt;25,"Middle","Na")))</f>
        <v>Old</v>
      </c>
      <c r="H978" t="s">
        <v>14</v>
      </c>
      <c r="I978">
        <v>4</v>
      </c>
      <c r="J978">
        <v>50</v>
      </c>
      <c r="K978">
        <v>200</v>
      </c>
      <c r="N978" s="11" t="s">
        <v>113</v>
      </c>
      <c r="O978" s="11" t="s">
        <v>16</v>
      </c>
      <c r="P978" s="11">
        <f>K976/J976</f>
        <v>1</v>
      </c>
      <c r="Q978" s="11">
        <v>30</v>
      </c>
      <c r="R978" s="11">
        <v>30</v>
      </c>
    </row>
    <row r="979" spans="2:18" x14ac:dyDescent="0.35">
      <c r="B979">
        <v>976</v>
      </c>
      <c r="C979" s="1">
        <v>45209</v>
      </c>
      <c r="D979" t="s">
        <v>989</v>
      </c>
      <c r="E979" t="s">
        <v>13</v>
      </c>
      <c r="F979">
        <v>48</v>
      </c>
      <c r="G979" t="str">
        <f>IF(Table14[[#This Row],[Age]]&lt;=25,"Young",IF(Table14[[#This Row],[Age]]&gt;55,"Old",IF(Table14[[#This Row],[Age]]&gt;25,"Middle","Na")))</f>
        <v>Middle</v>
      </c>
      <c r="H979" t="s">
        <v>11</v>
      </c>
      <c r="I979">
        <v>2</v>
      </c>
      <c r="J979">
        <v>300</v>
      </c>
      <c r="K979">
        <v>600</v>
      </c>
      <c r="N979" s="11" t="s">
        <v>129</v>
      </c>
      <c r="O979" s="11" t="s">
        <v>14</v>
      </c>
      <c r="P979" s="11">
        <f>K977/J977</f>
        <v>1</v>
      </c>
      <c r="Q979" s="11">
        <v>30</v>
      </c>
      <c r="R979" s="11">
        <v>30</v>
      </c>
    </row>
    <row r="980" spans="2:18" x14ac:dyDescent="0.35">
      <c r="B980">
        <v>977</v>
      </c>
      <c r="C980" s="1">
        <v>44965</v>
      </c>
      <c r="D980" t="s">
        <v>990</v>
      </c>
      <c r="E980" t="s">
        <v>13</v>
      </c>
      <c r="F980">
        <v>35</v>
      </c>
      <c r="G980" t="str">
        <f>IF(Table14[[#This Row],[Age]]&lt;=25,"Young",IF(Table14[[#This Row],[Age]]&gt;55,"Old",IF(Table14[[#This Row],[Age]]&gt;25,"Middle","Na")))</f>
        <v>Middle</v>
      </c>
      <c r="H980" t="s">
        <v>16</v>
      </c>
      <c r="I980">
        <v>3</v>
      </c>
      <c r="J980">
        <v>25</v>
      </c>
      <c r="K980">
        <v>75</v>
      </c>
      <c r="N980" s="11" t="s">
        <v>208</v>
      </c>
      <c r="O980" s="11" t="s">
        <v>14</v>
      </c>
      <c r="P980" s="11">
        <f>K978/J978</f>
        <v>4</v>
      </c>
      <c r="Q980" s="11">
        <v>30</v>
      </c>
      <c r="R980" s="11">
        <v>30</v>
      </c>
    </row>
    <row r="981" spans="2:18" x14ac:dyDescent="0.35">
      <c r="B981">
        <v>978</v>
      </c>
      <c r="C981" s="1">
        <v>45007</v>
      </c>
      <c r="D981" t="s">
        <v>991</v>
      </c>
      <c r="E981" t="s">
        <v>13</v>
      </c>
      <c r="F981">
        <v>53</v>
      </c>
      <c r="G981" t="str">
        <f>IF(Table14[[#This Row],[Age]]&lt;=25,"Young",IF(Table14[[#This Row],[Age]]&gt;55,"Old",IF(Table14[[#This Row],[Age]]&gt;25,"Middle","Na")))</f>
        <v>Middle</v>
      </c>
      <c r="H981" t="s">
        <v>14</v>
      </c>
      <c r="I981">
        <v>3</v>
      </c>
      <c r="J981">
        <v>50</v>
      </c>
      <c r="K981">
        <v>150</v>
      </c>
      <c r="N981" s="11" t="s">
        <v>358</v>
      </c>
      <c r="O981" s="11" t="s">
        <v>16</v>
      </c>
      <c r="P981" s="11">
        <f>K979/J979</f>
        <v>2</v>
      </c>
      <c r="Q981" s="11">
        <v>30</v>
      </c>
      <c r="R981" s="11">
        <v>30</v>
      </c>
    </row>
    <row r="982" spans="2:18" x14ac:dyDescent="0.35">
      <c r="B982">
        <v>979</v>
      </c>
      <c r="C982" s="1">
        <v>44928</v>
      </c>
      <c r="D982" t="s">
        <v>992</v>
      </c>
      <c r="E982" t="s">
        <v>13</v>
      </c>
      <c r="F982">
        <v>19</v>
      </c>
      <c r="G982" t="str">
        <f>IF(Table14[[#This Row],[Age]]&lt;=25,"Young",IF(Table14[[#This Row],[Age]]&gt;55,"Old",IF(Table14[[#This Row],[Age]]&gt;25,"Middle","Na")))</f>
        <v>Young</v>
      </c>
      <c r="H982" t="s">
        <v>11</v>
      </c>
      <c r="I982">
        <v>1</v>
      </c>
      <c r="J982">
        <v>25</v>
      </c>
      <c r="K982">
        <v>25</v>
      </c>
      <c r="N982" s="11" t="s">
        <v>400</v>
      </c>
      <c r="O982" s="11" t="s">
        <v>11</v>
      </c>
      <c r="P982" s="11">
        <f>K980/J980</f>
        <v>3</v>
      </c>
      <c r="Q982" s="11">
        <v>30</v>
      </c>
      <c r="R982" s="11">
        <v>30</v>
      </c>
    </row>
    <row r="983" spans="2:18" x14ac:dyDescent="0.35">
      <c r="B983">
        <v>980</v>
      </c>
      <c r="C983" s="1">
        <v>45136</v>
      </c>
      <c r="D983" t="s">
        <v>993</v>
      </c>
      <c r="E983" t="s">
        <v>13</v>
      </c>
      <c r="F983">
        <v>31</v>
      </c>
      <c r="G983" t="str">
        <f>IF(Table14[[#This Row],[Age]]&lt;=25,"Young",IF(Table14[[#This Row],[Age]]&gt;55,"Old",IF(Table14[[#This Row],[Age]]&gt;25,"Middle","Na")))</f>
        <v>Middle</v>
      </c>
      <c r="H983" t="s">
        <v>16</v>
      </c>
      <c r="I983">
        <v>3</v>
      </c>
      <c r="J983">
        <v>25</v>
      </c>
      <c r="K983">
        <v>75</v>
      </c>
      <c r="N983" s="11" t="s">
        <v>502</v>
      </c>
      <c r="O983" s="11" t="s">
        <v>16</v>
      </c>
      <c r="P983" s="11">
        <f>K981/J981</f>
        <v>3</v>
      </c>
      <c r="Q983" s="11">
        <v>30</v>
      </c>
      <c r="R983" s="11">
        <v>30</v>
      </c>
    </row>
    <row r="984" spans="2:18" x14ac:dyDescent="0.35">
      <c r="B984">
        <v>981</v>
      </c>
      <c r="C984" s="1">
        <v>45157</v>
      </c>
      <c r="D984" t="s">
        <v>994</v>
      </c>
      <c r="E984" t="s">
        <v>13</v>
      </c>
      <c r="F984">
        <v>30</v>
      </c>
      <c r="G984" t="str">
        <f>IF(Table14[[#This Row],[Age]]&lt;=25,"Young",IF(Table14[[#This Row],[Age]]&gt;55,"Old",IF(Table14[[#This Row],[Age]]&gt;25,"Middle","Na")))</f>
        <v>Middle</v>
      </c>
      <c r="H984" t="s">
        <v>16</v>
      </c>
      <c r="I984">
        <v>2</v>
      </c>
      <c r="J984">
        <v>30</v>
      </c>
      <c r="K984">
        <v>60</v>
      </c>
      <c r="N984" s="11" t="s">
        <v>592</v>
      </c>
      <c r="O984" s="11" t="s">
        <v>16</v>
      </c>
      <c r="P984" s="11">
        <f>K982/J982</f>
        <v>1</v>
      </c>
      <c r="Q984" s="11">
        <v>30</v>
      </c>
      <c r="R984" s="11">
        <v>30</v>
      </c>
    </row>
    <row r="985" spans="2:18" x14ac:dyDescent="0.35">
      <c r="B985">
        <v>982</v>
      </c>
      <c r="C985" s="1">
        <v>45279</v>
      </c>
      <c r="D985" t="s">
        <v>995</v>
      </c>
      <c r="E985" t="s">
        <v>13</v>
      </c>
      <c r="F985">
        <v>46</v>
      </c>
      <c r="G985" t="str">
        <f>IF(Table14[[#This Row],[Age]]&lt;=25,"Young",IF(Table14[[#This Row],[Age]]&gt;55,"Old",IF(Table14[[#This Row],[Age]]&gt;25,"Middle","Na")))</f>
        <v>Middle</v>
      </c>
      <c r="H985" t="s">
        <v>11</v>
      </c>
      <c r="I985">
        <v>3</v>
      </c>
      <c r="J985">
        <v>30</v>
      </c>
      <c r="K985">
        <v>90</v>
      </c>
      <c r="N985" s="11" t="s">
        <v>614</v>
      </c>
      <c r="O985" s="11" t="s">
        <v>14</v>
      </c>
      <c r="P985" s="11">
        <f>K983/J983</f>
        <v>3</v>
      </c>
      <c r="Q985" s="11">
        <v>30</v>
      </c>
      <c r="R985" s="11">
        <v>30</v>
      </c>
    </row>
    <row r="986" spans="2:18" x14ac:dyDescent="0.35">
      <c r="B986">
        <v>983</v>
      </c>
      <c r="C986" s="1">
        <v>45231</v>
      </c>
      <c r="D986" t="s">
        <v>996</v>
      </c>
      <c r="E986" t="s">
        <v>13</v>
      </c>
      <c r="F986">
        <v>29</v>
      </c>
      <c r="G986" t="str">
        <f>IF(Table14[[#This Row],[Age]]&lt;=25,"Young",IF(Table14[[#This Row],[Age]]&gt;55,"Old",IF(Table14[[#This Row],[Age]]&gt;25,"Middle","Na")))</f>
        <v>Middle</v>
      </c>
      <c r="H986" t="s">
        <v>14</v>
      </c>
      <c r="I986">
        <v>1</v>
      </c>
      <c r="J986">
        <v>300</v>
      </c>
      <c r="K986">
        <v>300</v>
      </c>
      <c r="N986" s="11" t="s">
        <v>760</v>
      </c>
      <c r="O986" s="11" t="s">
        <v>11</v>
      </c>
      <c r="P986" s="11">
        <f>K984/J984</f>
        <v>2</v>
      </c>
      <c r="Q986" s="11">
        <v>30</v>
      </c>
      <c r="R986" s="11">
        <v>30</v>
      </c>
    </row>
    <row r="987" spans="2:18" x14ac:dyDescent="0.35">
      <c r="B987">
        <v>984</v>
      </c>
      <c r="C987" s="1">
        <v>45167</v>
      </c>
      <c r="D987" t="s">
        <v>997</v>
      </c>
      <c r="E987" t="s">
        <v>10</v>
      </c>
      <c r="F987">
        <v>56</v>
      </c>
      <c r="G987" t="str">
        <f>IF(Table14[[#This Row],[Age]]&lt;=25,"Young",IF(Table14[[#This Row],[Age]]&gt;55,"Old",IF(Table14[[#This Row],[Age]]&gt;25,"Middle","Na")))</f>
        <v>Old</v>
      </c>
      <c r="H987" t="s">
        <v>14</v>
      </c>
      <c r="I987">
        <v>1</v>
      </c>
      <c r="J987">
        <v>500</v>
      </c>
      <c r="K987">
        <v>500</v>
      </c>
      <c r="N987" s="11" t="s">
        <v>762</v>
      </c>
      <c r="O987" s="11" t="s">
        <v>11</v>
      </c>
      <c r="P987" s="11">
        <f>K985/J985</f>
        <v>3</v>
      </c>
      <c r="Q987" s="11">
        <v>30</v>
      </c>
      <c r="R987" s="11">
        <v>30</v>
      </c>
    </row>
    <row r="988" spans="2:18" x14ac:dyDescent="0.35">
      <c r="B988">
        <v>985</v>
      </c>
      <c r="C988" s="1">
        <v>45076</v>
      </c>
      <c r="D988" t="s">
        <v>998</v>
      </c>
      <c r="E988" t="s">
        <v>13</v>
      </c>
      <c r="F988">
        <v>19</v>
      </c>
      <c r="G988" t="str">
        <f>IF(Table14[[#This Row],[Age]]&lt;=25,"Young",IF(Table14[[#This Row],[Age]]&gt;55,"Old",IF(Table14[[#This Row],[Age]]&gt;25,"Middle","Na")))</f>
        <v>Young</v>
      </c>
      <c r="H988" t="s">
        <v>16</v>
      </c>
      <c r="I988">
        <v>2</v>
      </c>
      <c r="J988">
        <v>25</v>
      </c>
      <c r="K988">
        <v>50</v>
      </c>
      <c r="N988" s="11" t="s">
        <v>766</v>
      </c>
      <c r="O988" s="11" t="s">
        <v>14</v>
      </c>
      <c r="P988" s="11">
        <f>K986/J986</f>
        <v>1</v>
      </c>
      <c r="Q988" s="11">
        <v>30</v>
      </c>
      <c r="R988" s="11">
        <v>30</v>
      </c>
    </row>
    <row r="989" spans="2:18" x14ac:dyDescent="0.35">
      <c r="B989">
        <v>986</v>
      </c>
      <c r="C989" s="1">
        <v>44943</v>
      </c>
      <c r="D989" t="s">
        <v>999</v>
      </c>
      <c r="E989" t="s">
        <v>13</v>
      </c>
      <c r="F989">
        <v>49</v>
      </c>
      <c r="G989" t="str">
        <f>IF(Table14[[#This Row],[Age]]&lt;=25,"Young",IF(Table14[[#This Row],[Age]]&gt;55,"Old",IF(Table14[[#This Row],[Age]]&gt;25,"Middle","Na")))</f>
        <v>Middle</v>
      </c>
      <c r="H989" t="s">
        <v>14</v>
      </c>
      <c r="I989">
        <v>2</v>
      </c>
      <c r="J989">
        <v>500</v>
      </c>
      <c r="K989">
        <v>1000</v>
      </c>
      <c r="N989" s="11" t="s">
        <v>806</v>
      </c>
      <c r="O989" s="11" t="s">
        <v>11</v>
      </c>
      <c r="P989" s="11">
        <f>K987/J987</f>
        <v>1</v>
      </c>
      <c r="Q989" s="11">
        <v>30</v>
      </c>
      <c r="R989" s="11">
        <v>30</v>
      </c>
    </row>
    <row r="990" spans="2:18" x14ac:dyDescent="0.35">
      <c r="B990">
        <v>987</v>
      </c>
      <c r="C990" s="1">
        <v>45045</v>
      </c>
      <c r="D990" t="s">
        <v>1000</v>
      </c>
      <c r="E990" t="s">
        <v>13</v>
      </c>
      <c r="F990">
        <v>30</v>
      </c>
      <c r="G990" t="str">
        <f>IF(Table14[[#This Row],[Age]]&lt;=25,"Young",IF(Table14[[#This Row],[Age]]&gt;55,"Old",IF(Table14[[#This Row],[Age]]&gt;25,"Middle","Na")))</f>
        <v>Middle</v>
      </c>
      <c r="H990" t="s">
        <v>14</v>
      </c>
      <c r="I990">
        <v>3</v>
      </c>
      <c r="J990">
        <v>300</v>
      </c>
      <c r="K990">
        <v>900</v>
      </c>
      <c r="N990" s="11" t="s">
        <v>817</v>
      </c>
      <c r="O990" s="11" t="s">
        <v>16</v>
      </c>
      <c r="P990" s="11">
        <f>K988/J988</f>
        <v>2</v>
      </c>
      <c r="Q990" s="11">
        <v>30</v>
      </c>
      <c r="R990" s="11">
        <v>30</v>
      </c>
    </row>
    <row r="991" spans="2:18" x14ac:dyDescent="0.35">
      <c r="B991">
        <v>988</v>
      </c>
      <c r="C991" s="1">
        <v>45074</v>
      </c>
      <c r="D991" t="s">
        <v>1001</v>
      </c>
      <c r="E991" t="s">
        <v>13</v>
      </c>
      <c r="F991">
        <v>63</v>
      </c>
      <c r="G991" t="str">
        <f>IF(Table14[[#This Row],[Age]]&lt;=25,"Young",IF(Table14[[#This Row],[Age]]&gt;55,"Old",IF(Table14[[#This Row],[Age]]&gt;25,"Middle","Na")))</f>
        <v>Old</v>
      </c>
      <c r="H991" t="s">
        <v>14</v>
      </c>
      <c r="I991">
        <v>3</v>
      </c>
      <c r="J991">
        <v>25</v>
      </c>
      <c r="K991">
        <v>75</v>
      </c>
      <c r="N991" s="11" t="s">
        <v>887</v>
      </c>
      <c r="O991" s="11" t="s">
        <v>11</v>
      </c>
      <c r="P991" s="11">
        <f>K989/J989</f>
        <v>2</v>
      </c>
      <c r="Q991" s="11">
        <v>30</v>
      </c>
      <c r="R991" s="11">
        <v>30</v>
      </c>
    </row>
    <row r="992" spans="2:18" x14ac:dyDescent="0.35">
      <c r="B992">
        <v>989</v>
      </c>
      <c r="C992" s="1">
        <v>45288</v>
      </c>
      <c r="D992" t="s">
        <v>1002</v>
      </c>
      <c r="E992" t="s">
        <v>13</v>
      </c>
      <c r="F992">
        <v>44</v>
      </c>
      <c r="G992" t="str">
        <f>IF(Table14[[#This Row],[Age]]&lt;=25,"Young",IF(Table14[[#This Row],[Age]]&gt;55,"Old",IF(Table14[[#This Row],[Age]]&gt;25,"Middle","Na")))</f>
        <v>Middle</v>
      </c>
      <c r="H992" t="s">
        <v>16</v>
      </c>
      <c r="I992">
        <v>1</v>
      </c>
      <c r="J992">
        <v>25</v>
      </c>
      <c r="K992">
        <v>25</v>
      </c>
      <c r="N992" s="11" t="s">
        <v>939</v>
      </c>
      <c r="O992" s="11" t="s">
        <v>16</v>
      </c>
      <c r="P992" s="11">
        <f>K990/J990</f>
        <v>3</v>
      </c>
      <c r="Q992" s="11">
        <v>30</v>
      </c>
      <c r="R992" s="11">
        <v>30</v>
      </c>
    </row>
    <row r="993" spans="2:18" x14ac:dyDescent="0.35">
      <c r="B993">
        <v>990</v>
      </c>
      <c r="C993" s="1">
        <v>45071</v>
      </c>
      <c r="D993" t="s">
        <v>1003</v>
      </c>
      <c r="E993" t="s">
        <v>13</v>
      </c>
      <c r="F993">
        <v>58</v>
      </c>
      <c r="G993" t="str">
        <f>IF(Table14[[#This Row],[Age]]&lt;=25,"Young",IF(Table14[[#This Row],[Age]]&gt;55,"Old",IF(Table14[[#This Row],[Age]]&gt;25,"Middle","Na")))</f>
        <v>Old</v>
      </c>
      <c r="H993" t="s">
        <v>11</v>
      </c>
      <c r="I993">
        <v>2</v>
      </c>
      <c r="J993">
        <v>500</v>
      </c>
      <c r="K993">
        <v>1000</v>
      </c>
      <c r="N993" s="11" t="s">
        <v>953</v>
      </c>
      <c r="O993" s="11" t="s">
        <v>16</v>
      </c>
      <c r="P993" s="11">
        <f>K991/J991</f>
        <v>3</v>
      </c>
      <c r="Q993" s="11">
        <v>30</v>
      </c>
      <c r="R993" s="11">
        <v>30</v>
      </c>
    </row>
    <row r="994" spans="2:18" x14ac:dyDescent="0.35">
      <c r="B994">
        <v>991</v>
      </c>
      <c r="C994" s="1">
        <v>45286</v>
      </c>
      <c r="D994" t="s">
        <v>1004</v>
      </c>
      <c r="E994" t="s">
        <v>13</v>
      </c>
      <c r="F994">
        <v>34</v>
      </c>
      <c r="G994" t="str">
        <f>IF(Table14[[#This Row],[Age]]&lt;=25,"Young",IF(Table14[[#This Row],[Age]]&gt;55,"Old",IF(Table14[[#This Row],[Age]]&gt;25,"Middle","Na")))</f>
        <v>Middle</v>
      </c>
      <c r="H994" t="s">
        <v>14</v>
      </c>
      <c r="I994">
        <v>2</v>
      </c>
      <c r="J994">
        <v>50</v>
      </c>
      <c r="K994">
        <v>100</v>
      </c>
      <c r="N994" s="11" t="s">
        <v>198</v>
      </c>
      <c r="O994" s="11" t="s">
        <v>14</v>
      </c>
      <c r="P994" s="11">
        <f>K992/J992</f>
        <v>1</v>
      </c>
      <c r="Q994" s="11">
        <v>25</v>
      </c>
      <c r="R994" s="11">
        <v>25</v>
      </c>
    </row>
    <row r="995" spans="2:18" x14ac:dyDescent="0.35">
      <c r="B995">
        <v>992</v>
      </c>
      <c r="C995" s="1">
        <v>45159</v>
      </c>
      <c r="D995" t="s">
        <v>1005</v>
      </c>
      <c r="E995" t="s">
        <v>13</v>
      </c>
      <c r="F995">
        <v>57</v>
      </c>
      <c r="G995" t="str">
        <f>IF(Table14[[#This Row],[Age]]&lt;=25,"Young",IF(Table14[[#This Row],[Age]]&gt;55,"Old",IF(Table14[[#This Row],[Age]]&gt;25,"Middle","Na")))</f>
        <v>Old</v>
      </c>
      <c r="H995" t="s">
        <v>16</v>
      </c>
      <c r="I995">
        <v>2</v>
      </c>
      <c r="J995">
        <v>30</v>
      </c>
      <c r="K995">
        <v>60</v>
      </c>
      <c r="N995" s="11" t="s">
        <v>217</v>
      </c>
      <c r="O995" s="11" t="s">
        <v>11</v>
      </c>
      <c r="P995" s="11">
        <f>K993/J993</f>
        <v>2</v>
      </c>
      <c r="Q995" s="11">
        <v>25</v>
      </c>
      <c r="R995" s="11">
        <v>25</v>
      </c>
    </row>
    <row r="996" spans="2:18" x14ac:dyDescent="0.35">
      <c r="B996">
        <v>993</v>
      </c>
      <c r="C996" s="1">
        <v>44963</v>
      </c>
      <c r="D996" t="s">
        <v>1006</v>
      </c>
      <c r="E996" t="s">
        <v>13</v>
      </c>
      <c r="F996">
        <v>48</v>
      </c>
      <c r="G996" t="str">
        <f>IF(Table14[[#This Row],[Age]]&lt;=25,"Young",IF(Table14[[#This Row],[Age]]&gt;55,"Old",IF(Table14[[#This Row],[Age]]&gt;25,"Middle","Na")))</f>
        <v>Middle</v>
      </c>
      <c r="H996" t="s">
        <v>16</v>
      </c>
      <c r="I996">
        <v>3</v>
      </c>
      <c r="J996">
        <v>50</v>
      </c>
      <c r="K996">
        <v>150</v>
      </c>
      <c r="N996" s="11" t="s">
        <v>298</v>
      </c>
      <c r="O996" s="11" t="s">
        <v>16</v>
      </c>
      <c r="P996" s="11">
        <f>K994/J994</f>
        <v>2</v>
      </c>
      <c r="Q996" s="11">
        <v>25</v>
      </c>
      <c r="R996" s="11">
        <v>25</v>
      </c>
    </row>
    <row r="997" spans="2:18" x14ac:dyDescent="0.35">
      <c r="B997">
        <v>994</v>
      </c>
      <c r="C997" s="1">
        <v>45278</v>
      </c>
      <c r="D997" t="s">
        <v>1007</v>
      </c>
      <c r="E997" t="s">
        <v>13</v>
      </c>
      <c r="F997">
        <v>51</v>
      </c>
      <c r="G997" t="str">
        <f>IF(Table14[[#This Row],[Age]]&lt;=25,"Young",IF(Table14[[#This Row],[Age]]&gt;55,"Old",IF(Table14[[#This Row],[Age]]&gt;25,"Middle","Na")))</f>
        <v>Middle</v>
      </c>
      <c r="H997" t="s">
        <v>11</v>
      </c>
      <c r="I997">
        <v>2</v>
      </c>
      <c r="J997">
        <v>500</v>
      </c>
      <c r="K997">
        <v>1000</v>
      </c>
      <c r="N997" s="11" t="s">
        <v>360</v>
      </c>
      <c r="O997" s="11" t="s">
        <v>16</v>
      </c>
      <c r="P997" s="11">
        <f>K995/J995</f>
        <v>2</v>
      </c>
      <c r="Q997" s="11">
        <v>25</v>
      </c>
      <c r="R997" s="11">
        <v>25</v>
      </c>
    </row>
    <row r="998" spans="2:18" x14ac:dyDescent="0.35">
      <c r="B998">
        <v>995</v>
      </c>
      <c r="C998" s="1">
        <v>45046</v>
      </c>
      <c r="D998" t="s">
        <v>1008</v>
      </c>
      <c r="E998" t="s">
        <v>13</v>
      </c>
      <c r="F998">
        <v>41</v>
      </c>
      <c r="G998" t="str">
        <f>IF(Table14[[#This Row],[Age]]&lt;=25,"Young",IF(Table14[[#This Row],[Age]]&gt;55,"Old",IF(Table14[[#This Row],[Age]]&gt;25,"Middle","Na")))</f>
        <v>Middle</v>
      </c>
      <c r="H998" t="s">
        <v>14</v>
      </c>
      <c r="I998">
        <v>1</v>
      </c>
      <c r="J998">
        <v>30</v>
      </c>
      <c r="K998">
        <v>30</v>
      </c>
      <c r="N998" s="11" t="s">
        <v>410</v>
      </c>
      <c r="O998" s="11" t="s">
        <v>11</v>
      </c>
      <c r="P998" s="11">
        <f>K996/J996</f>
        <v>3</v>
      </c>
      <c r="Q998" s="11">
        <v>25</v>
      </c>
      <c r="R998" s="11">
        <v>25</v>
      </c>
    </row>
    <row r="999" spans="2:18" x14ac:dyDescent="0.35">
      <c r="B999">
        <v>996</v>
      </c>
      <c r="C999" s="1">
        <v>45062</v>
      </c>
      <c r="D999" t="s">
        <v>1009</v>
      </c>
      <c r="E999" t="s">
        <v>10</v>
      </c>
      <c r="F999">
        <v>62</v>
      </c>
      <c r="G999" t="str">
        <f>IF(Table14[[#This Row],[Age]]&lt;=25,"Young",IF(Table14[[#This Row],[Age]]&gt;55,"Old",IF(Table14[[#This Row],[Age]]&gt;25,"Middle","Na")))</f>
        <v>Old</v>
      </c>
      <c r="H999" t="s">
        <v>14</v>
      </c>
      <c r="I999">
        <v>1</v>
      </c>
      <c r="J999">
        <v>50</v>
      </c>
      <c r="K999">
        <v>50</v>
      </c>
      <c r="N999" s="11" t="s">
        <v>436</v>
      </c>
      <c r="O999" s="11" t="s">
        <v>14</v>
      </c>
      <c r="P999" s="11">
        <f>K997/J997</f>
        <v>2</v>
      </c>
      <c r="Q999" s="11">
        <v>25</v>
      </c>
      <c r="R999" s="11">
        <v>25</v>
      </c>
    </row>
    <row r="1000" spans="2:18" x14ac:dyDescent="0.35">
      <c r="B1000">
        <v>997</v>
      </c>
      <c r="C1000" s="1">
        <v>45247</v>
      </c>
      <c r="D1000" t="s">
        <v>1010</v>
      </c>
      <c r="E1000" t="s">
        <v>10</v>
      </c>
      <c r="F1000">
        <v>52</v>
      </c>
      <c r="G1000" t="str">
        <f>IF(Table14[[#This Row],[Age]]&lt;=25,"Young",IF(Table14[[#This Row],[Age]]&gt;55,"Old",IF(Table14[[#This Row],[Age]]&gt;25,"Middle","Na")))</f>
        <v>Middle</v>
      </c>
      <c r="H1000" t="s">
        <v>11</v>
      </c>
      <c r="I1000">
        <v>3</v>
      </c>
      <c r="J1000">
        <v>30</v>
      </c>
      <c r="K1000">
        <v>90</v>
      </c>
      <c r="N1000" s="11" t="s">
        <v>525</v>
      </c>
      <c r="O1000" s="11" t="s">
        <v>11</v>
      </c>
      <c r="P1000" s="11">
        <f>K998/J998</f>
        <v>1</v>
      </c>
      <c r="Q1000" s="11">
        <v>25</v>
      </c>
      <c r="R1000" s="11">
        <v>25</v>
      </c>
    </row>
    <row r="1001" spans="2:18" x14ac:dyDescent="0.35">
      <c r="B1001">
        <v>998</v>
      </c>
      <c r="C1001" s="1">
        <v>45228</v>
      </c>
      <c r="D1001" t="s">
        <v>1011</v>
      </c>
      <c r="E1001" t="s">
        <v>13</v>
      </c>
      <c r="F1001">
        <v>23</v>
      </c>
      <c r="G1001" t="str">
        <f>IF(Table14[[#This Row],[Age]]&lt;=25,"Young",IF(Table14[[#This Row],[Age]]&gt;55,"Old",IF(Table14[[#This Row],[Age]]&gt;25,"Middle","Na")))</f>
        <v>Young</v>
      </c>
      <c r="H1001" t="s">
        <v>11</v>
      </c>
      <c r="I1001">
        <v>4</v>
      </c>
      <c r="J1001">
        <v>25</v>
      </c>
      <c r="K1001">
        <v>100</v>
      </c>
      <c r="N1001" s="11" t="s">
        <v>670</v>
      </c>
      <c r="O1001" s="11" t="s">
        <v>14</v>
      </c>
      <c r="P1001" s="11">
        <f>K999/J999</f>
        <v>1</v>
      </c>
      <c r="Q1001" s="11">
        <v>25</v>
      </c>
      <c r="R1001" s="11">
        <v>25</v>
      </c>
    </row>
    <row r="1002" spans="2:18" x14ac:dyDescent="0.35">
      <c r="B1002">
        <v>999</v>
      </c>
      <c r="C1002" s="1">
        <v>45265</v>
      </c>
      <c r="D1002" t="s">
        <v>1012</v>
      </c>
      <c r="E1002" t="s">
        <v>13</v>
      </c>
      <c r="F1002">
        <v>36</v>
      </c>
      <c r="G1002" t="str">
        <f>IF(Table14[[#This Row],[Age]]&lt;=25,"Young",IF(Table14[[#This Row],[Age]]&gt;55,"Old",IF(Table14[[#This Row],[Age]]&gt;25,"Middle","Na")))</f>
        <v>Middle</v>
      </c>
      <c r="H1002" t="s">
        <v>16</v>
      </c>
      <c r="I1002">
        <v>3</v>
      </c>
      <c r="J1002">
        <v>50</v>
      </c>
      <c r="K1002">
        <v>150</v>
      </c>
      <c r="N1002" s="11" t="s">
        <v>671</v>
      </c>
      <c r="O1002" s="11" t="s">
        <v>14</v>
      </c>
      <c r="P1002" s="11">
        <f>K1000/J1000</f>
        <v>3</v>
      </c>
      <c r="Q1002" s="11">
        <v>25</v>
      </c>
      <c r="R1002" s="11">
        <v>25</v>
      </c>
    </row>
    <row r="1003" spans="2:18" x14ac:dyDescent="0.35">
      <c r="B1003">
        <v>1000</v>
      </c>
      <c r="C1003" s="1">
        <v>45028</v>
      </c>
      <c r="D1003" t="s">
        <v>1013</v>
      </c>
      <c r="E1003" t="s">
        <v>10</v>
      </c>
      <c r="F1003">
        <v>47</v>
      </c>
      <c r="G1003" t="str">
        <f>IF(Table14[[#This Row],[Age]]&lt;=25,"Young",IF(Table14[[#This Row],[Age]]&gt;55,"Old",IF(Table14[[#This Row],[Age]]&gt;25,"Middle","Na")))</f>
        <v>Middle</v>
      </c>
      <c r="H1003" t="s">
        <v>16</v>
      </c>
      <c r="I1003">
        <v>4</v>
      </c>
      <c r="J1003">
        <v>30</v>
      </c>
      <c r="K1003">
        <v>120</v>
      </c>
      <c r="N1003" s="11" t="s">
        <v>803</v>
      </c>
      <c r="O1003" s="11" t="s">
        <v>14</v>
      </c>
      <c r="P1003" s="11">
        <f>K1001/J1001</f>
        <v>4</v>
      </c>
      <c r="Q1003" s="11">
        <v>25</v>
      </c>
      <c r="R1003" s="11">
        <v>25</v>
      </c>
    </row>
    <row r="1004" spans="2:18" x14ac:dyDescent="0.35">
      <c r="N1004" s="11" t="s">
        <v>958</v>
      </c>
      <c r="O1004" s="11" t="s">
        <v>11</v>
      </c>
      <c r="P1004" s="11">
        <f>K1002/J1002</f>
        <v>3</v>
      </c>
      <c r="Q1004" s="11">
        <v>25</v>
      </c>
      <c r="R1004" s="11">
        <v>25</v>
      </c>
    </row>
    <row r="1005" spans="2:18" x14ac:dyDescent="0.35">
      <c r="N1005" s="11" t="s">
        <v>965</v>
      </c>
      <c r="O1005" s="11" t="s">
        <v>14</v>
      </c>
      <c r="P1005" s="11">
        <f>K1003/J1003</f>
        <v>4</v>
      </c>
      <c r="Q1005" s="11">
        <v>25</v>
      </c>
      <c r="R1005" s="11">
        <v>25</v>
      </c>
    </row>
  </sheetData>
  <conditionalFormatting sqref="R6:R1005">
    <cfRule type="dataBar" priority="2">
      <dataBar showValue="0">
        <cfvo type="min"/>
        <cfvo type="max"/>
        <color rgb="FF638EC6"/>
      </dataBar>
      <extLst>
        <ext xmlns:x14="http://schemas.microsoft.com/office/spreadsheetml/2009/9/main" uri="{B025F937-C7B1-47D3-B67F-A62EFF666E3E}">
          <x14:id>{26B8DA5B-6AAE-42B6-B1C7-EC5332A44A73}</x14:id>
        </ext>
      </extLst>
    </cfRule>
  </conditionalFormatting>
  <conditionalFormatting sqref="Q6:Q1005">
    <cfRule type="colorScale" priority="1">
      <colorScale>
        <cfvo type="min"/>
        <cfvo type="percentile" val="50"/>
        <cfvo type="max"/>
        <color rgb="FFF8696B"/>
        <color rgb="FFFFEB84"/>
        <color rgb="FF63BE7B"/>
      </colorScale>
    </cfRule>
  </conditionalFormatting>
  <pageMargins left="0.7" right="0.7" top="0.75" bottom="0.75" header="0.3" footer="0.3"/>
  <pageSetup orientation="portrait" r:id="rId1"/>
  <tableParts count="2">
    <tablePart r:id="rId2"/>
    <tablePart r:id="rId3"/>
  </tableParts>
  <extLst>
    <ext xmlns:x14="http://schemas.microsoft.com/office/spreadsheetml/2009/9/main" uri="{78C0D931-6437-407d-A8EE-F0AAD7539E65}">
      <x14:conditionalFormattings>
        <x14:conditionalFormatting xmlns:xm="http://schemas.microsoft.com/office/excel/2006/main">
          <x14:cfRule type="dataBar" id="{26B8DA5B-6AAE-42B6-B1C7-EC5332A44A73}">
            <x14:dataBar minLength="0" maxLength="100" gradient="0">
              <x14:cfvo type="autoMin"/>
              <x14:cfvo type="autoMax"/>
              <x14:negativeFillColor rgb="FFFF0000"/>
              <x14:axisColor rgb="FF000000"/>
            </x14:dataBar>
          </x14:cfRule>
          <xm:sqref>R6:R1005</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B5C680-0962-4105-B286-CD7F7A081D49}">
  <dimension ref="B3:R107"/>
  <sheetViews>
    <sheetView zoomScale="13" zoomScaleNormal="28" workbookViewId="0">
      <selection activeCell="Q25" sqref="Q25"/>
    </sheetView>
  </sheetViews>
  <sheetFormatPr defaultRowHeight="14.5" x14ac:dyDescent="0.35"/>
  <cols>
    <col min="2" max="2" width="39.26953125" bestFit="1" customWidth="1"/>
    <col min="3" max="3" width="35.08984375" bestFit="1" customWidth="1"/>
    <col min="4" max="5" width="14.81640625" bestFit="1" customWidth="1"/>
    <col min="6" max="6" width="22.453125" bestFit="1" customWidth="1"/>
    <col min="7" max="10" width="16.7265625" bestFit="1" customWidth="1"/>
    <col min="11" max="11" width="14.26953125" bestFit="1" customWidth="1"/>
    <col min="12" max="12" width="19.7265625" bestFit="1" customWidth="1"/>
    <col min="13" max="16" width="16.7265625" bestFit="1" customWidth="1"/>
    <col min="17" max="17" width="13.26953125" bestFit="1" customWidth="1"/>
    <col min="18" max="18" width="18.81640625" bestFit="1" customWidth="1"/>
    <col min="19" max="48" width="16.7265625" bestFit="1" customWidth="1"/>
    <col min="49" max="49" width="10.90625" bestFit="1" customWidth="1"/>
  </cols>
  <sheetData>
    <row r="3" spans="2:6" x14ac:dyDescent="0.35">
      <c r="B3" s="2" t="s">
        <v>1017</v>
      </c>
      <c r="C3" s="2" t="s">
        <v>1018</v>
      </c>
    </row>
    <row r="4" spans="2:6" x14ac:dyDescent="0.35">
      <c r="B4" s="2" t="s">
        <v>1015</v>
      </c>
      <c r="C4" t="s">
        <v>11</v>
      </c>
      <c r="D4" t="s">
        <v>14</v>
      </c>
      <c r="E4" t="s">
        <v>16</v>
      </c>
      <c r="F4" t="s">
        <v>1016</v>
      </c>
    </row>
    <row r="5" spans="2:6" x14ac:dyDescent="0.35">
      <c r="B5" s="3" t="s">
        <v>1020</v>
      </c>
      <c r="C5" s="13">
        <v>62</v>
      </c>
      <c r="D5" s="13">
        <v>72</v>
      </c>
      <c r="E5" s="13">
        <v>65</v>
      </c>
      <c r="F5" s="13">
        <v>199</v>
      </c>
    </row>
    <row r="6" spans="2:6" x14ac:dyDescent="0.35">
      <c r="B6" s="3" t="s">
        <v>1021</v>
      </c>
      <c r="C6" s="13">
        <v>68</v>
      </c>
      <c r="D6" s="13">
        <v>75</v>
      </c>
      <c r="E6" s="13">
        <v>71</v>
      </c>
      <c r="F6" s="13">
        <v>214</v>
      </c>
    </row>
    <row r="7" spans="2:6" x14ac:dyDescent="0.35">
      <c r="B7" s="3" t="s">
        <v>1022</v>
      </c>
      <c r="C7" s="13">
        <v>51</v>
      </c>
      <c r="D7" s="13">
        <v>111</v>
      </c>
      <c r="E7" s="13">
        <v>32</v>
      </c>
      <c r="F7" s="13">
        <v>194</v>
      </c>
    </row>
    <row r="8" spans="2:6" x14ac:dyDescent="0.35">
      <c r="B8" s="3" t="s">
        <v>1023</v>
      </c>
      <c r="C8" s="13">
        <v>69</v>
      </c>
      <c r="D8" s="13">
        <v>93</v>
      </c>
      <c r="E8" s="13">
        <v>52</v>
      </c>
      <c r="F8" s="13">
        <v>214</v>
      </c>
    </row>
    <row r="9" spans="2:6" x14ac:dyDescent="0.35">
      <c r="B9" s="3" t="s">
        <v>1024</v>
      </c>
      <c r="C9" s="13">
        <v>65</v>
      </c>
      <c r="D9" s="13">
        <v>97</v>
      </c>
      <c r="E9" s="13">
        <v>97</v>
      </c>
      <c r="F9" s="13">
        <v>259</v>
      </c>
    </row>
    <row r="10" spans="2:6" x14ac:dyDescent="0.35">
      <c r="B10" s="3" t="s">
        <v>1025</v>
      </c>
      <c r="C10" s="13">
        <v>66</v>
      </c>
      <c r="D10" s="13">
        <v>67</v>
      </c>
      <c r="E10" s="13">
        <v>64</v>
      </c>
      <c r="F10" s="13">
        <v>197</v>
      </c>
    </row>
    <row r="11" spans="2:6" x14ac:dyDescent="0.35">
      <c r="B11" s="3" t="s">
        <v>1026</v>
      </c>
      <c r="C11" s="13">
        <v>70</v>
      </c>
      <c r="D11" s="13">
        <v>45</v>
      </c>
      <c r="E11" s="13">
        <v>61</v>
      </c>
      <c r="F11" s="13">
        <v>176</v>
      </c>
    </row>
    <row r="12" spans="2:6" x14ac:dyDescent="0.35">
      <c r="B12" s="3" t="s">
        <v>1027</v>
      </c>
      <c r="C12" s="13">
        <v>62</v>
      </c>
      <c r="D12" s="13">
        <v>78</v>
      </c>
      <c r="E12" s="13">
        <v>87</v>
      </c>
      <c r="F12" s="13">
        <v>227</v>
      </c>
    </row>
    <row r="13" spans="2:6" x14ac:dyDescent="0.35">
      <c r="B13" s="3" t="s">
        <v>1028</v>
      </c>
      <c r="C13" s="13">
        <v>50</v>
      </c>
      <c r="D13" s="13">
        <v>60</v>
      </c>
      <c r="E13" s="13">
        <v>60</v>
      </c>
      <c r="F13" s="13">
        <v>170</v>
      </c>
    </row>
    <row r="14" spans="2:6" x14ac:dyDescent="0.35">
      <c r="B14" s="3" t="s">
        <v>1029</v>
      </c>
      <c r="C14" s="13">
        <v>83</v>
      </c>
      <c r="D14" s="13">
        <v>74</v>
      </c>
      <c r="E14" s="13">
        <v>95</v>
      </c>
      <c r="F14" s="13">
        <v>252</v>
      </c>
    </row>
    <row r="15" spans="2:6" x14ac:dyDescent="0.35">
      <c r="B15" s="3" t="s">
        <v>1030</v>
      </c>
      <c r="C15" s="13">
        <v>63</v>
      </c>
      <c r="D15" s="13">
        <v>69</v>
      </c>
      <c r="E15" s="13">
        <v>73</v>
      </c>
      <c r="F15" s="13">
        <v>205</v>
      </c>
    </row>
    <row r="16" spans="2:6" x14ac:dyDescent="0.35">
      <c r="B16" s="3" t="s">
        <v>1031</v>
      </c>
      <c r="C16" s="13">
        <v>62</v>
      </c>
      <c r="D16" s="13">
        <v>53</v>
      </c>
      <c r="E16" s="13">
        <v>92</v>
      </c>
      <c r="F16" s="13">
        <v>207</v>
      </c>
    </row>
    <row r="17" spans="2:18" x14ac:dyDescent="0.35">
      <c r="B17" s="3" t="s">
        <v>1016</v>
      </c>
      <c r="C17" s="13">
        <v>771</v>
      </c>
      <c r="D17" s="13">
        <v>894</v>
      </c>
      <c r="E17" s="13">
        <v>849</v>
      </c>
      <c r="F17" s="13">
        <v>2514</v>
      </c>
    </row>
    <row r="21" spans="2:18" x14ac:dyDescent="0.35">
      <c r="Q21" s="2" t="s">
        <v>1038</v>
      </c>
      <c r="R21" t="s">
        <v>1039</v>
      </c>
    </row>
    <row r="23" spans="2:18" x14ac:dyDescent="0.35">
      <c r="B23" s="2" t="s">
        <v>1019</v>
      </c>
      <c r="C23" s="2" t="s">
        <v>1018</v>
      </c>
      <c r="Q23" s="2" t="s">
        <v>1015</v>
      </c>
      <c r="R23" t="s">
        <v>1019</v>
      </c>
    </row>
    <row r="24" spans="2:18" x14ac:dyDescent="0.35">
      <c r="B24" s="2" t="s">
        <v>1015</v>
      </c>
      <c r="C24" t="s">
        <v>13</v>
      </c>
      <c r="D24" t="s">
        <v>10</v>
      </c>
      <c r="E24" t="s">
        <v>1016</v>
      </c>
      <c r="Q24" s="3" t="s">
        <v>11</v>
      </c>
      <c r="R24" s="13">
        <v>143515</v>
      </c>
    </row>
    <row r="25" spans="2:18" x14ac:dyDescent="0.35">
      <c r="B25" s="3" t="s">
        <v>11</v>
      </c>
      <c r="C25" s="13">
        <v>74830</v>
      </c>
      <c r="D25" s="13">
        <v>68685</v>
      </c>
      <c r="E25" s="13">
        <v>143515</v>
      </c>
      <c r="Q25" s="3" t="s">
        <v>14</v>
      </c>
      <c r="R25" s="13">
        <v>155580</v>
      </c>
    </row>
    <row r="26" spans="2:18" x14ac:dyDescent="0.35">
      <c r="B26" s="3" t="s">
        <v>14</v>
      </c>
      <c r="C26" s="13">
        <v>81275</v>
      </c>
      <c r="D26" s="13">
        <v>74305</v>
      </c>
      <c r="E26" s="13">
        <v>155580</v>
      </c>
      <c r="Q26" s="3" t="s">
        <v>16</v>
      </c>
      <c r="R26" s="13">
        <v>156905</v>
      </c>
    </row>
    <row r="27" spans="2:18" x14ac:dyDescent="0.35">
      <c r="B27" s="3" t="s">
        <v>16</v>
      </c>
      <c r="C27" s="13">
        <v>76735</v>
      </c>
      <c r="D27" s="13">
        <v>80170</v>
      </c>
      <c r="E27" s="13">
        <v>156905</v>
      </c>
      <c r="Q27" s="3" t="s">
        <v>1016</v>
      </c>
      <c r="R27" s="13">
        <v>456000</v>
      </c>
    </row>
    <row r="28" spans="2:18" x14ac:dyDescent="0.35">
      <c r="B28" s="3" t="s">
        <v>1016</v>
      </c>
      <c r="C28" s="13">
        <v>232840</v>
      </c>
      <c r="D28" s="13">
        <v>223160</v>
      </c>
      <c r="E28" s="13">
        <v>456000</v>
      </c>
    </row>
    <row r="39" spans="2:6" x14ac:dyDescent="0.35">
      <c r="B39" s="2" t="s">
        <v>1017</v>
      </c>
      <c r="C39" s="2" t="s">
        <v>1018</v>
      </c>
    </row>
    <row r="40" spans="2:6" x14ac:dyDescent="0.35">
      <c r="B40" s="2" t="s">
        <v>1015</v>
      </c>
      <c r="C40" t="s">
        <v>1033</v>
      </c>
      <c r="D40" t="s">
        <v>1034</v>
      </c>
      <c r="E40" t="s">
        <v>1032</v>
      </c>
      <c r="F40" t="s">
        <v>1016</v>
      </c>
    </row>
    <row r="41" spans="2:6" x14ac:dyDescent="0.35">
      <c r="B41" s="3" t="s">
        <v>11</v>
      </c>
      <c r="C41" s="13">
        <v>492</v>
      </c>
      <c r="D41" s="13">
        <v>127</v>
      </c>
      <c r="E41" s="13">
        <v>152</v>
      </c>
      <c r="F41" s="13">
        <v>771</v>
      </c>
    </row>
    <row r="42" spans="2:6" x14ac:dyDescent="0.35">
      <c r="B42" s="3" t="s">
        <v>14</v>
      </c>
      <c r="C42" s="13">
        <v>590</v>
      </c>
      <c r="D42" s="13">
        <v>175</v>
      </c>
      <c r="E42" s="13">
        <v>129</v>
      </c>
      <c r="F42" s="13">
        <v>894</v>
      </c>
    </row>
    <row r="43" spans="2:6" x14ac:dyDescent="0.35">
      <c r="B43" s="3" t="s">
        <v>16</v>
      </c>
      <c r="C43" s="13">
        <v>552</v>
      </c>
      <c r="D43" s="13">
        <v>166</v>
      </c>
      <c r="E43" s="13">
        <v>131</v>
      </c>
      <c r="F43" s="13">
        <v>849</v>
      </c>
    </row>
    <row r="44" spans="2:6" x14ac:dyDescent="0.35">
      <c r="B44" s="3" t="s">
        <v>1016</v>
      </c>
      <c r="C44" s="13">
        <v>1634</v>
      </c>
      <c r="D44" s="13">
        <v>468</v>
      </c>
      <c r="E44" s="13">
        <v>412</v>
      </c>
      <c r="F44" s="13">
        <v>2514</v>
      </c>
    </row>
    <row r="56" spans="2:6" x14ac:dyDescent="0.35">
      <c r="B56" s="2" t="s">
        <v>1019</v>
      </c>
      <c r="C56" s="2" t="s">
        <v>1018</v>
      </c>
    </row>
    <row r="57" spans="2:6" x14ac:dyDescent="0.35">
      <c r="B57" s="2" t="s">
        <v>1015</v>
      </c>
      <c r="C57" t="s">
        <v>1033</v>
      </c>
      <c r="D57" t="s">
        <v>1034</v>
      </c>
      <c r="E57" t="s">
        <v>1032</v>
      </c>
      <c r="F57" t="s">
        <v>1016</v>
      </c>
    </row>
    <row r="58" spans="2:6" x14ac:dyDescent="0.35">
      <c r="B58" s="3" t="s">
        <v>13</v>
      </c>
      <c r="C58" s="13">
        <v>155160</v>
      </c>
      <c r="D58" s="13">
        <v>38210</v>
      </c>
      <c r="E58" s="13">
        <v>39470</v>
      </c>
      <c r="F58" s="13">
        <v>232840</v>
      </c>
    </row>
    <row r="59" spans="2:6" x14ac:dyDescent="0.35">
      <c r="B59" s="3" t="s">
        <v>10</v>
      </c>
      <c r="C59" s="13">
        <v>135880</v>
      </c>
      <c r="D59" s="13">
        <v>42200</v>
      </c>
      <c r="E59" s="13">
        <v>45080</v>
      </c>
      <c r="F59" s="13">
        <v>223160</v>
      </c>
    </row>
    <row r="60" spans="2:6" x14ac:dyDescent="0.35">
      <c r="B60" s="3" t="s">
        <v>1016</v>
      </c>
      <c r="C60" s="13">
        <v>291040</v>
      </c>
      <c r="D60" s="13">
        <v>80410</v>
      </c>
      <c r="E60" s="13">
        <v>84550</v>
      </c>
      <c r="F60" s="13">
        <v>456000</v>
      </c>
    </row>
    <row r="74" spans="2:3" x14ac:dyDescent="0.35">
      <c r="B74" s="2" t="s">
        <v>1015</v>
      </c>
      <c r="C74" t="s">
        <v>1019</v>
      </c>
    </row>
    <row r="75" spans="2:3" x14ac:dyDescent="0.35">
      <c r="B75" s="3" t="s">
        <v>13</v>
      </c>
      <c r="C75" s="13">
        <v>232840</v>
      </c>
    </row>
    <row r="76" spans="2:3" x14ac:dyDescent="0.35">
      <c r="B76" s="3" t="s">
        <v>10</v>
      </c>
      <c r="C76" s="13">
        <v>223160</v>
      </c>
    </row>
    <row r="77" spans="2:3" x14ac:dyDescent="0.35">
      <c r="B77" s="3" t="s">
        <v>1016</v>
      </c>
      <c r="C77" s="13">
        <v>456000</v>
      </c>
    </row>
    <row r="87" spans="2:3" x14ac:dyDescent="0.35">
      <c r="B87" s="2" t="s">
        <v>1015</v>
      </c>
      <c r="C87" t="s">
        <v>1019</v>
      </c>
    </row>
    <row r="88" spans="2:3" x14ac:dyDescent="0.35">
      <c r="B88" s="3" t="s">
        <v>11</v>
      </c>
      <c r="C88" s="13">
        <v>143515</v>
      </c>
    </row>
    <row r="89" spans="2:3" x14ac:dyDescent="0.35">
      <c r="B89" s="3" t="s">
        <v>14</v>
      </c>
      <c r="C89" s="13">
        <v>155580</v>
      </c>
    </row>
    <row r="90" spans="2:3" x14ac:dyDescent="0.35">
      <c r="B90" s="3" t="s">
        <v>16</v>
      </c>
      <c r="C90" s="13">
        <v>156905</v>
      </c>
    </row>
    <row r="91" spans="2:3" x14ac:dyDescent="0.35">
      <c r="B91" s="3" t="s">
        <v>1016</v>
      </c>
      <c r="C91" s="13">
        <v>456000</v>
      </c>
    </row>
    <row r="103" spans="2:3" x14ac:dyDescent="0.35">
      <c r="B103" s="2" t="s">
        <v>1015</v>
      </c>
      <c r="C103" t="s">
        <v>1019</v>
      </c>
    </row>
    <row r="104" spans="2:3" x14ac:dyDescent="0.35">
      <c r="B104" s="3" t="s">
        <v>11</v>
      </c>
      <c r="C104" s="8">
        <v>0.31472587719298245</v>
      </c>
    </row>
    <row r="105" spans="2:3" x14ac:dyDescent="0.35">
      <c r="B105" s="3" t="s">
        <v>14</v>
      </c>
      <c r="C105" s="8">
        <v>0.34118421052631581</v>
      </c>
    </row>
    <row r="106" spans="2:3" x14ac:dyDescent="0.35">
      <c r="B106" s="3" t="s">
        <v>16</v>
      </c>
      <c r="C106" s="8">
        <v>0.34408991228070174</v>
      </c>
    </row>
    <row r="107" spans="2:3" x14ac:dyDescent="0.35">
      <c r="B107" s="3" t="s">
        <v>1016</v>
      </c>
      <c r="C107" s="8">
        <v>1</v>
      </c>
    </row>
  </sheetData>
  <pageMargins left="0.7" right="0.7" top="0.75" bottom="0.75" header="0.3" footer="0.3"/>
  <drawing r:id="rId9"/>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23D859-D320-4ACB-BF5F-03A555E5807C}">
  <dimension ref="B1:AB18"/>
  <sheetViews>
    <sheetView showGridLines="0" tabSelected="1" topLeftCell="A10" zoomScale="27" zoomScaleNormal="35" workbookViewId="0">
      <selection activeCell="AN36" sqref="AN36"/>
    </sheetView>
  </sheetViews>
  <sheetFormatPr defaultRowHeight="14.5" x14ac:dyDescent="0.35"/>
  <cols>
    <col min="1" max="16384" width="8.7265625" style="4"/>
  </cols>
  <sheetData>
    <row r="1" spans="2:28" ht="14.5" customHeight="1" x14ac:dyDescent="0.35">
      <c r="C1" s="5"/>
      <c r="D1" s="6"/>
      <c r="E1" s="6"/>
      <c r="F1" s="6"/>
      <c r="G1" s="6"/>
      <c r="H1" s="6"/>
      <c r="I1" s="6"/>
      <c r="J1" s="6"/>
      <c r="K1" s="6"/>
      <c r="L1" s="6"/>
      <c r="M1" s="6"/>
      <c r="N1" s="6"/>
      <c r="O1" s="6"/>
      <c r="P1" s="6"/>
      <c r="Q1" s="6"/>
      <c r="R1" s="6"/>
    </row>
    <row r="2" spans="2:28" x14ac:dyDescent="0.35">
      <c r="C2" s="6"/>
      <c r="D2" s="6"/>
      <c r="E2" s="6"/>
      <c r="F2" s="6"/>
      <c r="G2" s="6"/>
      <c r="H2" s="6"/>
      <c r="I2" s="6"/>
      <c r="J2" s="6"/>
      <c r="K2" s="6"/>
      <c r="L2" s="6"/>
      <c r="M2" s="6"/>
      <c r="N2" s="6"/>
      <c r="O2" s="6"/>
      <c r="P2" s="6"/>
      <c r="Q2" s="6"/>
      <c r="R2" s="6"/>
    </row>
    <row r="3" spans="2:28" x14ac:dyDescent="0.35">
      <c r="C3" s="6"/>
      <c r="D3" s="6"/>
      <c r="E3" s="6"/>
      <c r="F3" s="6"/>
      <c r="G3" s="6"/>
      <c r="H3" s="6"/>
      <c r="I3" s="6"/>
      <c r="J3" s="6"/>
      <c r="K3" s="6"/>
      <c r="L3" s="6"/>
      <c r="M3" s="6"/>
      <c r="N3" s="6"/>
      <c r="O3" s="6"/>
      <c r="P3" s="6"/>
      <c r="Q3" s="6"/>
      <c r="R3" s="6"/>
    </row>
    <row r="4" spans="2:28" x14ac:dyDescent="0.35">
      <c r="C4" s="6"/>
      <c r="D4" s="6"/>
      <c r="E4" s="6"/>
      <c r="F4" s="6"/>
      <c r="G4" s="6"/>
      <c r="H4" s="6"/>
      <c r="I4" s="6"/>
      <c r="J4" s="6"/>
      <c r="K4" s="6"/>
      <c r="L4" s="6"/>
      <c r="M4" s="6"/>
      <c r="N4" s="6"/>
      <c r="O4" s="6"/>
      <c r="P4" s="6"/>
      <c r="Q4" s="6"/>
      <c r="R4" s="6"/>
    </row>
    <row r="5" spans="2:28" x14ac:dyDescent="0.35">
      <c r="C5" s="6"/>
      <c r="D5" s="6"/>
      <c r="E5" s="6"/>
      <c r="F5" s="6"/>
      <c r="G5" s="6"/>
      <c r="H5" s="6"/>
      <c r="I5" s="6"/>
      <c r="J5" s="6"/>
      <c r="K5" s="6"/>
      <c r="L5" s="6"/>
      <c r="M5" s="6"/>
      <c r="N5" s="6"/>
      <c r="O5" s="6"/>
      <c r="P5" s="6"/>
      <c r="Q5" s="6"/>
      <c r="R5" s="6"/>
    </row>
    <row r="8" spans="2:28" ht="14.5" customHeight="1" x14ac:dyDescent="0.35">
      <c r="C8" s="7"/>
      <c r="D8" s="7"/>
      <c r="E8" s="7"/>
      <c r="F8" s="7"/>
      <c r="G8" s="7"/>
      <c r="H8" s="7"/>
      <c r="I8" s="7"/>
      <c r="J8" s="7"/>
      <c r="K8" s="7"/>
      <c r="L8" s="7"/>
      <c r="M8" s="7"/>
      <c r="N8" s="7"/>
      <c r="O8" s="7"/>
      <c r="P8" s="7"/>
      <c r="Q8" s="7"/>
      <c r="R8" s="7"/>
      <c r="S8" s="7"/>
      <c r="T8" s="7"/>
      <c r="U8" s="7"/>
      <c r="V8" s="7"/>
      <c r="W8" s="7"/>
      <c r="X8" s="7"/>
      <c r="Y8" s="7"/>
    </row>
    <row r="9" spans="2:28" ht="14.5" customHeight="1" x14ac:dyDescent="0.35">
      <c r="C9" s="7"/>
      <c r="D9" s="7"/>
      <c r="E9" s="7"/>
      <c r="F9" s="7"/>
      <c r="G9" s="7"/>
      <c r="H9" s="7"/>
      <c r="I9" s="7"/>
      <c r="J9" s="7"/>
      <c r="K9" s="7"/>
      <c r="L9" s="7"/>
      <c r="M9" s="7"/>
      <c r="N9" s="7"/>
      <c r="O9" s="7"/>
      <c r="P9" s="7"/>
      <c r="Q9" s="7"/>
      <c r="R9" s="7"/>
      <c r="S9" s="7"/>
      <c r="T9" s="7"/>
      <c r="U9" s="7"/>
      <c r="V9" s="7"/>
      <c r="W9" s="7"/>
      <c r="X9" s="7"/>
      <c r="Y9" s="7"/>
    </row>
    <row r="10" spans="2:28" ht="14.5" customHeight="1" x14ac:dyDescent="0.35">
      <c r="B10" s="9" t="s">
        <v>1035</v>
      </c>
      <c r="C10" s="10"/>
      <c r="D10" s="10"/>
      <c r="E10" s="10"/>
      <c r="F10" s="10"/>
      <c r="G10" s="10"/>
      <c r="H10" s="10"/>
      <c r="I10" s="10"/>
      <c r="J10" s="10"/>
      <c r="K10" s="10"/>
      <c r="L10" s="10"/>
      <c r="M10" s="10"/>
      <c r="N10" s="10"/>
      <c r="O10" s="10"/>
      <c r="P10" s="10"/>
      <c r="Q10" s="10"/>
      <c r="R10" s="10"/>
      <c r="S10" s="10"/>
      <c r="T10" s="10"/>
      <c r="U10" s="10"/>
      <c r="V10" s="10"/>
      <c r="W10" s="10"/>
      <c r="X10" s="10"/>
      <c r="Y10" s="10"/>
      <c r="Z10" s="10"/>
      <c r="AA10" s="10"/>
      <c r="AB10" s="10"/>
    </row>
    <row r="11" spans="2:28" ht="14.5" customHeight="1" x14ac:dyDescent="0.35">
      <c r="B11" s="1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row>
    <row r="12" spans="2:28" ht="14.5" customHeight="1" x14ac:dyDescent="0.35">
      <c r="B12" s="10"/>
      <c r="C12" s="10"/>
      <c r="D12" s="10"/>
      <c r="E12" s="10"/>
      <c r="F12" s="10"/>
      <c r="G12" s="10"/>
      <c r="H12" s="10"/>
      <c r="I12" s="10"/>
      <c r="J12" s="10"/>
      <c r="K12" s="10"/>
      <c r="L12" s="10"/>
      <c r="M12" s="10"/>
      <c r="N12" s="10"/>
      <c r="O12" s="10"/>
      <c r="P12" s="10"/>
      <c r="Q12" s="10"/>
      <c r="R12" s="10"/>
      <c r="S12" s="10"/>
      <c r="T12" s="10"/>
      <c r="U12" s="10"/>
      <c r="V12" s="10"/>
      <c r="W12" s="10"/>
      <c r="X12" s="10"/>
      <c r="Y12" s="10"/>
      <c r="Z12" s="10"/>
      <c r="AA12" s="10"/>
      <c r="AB12" s="10"/>
    </row>
    <row r="13" spans="2:28" ht="14.5" customHeight="1" x14ac:dyDescent="0.35">
      <c r="B13" s="10"/>
      <c r="C13" s="10"/>
      <c r="D13" s="10"/>
      <c r="E13" s="10"/>
      <c r="F13" s="10"/>
      <c r="G13" s="10"/>
      <c r="H13" s="10"/>
      <c r="I13" s="10"/>
      <c r="J13" s="10"/>
      <c r="K13" s="10"/>
      <c r="L13" s="10"/>
      <c r="M13" s="10"/>
      <c r="N13" s="10"/>
      <c r="O13" s="10"/>
      <c r="P13" s="10"/>
      <c r="Q13" s="10"/>
      <c r="R13" s="10"/>
      <c r="S13" s="10"/>
      <c r="T13" s="10"/>
      <c r="U13" s="10"/>
      <c r="V13" s="10"/>
      <c r="W13" s="10"/>
      <c r="X13" s="10"/>
      <c r="Y13" s="10"/>
      <c r="Z13" s="10"/>
      <c r="AA13" s="10"/>
      <c r="AB13" s="10"/>
    </row>
    <row r="14" spans="2:28" ht="14.5" customHeight="1" x14ac:dyDescent="0.35">
      <c r="B14" s="10"/>
      <c r="C14" s="10"/>
      <c r="D14" s="10"/>
      <c r="E14" s="10"/>
      <c r="F14" s="10"/>
      <c r="G14" s="10"/>
      <c r="H14" s="10"/>
      <c r="I14" s="10"/>
      <c r="J14" s="10"/>
      <c r="K14" s="10"/>
      <c r="L14" s="10"/>
      <c r="M14" s="10"/>
      <c r="N14" s="10"/>
      <c r="O14" s="10"/>
      <c r="P14" s="10"/>
      <c r="Q14" s="10"/>
      <c r="R14" s="10"/>
      <c r="S14" s="10"/>
      <c r="T14" s="10"/>
      <c r="U14" s="10"/>
      <c r="V14" s="10"/>
      <c r="W14" s="10"/>
      <c r="X14" s="10"/>
      <c r="Y14" s="10"/>
      <c r="Z14" s="10"/>
      <c r="AA14" s="10"/>
      <c r="AB14" s="10"/>
    </row>
    <row r="15" spans="2:28" ht="14.5" customHeight="1" x14ac:dyDescent="0.35">
      <c r="B15" s="10"/>
      <c r="C15" s="10"/>
      <c r="D15" s="10"/>
      <c r="E15" s="10"/>
      <c r="F15" s="10"/>
      <c r="G15" s="10"/>
      <c r="H15" s="10"/>
      <c r="I15" s="10"/>
      <c r="J15" s="10"/>
      <c r="K15" s="10"/>
      <c r="L15" s="10"/>
      <c r="M15" s="10"/>
      <c r="N15" s="10"/>
      <c r="O15" s="10"/>
      <c r="P15" s="10"/>
      <c r="Q15" s="10"/>
      <c r="R15" s="10"/>
      <c r="S15" s="10"/>
      <c r="T15" s="10"/>
      <c r="U15" s="10"/>
      <c r="V15" s="10"/>
      <c r="W15" s="10"/>
      <c r="X15" s="10"/>
      <c r="Y15" s="10"/>
      <c r="Z15" s="10"/>
      <c r="AA15" s="10"/>
      <c r="AB15" s="10"/>
    </row>
    <row r="16" spans="2:28" x14ac:dyDescent="0.35">
      <c r="B16" s="10"/>
      <c r="C16" s="10"/>
      <c r="D16" s="10"/>
      <c r="E16" s="10"/>
      <c r="F16" s="10"/>
      <c r="G16" s="10"/>
      <c r="H16" s="10"/>
      <c r="I16" s="10"/>
      <c r="J16" s="10"/>
      <c r="K16" s="10"/>
      <c r="L16" s="10"/>
      <c r="M16" s="10"/>
      <c r="N16" s="10"/>
      <c r="O16" s="10"/>
      <c r="P16" s="10"/>
      <c r="Q16" s="10"/>
      <c r="R16" s="10"/>
      <c r="S16" s="10"/>
      <c r="T16" s="10"/>
      <c r="U16" s="10"/>
      <c r="V16" s="10"/>
      <c r="W16" s="10"/>
      <c r="X16" s="10"/>
      <c r="Y16" s="10"/>
      <c r="Z16" s="10"/>
      <c r="AA16" s="10"/>
      <c r="AB16" s="10"/>
    </row>
    <row r="17" spans="2:28" x14ac:dyDescent="0.35">
      <c r="B17" s="10"/>
      <c r="C17" s="10"/>
      <c r="D17" s="10"/>
      <c r="E17" s="10"/>
      <c r="F17" s="10"/>
      <c r="G17" s="10"/>
      <c r="H17" s="10"/>
      <c r="I17" s="10"/>
      <c r="J17" s="10"/>
      <c r="K17" s="10"/>
      <c r="L17" s="10"/>
      <c r="M17" s="10"/>
      <c r="N17" s="10"/>
      <c r="O17" s="10"/>
      <c r="P17" s="10"/>
      <c r="Q17" s="10"/>
      <c r="R17" s="10"/>
      <c r="S17" s="10"/>
      <c r="T17" s="10"/>
      <c r="U17" s="10"/>
      <c r="V17" s="10"/>
      <c r="W17" s="10"/>
      <c r="X17" s="10"/>
      <c r="Y17" s="10"/>
      <c r="Z17" s="10"/>
      <c r="AA17" s="10"/>
      <c r="AB17" s="10"/>
    </row>
    <row r="18" spans="2:28" x14ac:dyDescent="0.35">
      <c r="B18" s="10"/>
      <c r="C18" s="10"/>
      <c r="D18" s="10"/>
      <c r="E18" s="10"/>
      <c r="F18" s="10"/>
      <c r="G18" s="10"/>
      <c r="H18" s="10"/>
      <c r="I18" s="10"/>
      <c r="J18" s="10"/>
      <c r="K18" s="10"/>
      <c r="L18" s="10"/>
      <c r="M18" s="10"/>
      <c r="N18" s="10"/>
      <c r="O18" s="10"/>
      <c r="P18" s="10"/>
      <c r="Q18" s="10"/>
      <c r="R18" s="10"/>
      <c r="S18" s="10"/>
      <c r="T18" s="10"/>
      <c r="U18" s="10"/>
      <c r="V18" s="10"/>
      <c r="W18" s="10"/>
      <c r="X18" s="10"/>
      <c r="Y18" s="10"/>
      <c r="Z18" s="10"/>
      <c r="AA18" s="10"/>
      <c r="AB18" s="10"/>
    </row>
  </sheetData>
  <mergeCells count="1">
    <mergeCell ref="B10:AB18"/>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retail_sales_dataset</vt:lpstr>
      <vt:lpstr>table</vt:lpstr>
      <vt:lpstr>Sheet1</vt:lpstr>
      <vt:lpstr>Pivot</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Prudhvi sai Tallapalem</dc:creator>
  <cp:lastModifiedBy>Prudhvi sai Tallapalem</cp:lastModifiedBy>
  <dcterms:created xsi:type="dcterms:W3CDTF">2025-07-13T17:30:48Z</dcterms:created>
  <dcterms:modified xsi:type="dcterms:W3CDTF">2025-07-16T11:28:50Z</dcterms:modified>
</cp:coreProperties>
</file>